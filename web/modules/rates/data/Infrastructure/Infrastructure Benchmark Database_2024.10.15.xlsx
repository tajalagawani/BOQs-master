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davidparry/Documents/OMNI V1.2 2024.10/05_Excel Data Files/02_Files sent to IT/Infrastructure/"/>
    </mc:Choice>
  </mc:AlternateContent>
  <xr:revisionPtr revIDLastSave="0" documentId="8_{70806D3C-3343-FC41-87DA-8C54DEFF552A}" xr6:coauthVersionLast="47" xr6:coauthVersionMax="47" xr10:uidLastSave="{00000000-0000-0000-0000-000000000000}"/>
  <bookViews>
    <workbookView xWindow="30900" yWindow="500" windowWidth="53800" windowHeight="21120" xr2:uid="{00000000-000D-0000-FFFF-FFFF00000000}"/>
  </bookViews>
  <sheets>
    <sheet name="Infrastructure Benchmarks" sheetId="7" r:id="rId1"/>
    <sheet name="Sheet1" sheetId="15" r:id="rId2"/>
    <sheet name="Infrastructure Benchmarks-ref" sheetId="14" state="hidden" r:id="rId3"/>
    <sheet name="Infrastructure Benchmarks - ref" sheetId="13" state="hidden" r:id="rId4"/>
    <sheet name="Template" sheetId="10" state="hidden" r:id="rId5"/>
    <sheet name="Utility Building Benchmarks" sheetId="12" state="hidden" r:id="rId6"/>
    <sheet name="Marine Reclamation Benchmarks" sheetId="9" state="hidden" r:id="rId7"/>
  </sheets>
  <definedNames>
    <definedName name="__123Graph_A" hidden="1">#REF!</definedName>
    <definedName name="__123Graph_ACHART1" hidden="1">#REF!</definedName>
    <definedName name="__123Graph_A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IntlFixup" hidden="1">TRUE</definedName>
    <definedName name="_1__123Graph_ACHART_12" hidden="1">#REF!</definedName>
    <definedName name="_10__123Graph_ACHART_18" hidden="1">#REF!</definedName>
    <definedName name="_10__123Graph_BCHART_16" hidden="1">#REF!</definedName>
    <definedName name="_11__123Graph_BCHART_17" hidden="1">#REF!</definedName>
    <definedName name="_12__123Graph_ACHART_19" hidden="1">#REF!</definedName>
    <definedName name="_12__123Graph_BCHART_22" hidden="1">#REF!</definedName>
    <definedName name="_13__123Graph_CCHART_15" hidden="1">#REF!</definedName>
    <definedName name="_14__123Graph_ACHART_21" hidden="1">#REF!</definedName>
    <definedName name="_14__123Graph_CCHART_16" hidden="1">#REF!</definedName>
    <definedName name="_15__123Graph_CCHART_17" hidden="1">#REF!</definedName>
    <definedName name="_16__123Graph_ASEG_PIE" hidden="1">#REF!</definedName>
    <definedName name="_16__123Graph_CCHART_22" hidden="1">#REF!</definedName>
    <definedName name="_17__123Graph_CSEG_PIE" hidden="1">#REF!</definedName>
    <definedName name="_18__123Graph_BCHART_15" hidden="1">#REF!</definedName>
    <definedName name="_18__123Graph_DCHART_15" hidden="1">#REF!</definedName>
    <definedName name="_19__123Graph_DCHART_16" hidden="1">#REF!</definedName>
    <definedName name="_2__123Graph_ACHART_12" hidden="1">#REF!</definedName>
    <definedName name="_2__123Graph_ACHART_15" hidden="1">#REF!</definedName>
    <definedName name="_20__123Graph_BCHART_16" hidden="1">#REF!</definedName>
    <definedName name="_20__123Graph_DCHART_17" hidden="1">#REF!</definedName>
    <definedName name="_21__123Graph_DCHART_22" hidden="1">#REF!</definedName>
    <definedName name="_22__123Graph_BCHART_17" hidden="1">#REF!</definedName>
    <definedName name="_22__123Graph_ECHART_15" hidden="1">#REF!</definedName>
    <definedName name="_23__123Graph_ECHART_16" hidden="1">#REF!</definedName>
    <definedName name="_24__123Graph_BCHART_22" hidden="1">#REF!</definedName>
    <definedName name="_24__123Graph_ECHART_17" hidden="1">#REF!</definedName>
    <definedName name="_25__123Graph_ECHART_22" hidden="1">#REF!</definedName>
    <definedName name="_26__123Graph_CCHART_15" hidden="1">#REF!</definedName>
    <definedName name="_26__123Graph_FCHART_15" hidden="1">#REF!</definedName>
    <definedName name="_27__123Graph_FCHART_16" hidden="1">#REF!</definedName>
    <definedName name="_28__123Graph_CCHART_16" hidden="1">#REF!</definedName>
    <definedName name="_28__123Graph_FCHART_17" hidden="1">#REF!</definedName>
    <definedName name="_29__123Graph_FCHART_22" hidden="1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21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__123Graph_ACHART_15" hidden="1">#REF!</definedName>
    <definedName name="_4__123Graph_ACHART_17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Fill" hidden="1">#REF!</definedName>
    <definedName name="_xlnm._FilterDatabase" localSheetId="0" hidden="1">'Infrastructure Benchmarks'!$A$1:$W$349</definedName>
    <definedName name="_xlnm._FilterDatabase" localSheetId="2" hidden="1">'Infrastructure Benchmarks-ref'!$A$1:$S$1204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essDatabase" hidden="1">"C:\AA-MEDIUM PROJECTS\Khaleej Times - GO 14017\Submittals Status.mdb"</definedName>
    <definedName name="b" hidden="1">{"'Break down'!$A$4"}</definedName>
    <definedName name="BS" hidden="1">#REF!</definedName>
    <definedName name="dad" hidden="1">#REF!</definedName>
    <definedName name="def" hidden="1">#REF!</definedName>
    <definedName name="Ele" hidden="1">{"'Break down'!$A$4"}</definedName>
    <definedName name="ELEC" hidden="1">#REF!</definedName>
    <definedName name="Element">'Infrastructure Benchmarks'!$O$2:$O$349</definedName>
    <definedName name="eth" hidden="1">#REF!</definedName>
    <definedName name="ghj" hidden="1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_xlnm.Print_Area" localSheetId="2">'Infrastructure Benchmarks-ref'!$A$1:$S$1204</definedName>
    <definedName name="Project">'Infrastructure Benchmarks'!$G$2:$G$349</definedName>
    <definedName name="ROW_Rate">'Infrastructure Benchmarks'!$Q$2:$Q$349</definedName>
    <definedName name="Scaffolding" hidden="1">{"'Break down'!$A$4"}</definedName>
    <definedName name="stop" hidden="1">#REF!</definedName>
    <definedName name="SUM" hidden="1">{"'Sheet1 (2)'!$A$1:$C$61"}</definedName>
    <definedName name="temp" hidden="1">{"'Break down'!$A$4"}</definedName>
    <definedName name="t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ON_COSTS." hidden="1">{#N/A,#N/A,FALSE,"Summary";#N/A,#N/A,FALSE,"Plant";#N/A,#N/A,FALSE,"Staff";#N/A,#N/A,FALSE,"Prelim";#N/A,#N/A,FALSE,"Others"}</definedName>
    <definedName name="wrn.PRINT._.REPORT." hidden="1">{#N/A,#N/A,FALSE,"summary";#N/A,#N/A,FALSE,"preliminy";#N/A,#N/A,FALSE,"bill 3";#N/A,#N/A,FALSE,"bill 4"}</definedName>
    <definedName name="xls." hidden="1">{"'Break down'!$A$4"}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72" i="7" l="1"/>
  <c r="U358" i="7" l="1"/>
  <c r="U359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53" i="7" s="1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354" i="7" s="1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355" i="7" s="1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356" i="7" s="1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357" i="7" s="1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360" i="7" s="1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361" i="7" s="1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362" i="7" s="1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63" i="7" s="1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2" i="7"/>
  <c r="U352" i="7" s="1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358" i="7" s="1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" i="7"/>
  <c r="T4" i="7"/>
  <c r="T5" i="7"/>
  <c r="T6" i="7"/>
  <c r="T7" i="7"/>
  <c r="T8" i="7"/>
  <c r="T9" i="7"/>
  <c r="T10" i="7"/>
  <c r="T11" i="7"/>
  <c r="T2" i="7"/>
  <c r="V353" i="7"/>
  <c r="V354" i="7"/>
  <c r="V355" i="7"/>
  <c r="V356" i="7"/>
  <c r="V357" i="7"/>
  <c r="V358" i="7"/>
  <c r="V359" i="7"/>
  <c r="V360" i="7"/>
  <c r="V361" i="7"/>
  <c r="V362" i="7"/>
  <c r="V363" i="7"/>
  <c r="V352" i="7"/>
  <c r="W352" i="7"/>
  <c r="W357" i="7"/>
  <c r="Q3" i="7"/>
  <c r="R3" i="7"/>
  <c r="S3" i="7"/>
  <c r="Q4" i="7"/>
  <c r="R4" i="7"/>
  <c r="S4" i="7"/>
  <c r="Q5" i="7"/>
  <c r="R5" i="7"/>
  <c r="S5" i="7"/>
  <c r="Q6" i="7"/>
  <c r="R6" i="7"/>
  <c r="S6" i="7"/>
  <c r="Q7" i="7"/>
  <c r="R7" i="7"/>
  <c r="S7" i="7"/>
  <c r="Q8" i="7"/>
  <c r="R8" i="7"/>
  <c r="S8" i="7"/>
  <c r="Q9" i="7"/>
  <c r="R9" i="7"/>
  <c r="S9" i="7"/>
  <c r="Q10" i="7"/>
  <c r="R10" i="7"/>
  <c r="S10" i="7"/>
  <c r="Q11" i="7"/>
  <c r="R11" i="7"/>
  <c r="S11" i="7"/>
  <c r="Q12" i="7"/>
  <c r="R12" i="7"/>
  <c r="S12" i="7"/>
  <c r="Q13" i="7"/>
  <c r="R13" i="7"/>
  <c r="S13" i="7"/>
  <c r="Q14" i="7"/>
  <c r="R14" i="7"/>
  <c r="S14" i="7"/>
  <c r="Q15" i="7"/>
  <c r="R15" i="7"/>
  <c r="S15" i="7"/>
  <c r="Q16" i="7"/>
  <c r="R16" i="7"/>
  <c r="S16" i="7"/>
  <c r="Q17" i="7"/>
  <c r="R17" i="7"/>
  <c r="S17" i="7"/>
  <c r="Q18" i="7"/>
  <c r="R18" i="7"/>
  <c r="S18" i="7"/>
  <c r="Q19" i="7"/>
  <c r="R19" i="7"/>
  <c r="S19" i="7"/>
  <c r="Q20" i="7"/>
  <c r="R20" i="7"/>
  <c r="S20" i="7"/>
  <c r="Q21" i="7"/>
  <c r="R21" i="7"/>
  <c r="S21" i="7"/>
  <c r="Q22" i="7"/>
  <c r="R22" i="7"/>
  <c r="S22" i="7"/>
  <c r="Q23" i="7"/>
  <c r="R23" i="7"/>
  <c r="S23" i="7"/>
  <c r="Q24" i="7"/>
  <c r="R24" i="7"/>
  <c r="S24" i="7"/>
  <c r="Q25" i="7"/>
  <c r="R25" i="7"/>
  <c r="S25" i="7"/>
  <c r="Q26" i="7"/>
  <c r="R26" i="7"/>
  <c r="S26" i="7"/>
  <c r="Q27" i="7"/>
  <c r="R27" i="7"/>
  <c r="S27" i="7"/>
  <c r="Q28" i="7"/>
  <c r="R28" i="7"/>
  <c r="S28" i="7"/>
  <c r="Q29" i="7"/>
  <c r="R29" i="7"/>
  <c r="S29" i="7"/>
  <c r="Q30" i="7"/>
  <c r="R30" i="7"/>
  <c r="S30" i="7"/>
  <c r="Q31" i="7"/>
  <c r="R31" i="7"/>
  <c r="S31" i="7"/>
  <c r="Q32" i="7"/>
  <c r="R32" i="7"/>
  <c r="S32" i="7"/>
  <c r="Q33" i="7"/>
  <c r="R33" i="7"/>
  <c r="S33" i="7"/>
  <c r="Q34" i="7"/>
  <c r="R34" i="7"/>
  <c r="S34" i="7"/>
  <c r="Q35" i="7"/>
  <c r="R35" i="7"/>
  <c r="S35" i="7"/>
  <c r="Q36" i="7"/>
  <c r="R36" i="7"/>
  <c r="S36" i="7"/>
  <c r="Q37" i="7"/>
  <c r="R37" i="7"/>
  <c r="S37" i="7"/>
  <c r="Q38" i="7"/>
  <c r="R38" i="7"/>
  <c r="S38" i="7"/>
  <c r="Q39" i="7"/>
  <c r="R39" i="7"/>
  <c r="S39" i="7"/>
  <c r="Q40" i="7"/>
  <c r="R40" i="7"/>
  <c r="S40" i="7"/>
  <c r="Q41" i="7"/>
  <c r="R41" i="7"/>
  <c r="S41" i="7"/>
  <c r="Q42" i="7"/>
  <c r="R42" i="7"/>
  <c r="S42" i="7"/>
  <c r="Q43" i="7"/>
  <c r="R43" i="7"/>
  <c r="S43" i="7"/>
  <c r="Q44" i="7"/>
  <c r="R44" i="7"/>
  <c r="S44" i="7"/>
  <c r="Q45" i="7"/>
  <c r="R45" i="7"/>
  <c r="S45" i="7"/>
  <c r="Q46" i="7"/>
  <c r="R46" i="7"/>
  <c r="S46" i="7"/>
  <c r="Q47" i="7"/>
  <c r="R47" i="7"/>
  <c r="S47" i="7"/>
  <c r="Q48" i="7"/>
  <c r="R48" i="7"/>
  <c r="S48" i="7"/>
  <c r="Q49" i="7"/>
  <c r="R49" i="7"/>
  <c r="S49" i="7"/>
  <c r="Q50" i="7"/>
  <c r="R50" i="7"/>
  <c r="S50" i="7"/>
  <c r="Q51" i="7"/>
  <c r="R51" i="7"/>
  <c r="S51" i="7"/>
  <c r="Q52" i="7"/>
  <c r="R52" i="7"/>
  <c r="S52" i="7"/>
  <c r="Q53" i="7"/>
  <c r="R53" i="7"/>
  <c r="S53" i="7"/>
  <c r="Q54" i="7"/>
  <c r="R54" i="7"/>
  <c r="S54" i="7"/>
  <c r="Q55" i="7"/>
  <c r="R55" i="7"/>
  <c r="S55" i="7"/>
  <c r="Q56" i="7"/>
  <c r="R56" i="7"/>
  <c r="S56" i="7"/>
  <c r="Q57" i="7"/>
  <c r="R57" i="7"/>
  <c r="S57" i="7"/>
  <c r="Q58" i="7"/>
  <c r="R58" i="7"/>
  <c r="S58" i="7"/>
  <c r="Q59" i="7"/>
  <c r="R59" i="7"/>
  <c r="S59" i="7"/>
  <c r="Q60" i="7"/>
  <c r="R60" i="7"/>
  <c r="S60" i="7"/>
  <c r="Q61" i="7"/>
  <c r="R61" i="7"/>
  <c r="S61" i="7"/>
  <c r="Q62" i="7"/>
  <c r="R62" i="7"/>
  <c r="S62" i="7"/>
  <c r="Q63" i="7"/>
  <c r="R63" i="7"/>
  <c r="S63" i="7"/>
  <c r="Q64" i="7"/>
  <c r="R64" i="7"/>
  <c r="S64" i="7"/>
  <c r="Q65" i="7"/>
  <c r="R65" i="7"/>
  <c r="S65" i="7"/>
  <c r="Q66" i="7"/>
  <c r="R66" i="7"/>
  <c r="S66" i="7"/>
  <c r="Q67" i="7"/>
  <c r="R67" i="7"/>
  <c r="S67" i="7"/>
  <c r="Q68" i="7"/>
  <c r="R68" i="7"/>
  <c r="S68" i="7"/>
  <c r="Q69" i="7"/>
  <c r="R69" i="7"/>
  <c r="S69" i="7"/>
  <c r="Q70" i="7"/>
  <c r="R70" i="7"/>
  <c r="S70" i="7"/>
  <c r="Q71" i="7"/>
  <c r="R71" i="7"/>
  <c r="S71" i="7"/>
  <c r="Q72" i="7"/>
  <c r="R72" i="7"/>
  <c r="S72" i="7"/>
  <c r="Q73" i="7"/>
  <c r="R73" i="7"/>
  <c r="S73" i="7"/>
  <c r="Q74" i="7"/>
  <c r="R74" i="7"/>
  <c r="S74" i="7"/>
  <c r="Q75" i="7"/>
  <c r="R75" i="7"/>
  <c r="S75" i="7"/>
  <c r="Q76" i="7"/>
  <c r="R76" i="7"/>
  <c r="S76" i="7"/>
  <c r="Q77" i="7"/>
  <c r="R77" i="7"/>
  <c r="S77" i="7"/>
  <c r="Q78" i="7"/>
  <c r="R78" i="7"/>
  <c r="S78" i="7"/>
  <c r="Q79" i="7"/>
  <c r="R79" i="7"/>
  <c r="S79" i="7"/>
  <c r="Q80" i="7"/>
  <c r="R80" i="7"/>
  <c r="S80" i="7"/>
  <c r="Q81" i="7"/>
  <c r="R81" i="7"/>
  <c r="S81" i="7"/>
  <c r="Q82" i="7"/>
  <c r="R82" i="7"/>
  <c r="S82" i="7"/>
  <c r="Q83" i="7"/>
  <c r="R83" i="7"/>
  <c r="S83" i="7"/>
  <c r="Q84" i="7"/>
  <c r="R84" i="7"/>
  <c r="S84" i="7"/>
  <c r="Q85" i="7"/>
  <c r="R85" i="7"/>
  <c r="S85" i="7"/>
  <c r="Q86" i="7"/>
  <c r="R86" i="7"/>
  <c r="S86" i="7"/>
  <c r="Q87" i="7"/>
  <c r="R87" i="7"/>
  <c r="S87" i="7"/>
  <c r="Q88" i="7"/>
  <c r="R88" i="7"/>
  <c r="S88" i="7"/>
  <c r="Q89" i="7"/>
  <c r="R89" i="7"/>
  <c r="S89" i="7"/>
  <c r="Q90" i="7"/>
  <c r="R90" i="7"/>
  <c r="S90" i="7"/>
  <c r="Q91" i="7"/>
  <c r="R91" i="7"/>
  <c r="S91" i="7"/>
  <c r="Q92" i="7"/>
  <c r="R92" i="7"/>
  <c r="S92" i="7"/>
  <c r="Q93" i="7"/>
  <c r="R93" i="7"/>
  <c r="S93" i="7"/>
  <c r="Q94" i="7"/>
  <c r="R94" i="7"/>
  <c r="S94" i="7"/>
  <c r="Q95" i="7"/>
  <c r="R95" i="7"/>
  <c r="S95" i="7"/>
  <c r="Q96" i="7"/>
  <c r="R96" i="7"/>
  <c r="S96" i="7"/>
  <c r="Q97" i="7"/>
  <c r="R97" i="7"/>
  <c r="S97" i="7"/>
  <c r="Q98" i="7"/>
  <c r="R98" i="7"/>
  <c r="S98" i="7"/>
  <c r="Q99" i="7"/>
  <c r="R99" i="7"/>
  <c r="S99" i="7"/>
  <c r="Q100" i="7"/>
  <c r="R100" i="7"/>
  <c r="S100" i="7"/>
  <c r="Q101" i="7"/>
  <c r="R101" i="7"/>
  <c r="S101" i="7"/>
  <c r="Q102" i="7"/>
  <c r="R102" i="7"/>
  <c r="S102" i="7"/>
  <c r="Q103" i="7"/>
  <c r="R103" i="7"/>
  <c r="S103" i="7"/>
  <c r="Q104" i="7"/>
  <c r="R104" i="7"/>
  <c r="S104" i="7"/>
  <c r="Q105" i="7"/>
  <c r="R105" i="7"/>
  <c r="S105" i="7"/>
  <c r="Q106" i="7"/>
  <c r="R106" i="7"/>
  <c r="S106" i="7"/>
  <c r="Q107" i="7"/>
  <c r="R107" i="7"/>
  <c r="S107" i="7"/>
  <c r="Q108" i="7"/>
  <c r="R108" i="7"/>
  <c r="S108" i="7"/>
  <c r="Q109" i="7"/>
  <c r="R109" i="7"/>
  <c r="S109" i="7"/>
  <c r="Q110" i="7"/>
  <c r="R110" i="7"/>
  <c r="S110" i="7"/>
  <c r="Q111" i="7"/>
  <c r="R111" i="7"/>
  <c r="S111" i="7"/>
  <c r="Q112" i="7"/>
  <c r="R112" i="7"/>
  <c r="S112" i="7"/>
  <c r="Q113" i="7"/>
  <c r="R113" i="7"/>
  <c r="S113" i="7"/>
  <c r="Q114" i="7"/>
  <c r="R114" i="7"/>
  <c r="S114" i="7"/>
  <c r="Q115" i="7"/>
  <c r="R115" i="7"/>
  <c r="S115" i="7"/>
  <c r="Q116" i="7"/>
  <c r="R116" i="7"/>
  <c r="S116" i="7"/>
  <c r="Q117" i="7"/>
  <c r="R117" i="7"/>
  <c r="S117" i="7"/>
  <c r="Q118" i="7"/>
  <c r="R118" i="7"/>
  <c r="S118" i="7"/>
  <c r="Q119" i="7"/>
  <c r="R119" i="7"/>
  <c r="S119" i="7"/>
  <c r="Q120" i="7"/>
  <c r="R120" i="7"/>
  <c r="S120" i="7"/>
  <c r="Q121" i="7"/>
  <c r="R121" i="7"/>
  <c r="S121" i="7"/>
  <c r="Q122" i="7"/>
  <c r="R122" i="7"/>
  <c r="S122" i="7"/>
  <c r="Q123" i="7"/>
  <c r="R123" i="7"/>
  <c r="S123" i="7"/>
  <c r="Q124" i="7"/>
  <c r="R124" i="7"/>
  <c r="S124" i="7"/>
  <c r="Q125" i="7"/>
  <c r="R125" i="7"/>
  <c r="S125" i="7"/>
  <c r="Q126" i="7"/>
  <c r="R126" i="7"/>
  <c r="S126" i="7"/>
  <c r="Q127" i="7"/>
  <c r="R127" i="7"/>
  <c r="S127" i="7"/>
  <c r="Q128" i="7"/>
  <c r="R128" i="7"/>
  <c r="S128" i="7"/>
  <c r="Q129" i="7"/>
  <c r="R129" i="7"/>
  <c r="S129" i="7"/>
  <c r="Q130" i="7"/>
  <c r="R130" i="7"/>
  <c r="S130" i="7"/>
  <c r="Q131" i="7"/>
  <c r="R131" i="7"/>
  <c r="S131" i="7"/>
  <c r="Q132" i="7"/>
  <c r="R132" i="7"/>
  <c r="S132" i="7"/>
  <c r="Q133" i="7"/>
  <c r="R133" i="7"/>
  <c r="S133" i="7"/>
  <c r="Q134" i="7"/>
  <c r="R134" i="7"/>
  <c r="S134" i="7"/>
  <c r="Q135" i="7"/>
  <c r="R135" i="7"/>
  <c r="S135" i="7"/>
  <c r="Q136" i="7"/>
  <c r="R136" i="7"/>
  <c r="S136" i="7"/>
  <c r="Q137" i="7"/>
  <c r="R137" i="7"/>
  <c r="S137" i="7"/>
  <c r="Q138" i="7"/>
  <c r="R138" i="7"/>
  <c r="S138" i="7"/>
  <c r="Q139" i="7"/>
  <c r="R139" i="7"/>
  <c r="S139" i="7"/>
  <c r="Q140" i="7"/>
  <c r="R140" i="7"/>
  <c r="S140" i="7"/>
  <c r="Q141" i="7"/>
  <c r="R141" i="7"/>
  <c r="S141" i="7"/>
  <c r="Q142" i="7"/>
  <c r="R142" i="7"/>
  <c r="S142" i="7"/>
  <c r="Q143" i="7"/>
  <c r="R143" i="7"/>
  <c r="S143" i="7"/>
  <c r="Q144" i="7"/>
  <c r="R144" i="7"/>
  <c r="S144" i="7"/>
  <c r="Q145" i="7"/>
  <c r="R145" i="7"/>
  <c r="S145" i="7"/>
  <c r="Q146" i="7"/>
  <c r="R146" i="7"/>
  <c r="S146" i="7"/>
  <c r="Q147" i="7"/>
  <c r="R147" i="7"/>
  <c r="S147" i="7"/>
  <c r="Q148" i="7"/>
  <c r="R148" i="7"/>
  <c r="S148" i="7"/>
  <c r="Q149" i="7"/>
  <c r="R149" i="7"/>
  <c r="S149" i="7"/>
  <c r="Q150" i="7"/>
  <c r="R150" i="7"/>
  <c r="S150" i="7"/>
  <c r="Q151" i="7"/>
  <c r="R151" i="7"/>
  <c r="S151" i="7"/>
  <c r="Q152" i="7"/>
  <c r="R152" i="7"/>
  <c r="S152" i="7"/>
  <c r="Q153" i="7"/>
  <c r="R153" i="7"/>
  <c r="S153" i="7"/>
  <c r="Q154" i="7"/>
  <c r="R154" i="7"/>
  <c r="S154" i="7"/>
  <c r="Q155" i="7"/>
  <c r="R155" i="7"/>
  <c r="S155" i="7"/>
  <c r="Q156" i="7"/>
  <c r="R156" i="7"/>
  <c r="S156" i="7"/>
  <c r="Q157" i="7"/>
  <c r="R157" i="7"/>
  <c r="S157" i="7"/>
  <c r="Q158" i="7"/>
  <c r="R158" i="7"/>
  <c r="S158" i="7"/>
  <c r="Q159" i="7"/>
  <c r="R159" i="7"/>
  <c r="S159" i="7"/>
  <c r="Q160" i="7"/>
  <c r="R160" i="7"/>
  <c r="S160" i="7"/>
  <c r="Q161" i="7"/>
  <c r="R161" i="7"/>
  <c r="S161" i="7"/>
  <c r="Q162" i="7"/>
  <c r="R162" i="7"/>
  <c r="S162" i="7"/>
  <c r="Q163" i="7"/>
  <c r="R163" i="7"/>
  <c r="S163" i="7"/>
  <c r="Q164" i="7"/>
  <c r="R164" i="7"/>
  <c r="S164" i="7"/>
  <c r="Q165" i="7"/>
  <c r="R165" i="7"/>
  <c r="S165" i="7"/>
  <c r="Q166" i="7"/>
  <c r="R166" i="7"/>
  <c r="S166" i="7"/>
  <c r="Q167" i="7"/>
  <c r="R167" i="7"/>
  <c r="S167" i="7"/>
  <c r="Q168" i="7"/>
  <c r="R168" i="7"/>
  <c r="S168" i="7"/>
  <c r="Q169" i="7"/>
  <c r="R169" i="7"/>
  <c r="S169" i="7"/>
  <c r="Q170" i="7"/>
  <c r="R170" i="7"/>
  <c r="S170" i="7"/>
  <c r="Q171" i="7"/>
  <c r="R171" i="7"/>
  <c r="S171" i="7"/>
  <c r="Q172" i="7"/>
  <c r="R172" i="7"/>
  <c r="S172" i="7"/>
  <c r="Q173" i="7"/>
  <c r="R173" i="7"/>
  <c r="S173" i="7"/>
  <c r="Q174" i="7"/>
  <c r="R174" i="7"/>
  <c r="S174" i="7"/>
  <c r="Q175" i="7"/>
  <c r="R175" i="7"/>
  <c r="S175" i="7"/>
  <c r="Q176" i="7"/>
  <c r="R176" i="7"/>
  <c r="S176" i="7"/>
  <c r="Q177" i="7"/>
  <c r="R177" i="7"/>
  <c r="S177" i="7"/>
  <c r="Q178" i="7"/>
  <c r="R178" i="7"/>
  <c r="S178" i="7"/>
  <c r="Q179" i="7"/>
  <c r="R179" i="7"/>
  <c r="S179" i="7"/>
  <c r="Q180" i="7"/>
  <c r="R180" i="7"/>
  <c r="S180" i="7"/>
  <c r="Q181" i="7"/>
  <c r="R181" i="7"/>
  <c r="S181" i="7"/>
  <c r="Q182" i="7"/>
  <c r="R182" i="7"/>
  <c r="S182" i="7"/>
  <c r="Q183" i="7"/>
  <c r="R183" i="7"/>
  <c r="S183" i="7"/>
  <c r="Q184" i="7"/>
  <c r="R184" i="7"/>
  <c r="S184" i="7"/>
  <c r="Q185" i="7"/>
  <c r="R185" i="7"/>
  <c r="S185" i="7"/>
  <c r="Q186" i="7"/>
  <c r="R186" i="7"/>
  <c r="S186" i="7"/>
  <c r="Q187" i="7"/>
  <c r="R187" i="7"/>
  <c r="S187" i="7"/>
  <c r="Q188" i="7"/>
  <c r="R188" i="7"/>
  <c r="S188" i="7"/>
  <c r="Q189" i="7"/>
  <c r="R189" i="7"/>
  <c r="S189" i="7"/>
  <c r="Q190" i="7"/>
  <c r="R190" i="7"/>
  <c r="S190" i="7"/>
  <c r="Q191" i="7"/>
  <c r="R191" i="7"/>
  <c r="S191" i="7"/>
  <c r="Q192" i="7"/>
  <c r="R192" i="7"/>
  <c r="S192" i="7"/>
  <c r="Q193" i="7"/>
  <c r="R193" i="7"/>
  <c r="S193" i="7"/>
  <c r="Q194" i="7"/>
  <c r="R194" i="7"/>
  <c r="S194" i="7"/>
  <c r="Q195" i="7"/>
  <c r="R195" i="7"/>
  <c r="S195" i="7"/>
  <c r="Q196" i="7"/>
  <c r="R196" i="7"/>
  <c r="S196" i="7"/>
  <c r="Q197" i="7"/>
  <c r="R197" i="7"/>
  <c r="S197" i="7"/>
  <c r="Q198" i="7"/>
  <c r="R198" i="7"/>
  <c r="S198" i="7"/>
  <c r="Q199" i="7"/>
  <c r="R199" i="7"/>
  <c r="S199" i="7"/>
  <c r="Q200" i="7"/>
  <c r="R200" i="7"/>
  <c r="S200" i="7"/>
  <c r="Q201" i="7"/>
  <c r="R201" i="7"/>
  <c r="S201" i="7"/>
  <c r="Q202" i="7"/>
  <c r="R202" i="7"/>
  <c r="S202" i="7"/>
  <c r="Q203" i="7"/>
  <c r="R203" i="7"/>
  <c r="S203" i="7"/>
  <c r="Q204" i="7"/>
  <c r="R204" i="7"/>
  <c r="S204" i="7"/>
  <c r="Q205" i="7"/>
  <c r="R205" i="7"/>
  <c r="S205" i="7"/>
  <c r="Q206" i="7"/>
  <c r="R206" i="7"/>
  <c r="S206" i="7"/>
  <c r="Q207" i="7"/>
  <c r="R207" i="7"/>
  <c r="S207" i="7"/>
  <c r="Q208" i="7"/>
  <c r="R208" i="7"/>
  <c r="S208" i="7"/>
  <c r="Q209" i="7"/>
  <c r="R209" i="7"/>
  <c r="S209" i="7"/>
  <c r="Q210" i="7"/>
  <c r="R210" i="7"/>
  <c r="S210" i="7"/>
  <c r="Q211" i="7"/>
  <c r="R211" i="7"/>
  <c r="S211" i="7"/>
  <c r="Q212" i="7"/>
  <c r="R212" i="7"/>
  <c r="S212" i="7"/>
  <c r="Q213" i="7"/>
  <c r="R213" i="7"/>
  <c r="S213" i="7"/>
  <c r="Q214" i="7"/>
  <c r="R214" i="7"/>
  <c r="S214" i="7"/>
  <c r="Q215" i="7"/>
  <c r="R215" i="7"/>
  <c r="S215" i="7"/>
  <c r="Q216" i="7"/>
  <c r="R216" i="7"/>
  <c r="S216" i="7"/>
  <c r="Q217" i="7"/>
  <c r="R217" i="7"/>
  <c r="S217" i="7"/>
  <c r="Q218" i="7"/>
  <c r="R218" i="7"/>
  <c r="S218" i="7"/>
  <c r="Q219" i="7"/>
  <c r="R219" i="7"/>
  <c r="S219" i="7"/>
  <c r="Q220" i="7"/>
  <c r="R220" i="7"/>
  <c r="S220" i="7"/>
  <c r="Q221" i="7"/>
  <c r="R221" i="7"/>
  <c r="S221" i="7"/>
  <c r="Q222" i="7"/>
  <c r="R222" i="7"/>
  <c r="S222" i="7"/>
  <c r="Q223" i="7"/>
  <c r="R223" i="7"/>
  <c r="S223" i="7"/>
  <c r="Q224" i="7"/>
  <c r="R224" i="7"/>
  <c r="S224" i="7"/>
  <c r="Q225" i="7"/>
  <c r="R225" i="7"/>
  <c r="S225" i="7"/>
  <c r="Q226" i="7"/>
  <c r="R226" i="7"/>
  <c r="S226" i="7"/>
  <c r="Q227" i="7"/>
  <c r="R227" i="7"/>
  <c r="S227" i="7"/>
  <c r="Q228" i="7"/>
  <c r="R228" i="7"/>
  <c r="S228" i="7"/>
  <c r="Q229" i="7"/>
  <c r="R229" i="7"/>
  <c r="S229" i="7"/>
  <c r="Q230" i="7"/>
  <c r="R230" i="7"/>
  <c r="S230" i="7"/>
  <c r="Q231" i="7"/>
  <c r="R231" i="7"/>
  <c r="S231" i="7"/>
  <c r="Q232" i="7"/>
  <c r="R232" i="7"/>
  <c r="S232" i="7"/>
  <c r="Q233" i="7"/>
  <c r="R233" i="7"/>
  <c r="S233" i="7"/>
  <c r="Q234" i="7"/>
  <c r="R234" i="7"/>
  <c r="S234" i="7"/>
  <c r="Q235" i="7"/>
  <c r="R235" i="7"/>
  <c r="S235" i="7"/>
  <c r="Q236" i="7"/>
  <c r="R236" i="7"/>
  <c r="S236" i="7"/>
  <c r="Q237" i="7"/>
  <c r="R237" i="7"/>
  <c r="S237" i="7"/>
  <c r="Q238" i="7"/>
  <c r="R238" i="7"/>
  <c r="S238" i="7"/>
  <c r="Q239" i="7"/>
  <c r="R239" i="7"/>
  <c r="S239" i="7"/>
  <c r="Q240" i="7"/>
  <c r="R240" i="7"/>
  <c r="S240" i="7"/>
  <c r="Q241" i="7"/>
  <c r="R241" i="7"/>
  <c r="S241" i="7"/>
  <c r="Q242" i="7"/>
  <c r="R242" i="7"/>
  <c r="S242" i="7"/>
  <c r="Q243" i="7"/>
  <c r="R243" i="7"/>
  <c r="S243" i="7"/>
  <c r="Q244" i="7"/>
  <c r="R244" i="7"/>
  <c r="S244" i="7"/>
  <c r="Q245" i="7"/>
  <c r="R245" i="7"/>
  <c r="S245" i="7"/>
  <c r="Q246" i="7"/>
  <c r="R246" i="7"/>
  <c r="S246" i="7"/>
  <c r="Q247" i="7"/>
  <c r="R247" i="7"/>
  <c r="S247" i="7"/>
  <c r="Q248" i="7"/>
  <c r="R248" i="7"/>
  <c r="S248" i="7"/>
  <c r="Q249" i="7"/>
  <c r="R249" i="7"/>
  <c r="S249" i="7"/>
  <c r="Q250" i="7"/>
  <c r="R250" i="7"/>
  <c r="S250" i="7"/>
  <c r="Q251" i="7"/>
  <c r="R251" i="7"/>
  <c r="S251" i="7"/>
  <c r="Q252" i="7"/>
  <c r="R252" i="7"/>
  <c r="S252" i="7"/>
  <c r="Q253" i="7"/>
  <c r="R253" i="7"/>
  <c r="S253" i="7"/>
  <c r="Q254" i="7"/>
  <c r="R254" i="7"/>
  <c r="S254" i="7"/>
  <c r="Q255" i="7"/>
  <c r="R255" i="7"/>
  <c r="S255" i="7"/>
  <c r="Q256" i="7"/>
  <c r="R256" i="7"/>
  <c r="S256" i="7"/>
  <c r="Q257" i="7"/>
  <c r="R257" i="7"/>
  <c r="S257" i="7"/>
  <c r="Q258" i="7"/>
  <c r="R258" i="7"/>
  <c r="S258" i="7"/>
  <c r="Q259" i="7"/>
  <c r="R259" i="7"/>
  <c r="S259" i="7"/>
  <c r="Q260" i="7"/>
  <c r="R260" i="7"/>
  <c r="S260" i="7"/>
  <c r="Q261" i="7"/>
  <c r="R261" i="7"/>
  <c r="S261" i="7"/>
  <c r="Q262" i="7"/>
  <c r="R262" i="7"/>
  <c r="S262" i="7"/>
  <c r="Q263" i="7"/>
  <c r="R263" i="7"/>
  <c r="S263" i="7"/>
  <c r="Q264" i="7"/>
  <c r="R264" i="7"/>
  <c r="S264" i="7"/>
  <c r="Q265" i="7"/>
  <c r="R265" i="7"/>
  <c r="S265" i="7"/>
  <c r="Q266" i="7"/>
  <c r="R266" i="7"/>
  <c r="S266" i="7"/>
  <c r="Q267" i="7"/>
  <c r="R267" i="7"/>
  <c r="S267" i="7"/>
  <c r="Q268" i="7"/>
  <c r="R268" i="7"/>
  <c r="S268" i="7"/>
  <c r="Q269" i="7"/>
  <c r="R269" i="7"/>
  <c r="S269" i="7"/>
  <c r="Q270" i="7"/>
  <c r="R270" i="7"/>
  <c r="S270" i="7"/>
  <c r="Q271" i="7"/>
  <c r="R271" i="7"/>
  <c r="S271" i="7"/>
  <c r="Q272" i="7"/>
  <c r="R272" i="7"/>
  <c r="S272" i="7"/>
  <c r="Q273" i="7"/>
  <c r="R273" i="7"/>
  <c r="S273" i="7"/>
  <c r="Q274" i="7"/>
  <c r="R274" i="7"/>
  <c r="S274" i="7"/>
  <c r="Q275" i="7"/>
  <c r="R275" i="7"/>
  <c r="S275" i="7"/>
  <c r="Q276" i="7"/>
  <c r="R276" i="7"/>
  <c r="S276" i="7"/>
  <c r="Q277" i="7"/>
  <c r="R277" i="7"/>
  <c r="S277" i="7"/>
  <c r="Q278" i="7"/>
  <c r="R278" i="7"/>
  <c r="S278" i="7"/>
  <c r="Q279" i="7"/>
  <c r="R279" i="7"/>
  <c r="S279" i="7"/>
  <c r="Q280" i="7"/>
  <c r="R280" i="7"/>
  <c r="S280" i="7"/>
  <c r="Q281" i="7"/>
  <c r="R281" i="7"/>
  <c r="S281" i="7"/>
  <c r="Q282" i="7"/>
  <c r="R282" i="7"/>
  <c r="S282" i="7"/>
  <c r="Q283" i="7"/>
  <c r="R283" i="7"/>
  <c r="S283" i="7"/>
  <c r="Q284" i="7"/>
  <c r="R284" i="7"/>
  <c r="S284" i="7"/>
  <c r="Q285" i="7"/>
  <c r="R285" i="7"/>
  <c r="S285" i="7"/>
  <c r="Q286" i="7"/>
  <c r="R286" i="7"/>
  <c r="S286" i="7"/>
  <c r="Q287" i="7"/>
  <c r="R287" i="7"/>
  <c r="S287" i="7"/>
  <c r="Q288" i="7"/>
  <c r="R288" i="7"/>
  <c r="S288" i="7"/>
  <c r="Q289" i="7"/>
  <c r="R289" i="7"/>
  <c r="S289" i="7"/>
  <c r="Q290" i="7"/>
  <c r="R290" i="7"/>
  <c r="S290" i="7"/>
  <c r="Q291" i="7"/>
  <c r="R291" i="7"/>
  <c r="S291" i="7"/>
  <c r="Q292" i="7"/>
  <c r="R292" i="7"/>
  <c r="S292" i="7"/>
  <c r="Q293" i="7"/>
  <c r="R293" i="7"/>
  <c r="S293" i="7"/>
  <c r="Q294" i="7"/>
  <c r="R294" i="7"/>
  <c r="S294" i="7"/>
  <c r="Q295" i="7"/>
  <c r="R295" i="7"/>
  <c r="S295" i="7"/>
  <c r="Q296" i="7"/>
  <c r="R296" i="7"/>
  <c r="S296" i="7"/>
  <c r="Q297" i="7"/>
  <c r="R297" i="7"/>
  <c r="S297" i="7"/>
  <c r="Q298" i="7"/>
  <c r="R298" i="7"/>
  <c r="S298" i="7"/>
  <c r="Q299" i="7"/>
  <c r="R299" i="7"/>
  <c r="S299" i="7"/>
  <c r="Q300" i="7"/>
  <c r="R300" i="7"/>
  <c r="S300" i="7"/>
  <c r="Q301" i="7"/>
  <c r="R301" i="7"/>
  <c r="S301" i="7"/>
  <c r="Q302" i="7"/>
  <c r="R302" i="7"/>
  <c r="S302" i="7"/>
  <c r="Q303" i="7"/>
  <c r="R303" i="7"/>
  <c r="S303" i="7"/>
  <c r="Q304" i="7"/>
  <c r="R304" i="7"/>
  <c r="S304" i="7"/>
  <c r="Q305" i="7"/>
  <c r="R305" i="7"/>
  <c r="S305" i="7"/>
  <c r="Q306" i="7"/>
  <c r="R306" i="7"/>
  <c r="S306" i="7"/>
  <c r="Q307" i="7"/>
  <c r="R307" i="7"/>
  <c r="S307" i="7"/>
  <c r="Q308" i="7"/>
  <c r="R308" i="7"/>
  <c r="S308" i="7"/>
  <c r="Q309" i="7"/>
  <c r="R309" i="7"/>
  <c r="S309" i="7"/>
  <c r="Q310" i="7"/>
  <c r="R310" i="7"/>
  <c r="S310" i="7"/>
  <c r="Q311" i="7"/>
  <c r="R311" i="7"/>
  <c r="S311" i="7"/>
  <c r="Q312" i="7"/>
  <c r="R312" i="7"/>
  <c r="S312" i="7"/>
  <c r="Q313" i="7"/>
  <c r="R313" i="7"/>
  <c r="S313" i="7"/>
  <c r="Q314" i="7"/>
  <c r="R314" i="7"/>
  <c r="S314" i="7"/>
  <c r="Q315" i="7"/>
  <c r="R315" i="7"/>
  <c r="S315" i="7"/>
  <c r="Q316" i="7"/>
  <c r="R316" i="7"/>
  <c r="S316" i="7"/>
  <c r="Q317" i="7"/>
  <c r="R317" i="7"/>
  <c r="S317" i="7"/>
  <c r="Q318" i="7"/>
  <c r="R318" i="7"/>
  <c r="S318" i="7"/>
  <c r="Q319" i="7"/>
  <c r="R319" i="7"/>
  <c r="S319" i="7"/>
  <c r="Q320" i="7"/>
  <c r="R320" i="7"/>
  <c r="S320" i="7"/>
  <c r="Q321" i="7"/>
  <c r="R321" i="7"/>
  <c r="S321" i="7"/>
  <c r="Q322" i="7"/>
  <c r="R322" i="7"/>
  <c r="S322" i="7"/>
  <c r="Q323" i="7"/>
  <c r="R323" i="7"/>
  <c r="S323" i="7"/>
  <c r="Q324" i="7"/>
  <c r="R324" i="7"/>
  <c r="S324" i="7"/>
  <c r="Q325" i="7"/>
  <c r="R325" i="7"/>
  <c r="S325" i="7"/>
  <c r="Q326" i="7"/>
  <c r="R326" i="7"/>
  <c r="S326" i="7"/>
  <c r="Q327" i="7"/>
  <c r="R327" i="7"/>
  <c r="S327" i="7"/>
  <c r="Q328" i="7"/>
  <c r="R328" i="7"/>
  <c r="S328" i="7"/>
  <c r="Q329" i="7"/>
  <c r="R329" i="7"/>
  <c r="S329" i="7"/>
  <c r="Q330" i="7"/>
  <c r="R330" i="7"/>
  <c r="S330" i="7"/>
  <c r="Q331" i="7"/>
  <c r="R331" i="7"/>
  <c r="S331" i="7"/>
  <c r="Q332" i="7"/>
  <c r="R332" i="7"/>
  <c r="S332" i="7"/>
  <c r="Q333" i="7"/>
  <c r="R333" i="7"/>
  <c r="S333" i="7"/>
  <c r="Q334" i="7"/>
  <c r="R334" i="7"/>
  <c r="S334" i="7"/>
  <c r="Q335" i="7"/>
  <c r="R335" i="7"/>
  <c r="S335" i="7"/>
  <c r="Q336" i="7"/>
  <c r="R336" i="7"/>
  <c r="S336" i="7"/>
  <c r="Q337" i="7"/>
  <c r="R337" i="7"/>
  <c r="S337" i="7"/>
  <c r="Q338" i="7"/>
  <c r="R338" i="7"/>
  <c r="S338" i="7"/>
  <c r="Q339" i="7"/>
  <c r="R339" i="7"/>
  <c r="S339" i="7"/>
  <c r="Q340" i="7"/>
  <c r="R340" i="7"/>
  <c r="S340" i="7"/>
  <c r="Q341" i="7"/>
  <c r="R341" i="7"/>
  <c r="S341" i="7"/>
  <c r="Q342" i="7"/>
  <c r="R342" i="7"/>
  <c r="S342" i="7"/>
  <c r="Q343" i="7"/>
  <c r="R343" i="7"/>
  <c r="S343" i="7"/>
  <c r="Q344" i="7"/>
  <c r="R344" i="7"/>
  <c r="S344" i="7"/>
  <c r="Q345" i="7"/>
  <c r="R345" i="7"/>
  <c r="S345" i="7"/>
  <c r="Q346" i="7"/>
  <c r="R346" i="7"/>
  <c r="S346" i="7"/>
  <c r="Q347" i="7"/>
  <c r="R347" i="7"/>
  <c r="S347" i="7"/>
  <c r="Q348" i="7"/>
  <c r="R348" i="7"/>
  <c r="S348" i="7"/>
  <c r="Q349" i="7"/>
  <c r="R349" i="7"/>
  <c r="S349" i="7"/>
  <c r="R2" i="7"/>
  <c r="S2" i="7"/>
  <c r="Q2" i="7"/>
  <c r="T357" i="7" l="1"/>
  <c r="T360" i="7"/>
  <c r="T363" i="7"/>
  <c r="T355" i="7"/>
  <c r="T352" i="7"/>
  <c r="T361" i="7"/>
  <c r="T353" i="7"/>
  <c r="T356" i="7"/>
  <c r="T359" i="7"/>
  <c r="T362" i="7"/>
  <c r="T354" i="7"/>
  <c r="L352" i="7"/>
  <c r="M352" i="7"/>
  <c r="L353" i="7"/>
  <c r="M353" i="7"/>
  <c r="L354" i="7"/>
  <c r="M354" i="7"/>
  <c r="L355" i="7"/>
  <c r="M355" i="7"/>
  <c r="L356" i="7"/>
  <c r="M356" i="7"/>
  <c r="L357" i="7"/>
  <c r="M357" i="7"/>
  <c r="L358" i="7"/>
  <c r="M358" i="7"/>
  <c r="L359" i="7"/>
  <c r="M359" i="7"/>
  <c r="L360" i="7"/>
  <c r="M360" i="7"/>
  <c r="L361" i="7"/>
  <c r="M361" i="7"/>
  <c r="L362" i="7"/>
  <c r="M362" i="7"/>
  <c r="L363" i="7"/>
  <c r="M363" i="7"/>
  <c r="N353" i="7"/>
  <c r="N354" i="7"/>
  <c r="N355" i="7"/>
  <c r="N356" i="7"/>
  <c r="N357" i="7"/>
  <c r="N358" i="7"/>
  <c r="N359" i="7"/>
  <c r="N360" i="7"/>
  <c r="N361" i="7"/>
  <c r="N362" i="7"/>
  <c r="N363" i="7"/>
  <c r="N352" i="7"/>
  <c r="P363" i="7"/>
  <c r="P353" i="7"/>
  <c r="P354" i="7"/>
  <c r="P355" i="7"/>
  <c r="P356" i="7"/>
  <c r="P357" i="7"/>
  <c r="P358" i="7"/>
  <c r="P359" i="7"/>
  <c r="P360" i="7"/>
  <c r="P361" i="7"/>
  <c r="P362" i="7"/>
  <c r="P352" i="7"/>
  <c r="P1204" i="14" l="1"/>
  <c r="P1203" i="14"/>
  <c r="P1202" i="14"/>
  <c r="P1201" i="14"/>
  <c r="P1200" i="14"/>
  <c r="P1199" i="14"/>
  <c r="P1198" i="14"/>
  <c r="P1197" i="14"/>
  <c r="P1196" i="14"/>
  <c r="P1195" i="14"/>
  <c r="P1194" i="14"/>
  <c r="P1193" i="14"/>
  <c r="P1192" i="14"/>
  <c r="P1191" i="14"/>
  <c r="P1190" i="14"/>
  <c r="P1189" i="14"/>
  <c r="P1188" i="14"/>
  <c r="P1187" i="14"/>
  <c r="P1186" i="14"/>
  <c r="P1185" i="14"/>
  <c r="P1184" i="14"/>
  <c r="P1183" i="14"/>
  <c r="P1182" i="14"/>
  <c r="P1181" i="14"/>
  <c r="P1180" i="14"/>
  <c r="P1179" i="14"/>
  <c r="P1178" i="14"/>
  <c r="P1177" i="14"/>
  <c r="P1176" i="14"/>
  <c r="P1175" i="14"/>
  <c r="P1174" i="14"/>
  <c r="P1173" i="14"/>
  <c r="P1172" i="14"/>
  <c r="P1171" i="14"/>
  <c r="P1170" i="14"/>
  <c r="P1169" i="14"/>
  <c r="P1168" i="14"/>
  <c r="P1167" i="14"/>
  <c r="P1166" i="14"/>
  <c r="P1165" i="14"/>
  <c r="P1164" i="14"/>
  <c r="P1163" i="14"/>
  <c r="P1162" i="14"/>
  <c r="P1161" i="14"/>
  <c r="P1160" i="14"/>
  <c r="P1159" i="14"/>
  <c r="P1158" i="14"/>
  <c r="P1157" i="14"/>
  <c r="P1156" i="14"/>
  <c r="P1155" i="14"/>
  <c r="P1154" i="14"/>
  <c r="P1153" i="14"/>
  <c r="P1152" i="14"/>
  <c r="P1151" i="14"/>
  <c r="P1150" i="14"/>
  <c r="R559" i="14"/>
  <c r="Q559" i="14"/>
  <c r="P559" i="14"/>
  <c r="O559" i="14"/>
  <c r="R553" i="14"/>
  <c r="Q553" i="14"/>
  <c r="P553" i="14"/>
  <c r="R549" i="14"/>
  <c r="Q549" i="14"/>
  <c r="P549" i="14"/>
  <c r="R547" i="14"/>
  <c r="Q547" i="14"/>
  <c r="P547" i="14"/>
  <c r="R546" i="14"/>
  <c r="Q546" i="14"/>
  <c r="P546" i="14"/>
  <c r="R545" i="14"/>
  <c r="Q545" i="14"/>
  <c r="P545" i="14"/>
  <c r="R543" i="14"/>
  <c r="Q543" i="14"/>
  <c r="P543" i="14"/>
  <c r="R542" i="14"/>
  <c r="Q542" i="14"/>
  <c r="P542" i="14"/>
  <c r="R541" i="14"/>
  <c r="Q541" i="14"/>
  <c r="P541" i="14"/>
  <c r="R540" i="14"/>
  <c r="Q540" i="14"/>
  <c r="P540" i="14"/>
  <c r="R536" i="14"/>
  <c r="Q536" i="14"/>
  <c r="P536" i="14"/>
  <c r="R532" i="14"/>
  <c r="Q532" i="14"/>
  <c r="P532" i="14"/>
  <c r="R531" i="14"/>
  <c r="Q531" i="14"/>
  <c r="P531" i="14"/>
  <c r="R530" i="14"/>
  <c r="Q530" i="14"/>
  <c r="P530" i="14"/>
  <c r="R529" i="14"/>
  <c r="Q529" i="14"/>
  <c r="P529" i="14"/>
  <c r="R519" i="14"/>
  <c r="Q519" i="14"/>
  <c r="P519" i="14"/>
  <c r="R517" i="14"/>
  <c r="Q517" i="14"/>
  <c r="P517" i="14"/>
  <c r="R516" i="14"/>
  <c r="Q516" i="14"/>
  <c r="P516" i="14"/>
  <c r="R515" i="14"/>
  <c r="Q515" i="14"/>
  <c r="P515" i="14"/>
  <c r="R513" i="14"/>
  <c r="Q513" i="14"/>
  <c r="P513" i="14"/>
  <c r="R512" i="14"/>
  <c r="Q512" i="14"/>
  <c r="P512" i="14"/>
  <c r="R511" i="14"/>
  <c r="Q511" i="14"/>
  <c r="P511" i="14"/>
  <c r="R510" i="14"/>
  <c r="Q510" i="14"/>
  <c r="P510" i="14"/>
  <c r="R509" i="14"/>
  <c r="Q509" i="14"/>
  <c r="P509" i="14"/>
  <c r="R506" i="14"/>
  <c r="Q506" i="14"/>
  <c r="P506" i="14"/>
  <c r="R502" i="14"/>
  <c r="Q502" i="14"/>
  <c r="P502" i="14"/>
  <c r="R501" i="14"/>
  <c r="Q501" i="14"/>
  <c r="P501" i="14"/>
  <c r="R500" i="14"/>
  <c r="Q500" i="14"/>
  <c r="P500" i="14"/>
  <c r="R499" i="14"/>
  <c r="Q499" i="14"/>
  <c r="P499" i="14"/>
  <c r="R493" i="14"/>
  <c r="Q493" i="14"/>
  <c r="P493" i="14"/>
  <c r="R489" i="14"/>
  <c r="Q489" i="14"/>
  <c r="P489" i="14"/>
  <c r="R488" i="14"/>
  <c r="Q488" i="14"/>
  <c r="P488" i="14"/>
  <c r="R487" i="14"/>
  <c r="Q487" i="14"/>
  <c r="P487" i="14"/>
  <c r="R486" i="14"/>
  <c r="Q486" i="14"/>
  <c r="P486" i="14"/>
  <c r="R485" i="14"/>
  <c r="Q485" i="14"/>
  <c r="P485" i="14"/>
  <c r="R483" i="14"/>
  <c r="Q483" i="14"/>
  <c r="P483" i="14"/>
  <c r="R482" i="14"/>
  <c r="Q482" i="14"/>
  <c r="P482" i="14"/>
  <c r="R481" i="14"/>
  <c r="Q481" i="14"/>
  <c r="P481" i="14"/>
  <c r="R480" i="14"/>
  <c r="Q480" i="14"/>
  <c r="P480" i="14"/>
  <c r="R479" i="14"/>
  <c r="Q479" i="14"/>
  <c r="P479" i="14"/>
  <c r="R478" i="14"/>
  <c r="Q478" i="14"/>
  <c r="P478" i="14"/>
  <c r="R476" i="14"/>
  <c r="Q476" i="14"/>
  <c r="P476" i="14"/>
  <c r="R474" i="14"/>
  <c r="Q474" i="14"/>
  <c r="P474" i="14"/>
  <c r="R472" i="14"/>
  <c r="Q472" i="14"/>
  <c r="P472" i="14"/>
  <c r="R471" i="14"/>
  <c r="Q471" i="14"/>
  <c r="P471" i="14"/>
  <c r="R470" i="14"/>
  <c r="Q470" i="14"/>
  <c r="P470" i="14"/>
  <c r="R469" i="14"/>
  <c r="Q469" i="14"/>
  <c r="P469" i="14"/>
  <c r="R463" i="14"/>
  <c r="Q463" i="14"/>
  <c r="P463" i="14"/>
  <c r="R459" i="14"/>
  <c r="Q459" i="14"/>
  <c r="P459" i="14"/>
  <c r="R457" i="14"/>
  <c r="Q457" i="14"/>
  <c r="P457" i="14"/>
  <c r="R456" i="14"/>
  <c r="Q456" i="14"/>
  <c r="P456" i="14"/>
  <c r="R455" i="14"/>
  <c r="Q455" i="14"/>
  <c r="P455" i="14"/>
  <c r="R453" i="14"/>
  <c r="Q453" i="14"/>
  <c r="P453" i="14"/>
  <c r="R452" i="14"/>
  <c r="Q452" i="14"/>
  <c r="P452" i="14"/>
  <c r="R451" i="14"/>
  <c r="Q451" i="14"/>
  <c r="P451" i="14"/>
  <c r="R450" i="14"/>
  <c r="Q450" i="14"/>
  <c r="P450" i="14"/>
  <c r="R449" i="14"/>
  <c r="Q449" i="14"/>
  <c r="P449" i="14"/>
  <c r="R448" i="14"/>
  <c r="Q448" i="14"/>
  <c r="P448" i="14"/>
  <c r="R446" i="14"/>
  <c r="Q446" i="14"/>
  <c r="P446" i="14"/>
  <c r="R443" i="14"/>
  <c r="Q443" i="14"/>
  <c r="P443" i="14"/>
  <c r="R442" i="14"/>
  <c r="Q442" i="14"/>
  <c r="P442" i="14"/>
  <c r="R441" i="14"/>
  <c r="O441" i="14"/>
  <c r="Q441" i="14" s="1"/>
  <c r="R440" i="14"/>
  <c r="Q440" i="14"/>
  <c r="P440" i="14"/>
  <c r="Q439" i="14"/>
  <c r="O439" i="14"/>
  <c r="P439" i="14" s="1"/>
  <c r="R434" i="14"/>
  <c r="Q434" i="14"/>
  <c r="P434" i="14"/>
  <c r="R433" i="14"/>
  <c r="Q433" i="14"/>
  <c r="P433" i="14"/>
  <c r="R429" i="14"/>
  <c r="Q429" i="14"/>
  <c r="P429" i="14"/>
  <c r="R428" i="14"/>
  <c r="Q428" i="14"/>
  <c r="P428" i="14"/>
  <c r="R427" i="14"/>
  <c r="Q427" i="14"/>
  <c r="P427" i="14"/>
  <c r="R426" i="14"/>
  <c r="Q426" i="14"/>
  <c r="P426" i="14"/>
  <c r="R425" i="14"/>
  <c r="Q425" i="14"/>
  <c r="P425" i="14"/>
  <c r="R423" i="14"/>
  <c r="Q423" i="14"/>
  <c r="P423" i="14"/>
  <c r="R422" i="14"/>
  <c r="Q422" i="14"/>
  <c r="P422" i="14"/>
  <c r="R421" i="14"/>
  <c r="Q421" i="14"/>
  <c r="P421" i="14"/>
  <c r="R420" i="14"/>
  <c r="Q420" i="14"/>
  <c r="P420" i="14"/>
  <c r="R419" i="14"/>
  <c r="Q419" i="14"/>
  <c r="P419" i="14"/>
  <c r="R416" i="14"/>
  <c r="Q416" i="14"/>
  <c r="P416" i="14"/>
  <c r="R414" i="14"/>
  <c r="Q414" i="14"/>
  <c r="P414" i="14"/>
  <c r="R412" i="14"/>
  <c r="Q412" i="14"/>
  <c r="P412" i="14"/>
  <c r="R411" i="14"/>
  <c r="O411" i="14"/>
  <c r="Q411" i="14" s="1"/>
  <c r="R410" i="14"/>
  <c r="Q410" i="14"/>
  <c r="P410" i="14"/>
  <c r="R409" i="14"/>
  <c r="Q409" i="14"/>
  <c r="P409" i="14"/>
  <c r="O409" i="14"/>
  <c r="R399" i="14"/>
  <c r="Q399" i="14"/>
  <c r="P399" i="14"/>
  <c r="R397" i="14"/>
  <c r="Q397" i="14"/>
  <c r="P397" i="14"/>
  <c r="R396" i="14"/>
  <c r="Q396" i="14"/>
  <c r="P396" i="14"/>
  <c r="R395" i="14"/>
  <c r="Q395" i="14"/>
  <c r="P395" i="14"/>
  <c r="R393" i="14"/>
  <c r="Q393" i="14"/>
  <c r="P393" i="14"/>
  <c r="R392" i="14"/>
  <c r="Q392" i="14"/>
  <c r="P392" i="14"/>
  <c r="R391" i="14"/>
  <c r="Q391" i="14"/>
  <c r="P391" i="14"/>
  <c r="R390" i="14"/>
  <c r="Q390" i="14"/>
  <c r="P390" i="14"/>
  <c r="R389" i="14"/>
  <c r="Q389" i="14"/>
  <c r="P389" i="14"/>
  <c r="R388" i="14"/>
  <c r="Q388" i="14"/>
  <c r="P388" i="14"/>
  <c r="R386" i="14"/>
  <c r="Q386" i="14"/>
  <c r="P386" i="14"/>
  <c r="R382" i="14"/>
  <c r="Q382" i="14"/>
  <c r="P382" i="14"/>
  <c r="R381" i="14"/>
  <c r="Q381" i="14"/>
  <c r="P381" i="14"/>
  <c r="R380" i="14"/>
  <c r="Q380" i="14"/>
  <c r="P380" i="14"/>
  <c r="R379" i="14"/>
  <c r="Q379" i="14"/>
  <c r="P379" i="14"/>
  <c r="R377" i="14"/>
  <c r="Q377" i="14"/>
  <c r="P377" i="14"/>
  <c r="R373" i="14"/>
  <c r="Q373" i="14"/>
  <c r="P373" i="14"/>
  <c r="R372" i="14"/>
  <c r="Q372" i="14"/>
  <c r="P372" i="14"/>
  <c r="P371" i="14"/>
  <c r="O371" i="14"/>
  <c r="R371" i="14" s="1"/>
  <c r="R369" i="14"/>
  <c r="Q369" i="14"/>
  <c r="P369" i="14"/>
  <c r="R367" i="14"/>
  <c r="O367" i="14"/>
  <c r="Q367" i="14" s="1"/>
  <c r="O366" i="14"/>
  <c r="R366" i="14" s="1"/>
  <c r="R363" i="14"/>
  <c r="O363" i="14"/>
  <c r="Q363" i="14" s="1"/>
  <c r="R362" i="14"/>
  <c r="O362" i="14"/>
  <c r="Q362" i="14" s="1"/>
  <c r="R361" i="14"/>
  <c r="Q361" i="14"/>
  <c r="P361" i="14"/>
  <c r="R360" i="14"/>
  <c r="Q360" i="14"/>
  <c r="P360" i="14"/>
  <c r="P359" i="14"/>
  <c r="O359" i="14"/>
  <c r="R359" i="14" s="1"/>
  <c r="R358" i="14"/>
  <c r="Q358" i="14"/>
  <c r="P358" i="14"/>
  <c r="O356" i="14"/>
  <c r="R356" i="14" s="1"/>
  <c r="R354" i="14"/>
  <c r="Q354" i="14"/>
  <c r="P354" i="14"/>
  <c r="R353" i="14"/>
  <c r="Q353" i="14"/>
  <c r="P353" i="14"/>
  <c r="R352" i="14"/>
  <c r="Q352" i="14"/>
  <c r="P352" i="14"/>
  <c r="R351" i="14"/>
  <c r="Q351" i="14"/>
  <c r="P351" i="14"/>
  <c r="R350" i="14"/>
  <c r="Q350" i="14"/>
  <c r="P350" i="14"/>
  <c r="R349" i="14"/>
  <c r="Q349" i="14"/>
  <c r="R348" i="14"/>
  <c r="Q348" i="14"/>
  <c r="P348" i="14"/>
  <c r="R347" i="14"/>
  <c r="Q347" i="14"/>
  <c r="P347" i="14"/>
  <c r="R346" i="14"/>
  <c r="Q346" i="14"/>
  <c r="P346" i="14"/>
  <c r="R345" i="14"/>
  <c r="Q345" i="14"/>
  <c r="P345" i="14"/>
  <c r="R344" i="14"/>
  <c r="Q344" i="14"/>
  <c r="P344" i="14"/>
  <c r="R343" i="14"/>
  <c r="Q343" i="14"/>
  <c r="P343" i="14"/>
  <c r="R342" i="14"/>
  <c r="Q342" i="14"/>
  <c r="P342" i="14"/>
  <c r="R341" i="14"/>
  <c r="Q341" i="14"/>
  <c r="P341" i="14"/>
  <c r="R340" i="14"/>
  <c r="Q340" i="14"/>
  <c r="P340" i="14"/>
  <c r="Q339" i="14"/>
  <c r="P339" i="14"/>
  <c r="R338" i="14"/>
  <c r="Q338" i="14"/>
  <c r="P338" i="14"/>
  <c r="P337" i="14"/>
  <c r="R337" i="14"/>
  <c r="R336" i="14"/>
  <c r="Q336" i="14"/>
  <c r="P336" i="14"/>
  <c r="P335" i="14"/>
  <c r="R335" i="14"/>
  <c r="R334" i="14"/>
  <c r="Q334" i="14"/>
  <c r="P334" i="14"/>
  <c r="R333" i="14"/>
  <c r="R332" i="14"/>
  <c r="Q332" i="14"/>
  <c r="P332" i="14"/>
  <c r="R331" i="14"/>
  <c r="R330" i="14"/>
  <c r="Q330" i="14"/>
  <c r="P330" i="14"/>
  <c r="R329" i="14"/>
  <c r="R328" i="14"/>
  <c r="Q328" i="14"/>
  <c r="P328" i="14"/>
  <c r="R327" i="14"/>
  <c r="Q327" i="14"/>
  <c r="P327" i="14"/>
  <c r="R326" i="14"/>
  <c r="Q326" i="14"/>
  <c r="P326" i="14"/>
  <c r="R324" i="14"/>
  <c r="Q324" i="14"/>
  <c r="P324" i="14"/>
  <c r="R323" i="14"/>
  <c r="Q323" i="14"/>
  <c r="P323" i="14"/>
  <c r="R322" i="14"/>
  <c r="Q322" i="14"/>
  <c r="P322" i="14"/>
  <c r="R321" i="14"/>
  <c r="Q321" i="14"/>
  <c r="P321" i="14"/>
  <c r="R320" i="14"/>
  <c r="Q320" i="14"/>
  <c r="P320" i="14"/>
  <c r="R319" i="14"/>
  <c r="Q319" i="14"/>
  <c r="P319" i="14"/>
  <c r="R318" i="14"/>
  <c r="Q318" i="14"/>
  <c r="P318" i="14"/>
  <c r="R317" i="14"/>
  <c r="Q317" i="14"/>
  <c r="P317" i="14"/>
  <c r="R316" i="14"/>
  <c r="Q316" i="14"/>
  <c r="P316" i="14"/>
  <c r="R315" i="14"/>
  <c r="Q315" i="14"/>
  <c r="P315" i="14"/>
  <c r="R314" i="14"/>
  <c r="Q314" i="14"/>
  <c r="P314" i="14"/>
  <c r="R313" i="14"/>
  <c r="Q313" i="14"/>
  <c r="P313" i="14"/>
  <c r="R312" i="14"/>
  <c r="Q312" i="14"/>
  <c r="P312" i="14"/>
  <c r="R311" i="14"/>
  <c r="Q311" i="14"/>
  <c r="P311" i="14"/>
  <c r="R310" i="14"/>
  <c r="Q310" i="14"/>
  <c r="P310" i="14"/>
  <c r="R309" i="14"/>
  <c r="Q309" i="14"/>
  <c r="P309" i="14"/>
  <c r="R308" i="14"/>
  <c r="Q308" i="14"/>
  <c r="P308" i="14"/>
  <c r="R307" i="14"/>
  <c r="Q307" i="14"/>
  <c r="P307" i="14"/>
  <c r="R306" i="14"/>
  <c r="Q306" i="14"/>
  <c r="P306" i="14"/>
  <c r="R305" i="14"/>
  <c r="Q305" i="14"/>
  <c r="P305" i="14"/>
  <c r="R304" i="14"/>
  <c r="Q304" i="14"/>
  <c r="P304" i="14"/>
  <c r="R303" i="14"/>
  <c r="Q303" i="14"/>
  <c r="P303" i="14"/>
  <c r="R302" i="14"/>
  <c r="Q302" i="14"/>
  <c r="P302" i="14"/>
  <c r="R301" i="14"/>
  <c r="Q301" i="14"/>
  <c r="P301" i="14"/>
  <c r="R300" i="14"/>
  <c r="Q300" i="14"/>
  <c r="P300" i="14"/>
  <c r="R299" i="14"/>
  <c r="Q299" i="14"/>
  <c r="P299" i="14"/>
  <c r="R298" i="14"/>
  <c r="Q298" i="14"/>
  <c r="P298" i="14"/>
  <c r="R297" i="14"/>
  <c r="Q297" i="14"/>
  <c r="P297" i="14"/>
  <c r="R296" i="14"/>
  <c r="Q296" i="14"/>
  <c r="P296" i="14"/>
  <c r="R294" i="14"/>
  <c r="Q294" i="14"/>
  <c r="P294" i="14"/>
  <c r="R293" i="14"/>
  <c r="Q293" i="14"/>
  <c r="P293" i="14"/>
  <c r="R292" i="14"/>
  <c r="Q292" i="14"/>
  <c r="P292" i="14"/>
  <c r="R291" i="14"/>
  <c r="Q291" i="14"/>
  <c r="P291" i="14"/>
  <c r="P290" i="14"/>
  <c r="O290" i="14"/>
  <c r="R290" i="14" s="1"/>
  <c r="R289" i="14"/>
  <c r="Q289" i="14"/>
  <c r="O289" i="14"/>
  <c r="P289" i="14" s="1"/>
  <c r="R288" i="14"/>
  <c r="Q288" i="14"/>
  <c r="P288" i="14"/>
  <c r="R287" i="14"/>
  <c r="Q287" i="14"/>
  <c r="P287" i="14"/>
  <c r="R286" i="14"/>
  <c r="Q286" i="14"/>
  <c r="P286" i="14"/>
  <c r="R285" i="14"/>
  <c r="Q285" i="14"/>
  <c r="P285" i="14"/>
  <c r="R284" i="14"/>
  <c r="Q284" i="14"/>
  <c r="P284" i="14"/>
  <c r="R283" i="14"/>
  <c r="Q283" i="14"/>
  <c r="P283" i="14"/>
  <c r="R282" i="14"/>
  <c r="Q282" i="14"/>
  <c r="P282" i="14"/>
  <c r="R281" i="14"/>
  <c r="Q281" i="14"/>
  <c r="P281" i="14"/>
  <c r="O281" i="14"/>
  <c r="R280" i="14"/>
  <c r="Q280" i="14"/>
  <c r="P280" i="14"/>
  <c r="R279" i="14"/>
  <c r="Q279" i="14"/>
  <c r="P279" i="14"/>
  <c r="R278" i="14"/>
  <c r="Q278" i="14"/>
  <c r="P278" i="14"/>
  <c r="R277" i="14"/>
  <c r="Q277" i="14"/>
  <c r="P277" i="14"/>
  <c r="R276" i="14"/>
  <c r="Q276" i="14"/>
  <c r="P276" i="14"/>
  <c r="R275" i="14"/>
  <c r="Q275" i="14"/>
  <c r="P275" i="14"/>
  <c r="R274" i="14"/>
  <c r="Q274" i="14"/>
  <c r="P274" i="14"/>
  <c r="R273" i="14"/>
  <c r="Q273" i="14"/>
  <c r="O273" i="14"/>
  <c r="P273" i="14" s="1"/>
  <c r="R272" i="14"/>
  <c r="P272" i="14"/>
  <c r="O272" i="14"/>
  <c r="Q272" i="14" s="1"/>
  <c r="R271" i="14"/>
  <c r="Q271" i="14"/>
  <c r="P271" i="14"/>
  <c r="O271" i="14"/>
  <c r="R270" i="14"/>
  <c r="Q270" i="14"/>
  <c r="P270" i="14"/>
  <c r="R269" i="14"/>
  <c r="Q269" i="14"/>
  <c r="P269" i="14"/>
  <c r="O269" i="14"/>
  <c r="R268" i="14"/>
  <c r="Q268" i="14"/>
  <c r="P268" i="14"/>
  <c r="R267" i="14"/>
  <c r="Q267" i="14"/>
  <c r="P267" i="14"/>
  <c r="R266" i="14"/>
  <c r="Q266" i="14"/>
  <c r="P266" i="14"/>
  <c r="R264" i="14"/>
  <c r="Q264" i="14"/>
  <c r="P264" i="14"/>
  <c r="R263" i="14"/>
  <c r="Q263" i="14"/>
  <c r="P263" i="14"/>
  <c r="R262" i="14"/>
  <c r="Q262" i="14"/>
  <c r="P262" i="14"/>
  <c r="R261" i="14"/>
  <c r="Q261" i="14"/>
  <c r="P261" i="14"/>
  <c r="R260" i="14"/>
  <c r="Q260" i="14"/>
  <c r="R259" i="14"/>
  <c r="Q259" i="14"/>
  <c r="R258" i="14"/>
  <c r="Q258" i="14"/>
  <c r="P258" i="14"/>
  <c r="R257" i="14"/>
  <c r="Q257" i="14"/>
  <c r="P257" i="14"/>
  <c r="R256" i="14"/>
  <c r="Q256" i="14"/>
  <c r="P256" i="14"/>
  <c r="R255" i="14"/>
  <c r="Q255" i="14"/>
  <c r="P255" i="14"/>
  <c r="R254" i="14"/>
  <c r="Q254" i="14"/>
  <c r="P254" i="14"/>
  <c r="R253" i="14"/>
  <c r="Q253" i="14"/>
  <c r="P253" i="14"/>
  <c r="R252" i="14"/>
  <c r="Q252" i="14"/>
  <c r="P252" i="14"/>
  <c r="R251" i="14"/>
  <c r="Q251" i="14"/>
  <c r="P251" i="14"/>
  <c r="R250" i="14"/>
  <c r="Q250" i="14"/>
  <c r="P250" i="14"/>
  <c r="R249" i="14"/>
  <c r="Q249" i="14"/>
  <c r="R248" i="14"/>
  <c r="Q248" i="14"/>
  <c r="R247" i="14"/>
  <c r="Q247" i="14"/>
  <c r="R246" i="14"/>
  <c r="Q246" i="14"/>
  <c r="R245" i="14"/>
  <c r="Q245" i="14"/>
  <c r="R244" i="14"/>
  <c r="Q244" i="14"/>
  <c r="R243" i="14"/>
  <c r="Q243" i="14"/>
  <c r="R242" i="14"/>
  <c r="Q242" i="14"/>
  <c r="R241" i="14"/>
  <c r="Q241" i="14"/>
  <c r="P241" i="14"/>
  <c r="R240" i="14"/>
  <c r="Q240" i="14"/>
  <c r="P240" i="14"/>
  <c r="R239" i="14"/>
  <c r="Q239" i="14"/>
  <c r="P239" i="14"/>
  <c r="R238" i="14"/>
  <c r="Q238" i="14"/>
  <c r="P238" i="14"/>
  <c r="R237" i="14"/>
  <c r="Q237" i="14"/>
  <c r="P237" i="14"/>
  <c r="R236" i="14"/>
  <c r="Q236" i="14"/>
  <c r="P236" i="14"/>
  <c r="R234" i="14"/>
  <c r="Q234" i="14"/>
  <c r="P234" i="14"/>
  <c r="R233" i="14"/>
  <c r="Q233" i="14"/>
  <c r="P233" i="14"/>
  <c r="R232" i="14"/>
  <c r="Q232" i="14"/>
  <c r="P232" i="14"/>
  <c r="R231" i="14"/>
  <c r="Q231" i="14"/>
  <c r="P231" i="14"/>
  <c r="R230" i="14"/>
  <c r="Q230" i="14"/>
  <c r="P230" i="14"/>
  <c r="R229" i="14"/>
  <c r="Q229" i="14"/>
  <c r="P229" i="14"/>
  <c r="R228" i="14"/>
  <c r="Q228" i="14"/>
  <c r="P228" i="14"/>
  <c r="R227" i="14"/>
  <c r="Q227" i="14"/>
  <c r="P227" i="14"/>
  <c r="R226" i="14"/>
  <c r="Q226" i="14"/>
  <c r="P226" i="14"/>
  <c r="R225" i="14"/>
  <c r="Q225" i="14"/>
  <c r="P225" i="14"/>
  <c r="R224" i="14"/>
  <c r="Q224" i="14"/>
  <c r="P224" i="14"/>
  <c r="R223" i="14"/>
  <c r="Q223" i="14"/>
  <c r="P223" i="14"/>
  <c r="R222" i="14"/>
  <c r="Q222" i="14"/>
  <c r="P222" i="14"/>
  <c r="R221" i="14"/>
  <c r="Q221" i="14"/>
  <c r="P221" i="14"/>
  <c r="R220" i="14"/>
  <c r="Q220" i="14"/>
  <c r="P220" i="14"/>
  <c r="R219" i="14"/>
  <c r="Q219" i="14"/>
  <c r="P219" i="14"/>
  <c r="R218" i="14"/>
  <c r="Q218" i="14"/>
  <c r="P218" i="14"/>
  <c r="R217" i="14"/>
  <c r="Q217" i="14"/>
  <c r="P217" i="14"/>
  <c r="R216" i="14"/>
  <c r="Q216" i="14"/>
  <c r="P216" i="14"/>
  <c r="R215" i="14"/>
  <c r="Q215" i="14"/>
  <c r="P215" i="14"/>
  <c r="R214" i="14"/>
  <c r="Q214" i="14"/>
  <c r="P214" i="14"/>
  <c r="R213" i="14"/>
  <c r="Q213" i="14"/>
  <c r="P213" i="14"/>
  <c r="R212" i="14"/>
  <c r="Q212" i="14"/>
  <c r="P212" i="14"/>
  <c r="R211" i="14"/>
  <c r="Q211" i="14"/>
  <c r="P211" i="14"/>
  <c r="R210" i="14"/>
  <c r="Q210" i="14"/>
  <c r="P210" i="14"/>
  <c r="R209" i="14"/>
  <c r="Q209" i="14"/>
  <c r="P209" i="14"/>
  <c r="R208" i="14"/>
  <c r="Q208" i="14"/>
  <c r="P208" i="14"/>
  <c r="R207" i="14"/>
  <c r="Q207" i="14"/>
  <c r="P207" i="14"/>
  <c r="R206" i="14"/>
  <c r="Q206" i="14"/>
  <c r="P206" i="14"/>
  <c r="R204" i="14"/>
  <c r="Q204" i="14"/>
  <c r="P204" i="14"/>
  <c r="R203" i="14"/>
  <c r="Q203" i="14"/>
  <c r="P203" i="14"/>
  <c r="R202" i="14"/>
  <c r="Q202" i="14"/>
  <c r="P202" i="14"/>
  <c r="R201" i="14"/>
  <c r="Q201" i="14"/>
  <c r="P201" i="14"/>
  <c r="R200" i="14"/>
  <c r="Q200" i="14"/>
  <c r="P200" i="14"/>
  <c r="R199" i="14"/>
  <c r="R198" i="14"/>
  <c r="Q198" i="14"/>
  <c r="P198" i="14"/>
  <c r="R197" i="14"/>
  <c r="Q197" i="14"/>
  <c r="P197" i="14"/>
  <c r="R196" i="14"/>
  <c r="Q196" i="14"/>
  <c r="P196" i="14"/>
  <c r="R195" i="14"/>
  <c r="Q195" i="14"/>
  <c r="P195" i="14"/>
  <c r="R194" i="14"/>
  <c r="Q194" i="14"/>
  <c r="P194" i="14"/>
  <c r="R193" i="14"/>
  <c r="Q193" i="14"/>
  <c r="P193" i="14"/>
  <c r="R192" i="14"/>
  <c r="Q192" i="14"/>
  <c r="P192" i="14"/>
  <c r="R191" i="14"/>
  <c r="Q191" i="14"/>
  <c r="P191" i="14"/>
  <c r="R190" i="14"/>
  <c r="Q190" i="14"/>
  <c r="P190" i="14"/>
  <c r="R189" i="14"/>
  <c r="Q189" i="14"/>
  <c r="R188" i="14"/>
  <c r="Q188" i="14"/>
  <c r="R187" i="14"/>
  <c r="Q187" i="14"/>
  <c r="R186" i="14"/>
  <c r="Q186" i="14"/>
  <c r="R185" i="14"/>
  <c r="Q185" i="14"/>
  <c r="R184" i="14"/>
  <c r="Q184" i="14"/>
  <c r="P184" i="14"/>
  <c r="R183" i="14"/>
  <c r="Q183" i="14"/>
  <c r="P183" i="14"/>
  <c r="R182" i="14"/>
  <c r="Q182" i="14"/>
  <c r="P182" i="14"/>
  <c r="R181" i="14"/>
  <c r="Q181" i="14"/>
  <c r="P181" i="14"/>
  <c r="R180" i="14"/>
  <c r="Q180" i="14"/>
  <c r="P180" i="14"/>
  <c r="R179" i="14"/>
  <c r="Q179" i="14"/>
  <c r="P179" i="14"/>
  <c r="R178" i="14"/>
  <c r="Q178" i="14"/>
  <c r="P178" i="14"/>
  <c r="R177" i="14"/>
  <c r="Q177" i="14"/>
  <c r="P177" i="14"/>
  <c r="R176" i="14"/>
  <c r="Q176" i="14"/>
  <c r="P176" i="14"/>
  <c r="R174" i="14"/>
  <c r="Q174" i="14"/>
  <c r="P174" i="14"/>
  <c r="R173" i="14"/>
  <c r="Q173" i="14"/>
  <c r="P173" i="14"/>
  <c r="R172" i="14"/>
  <c r="Q172" i="14"/>
  <c r="P172" i="14"/>
  <c r="R171" i="14"/>
  <c r="Q171" i="14"/>
  <c r="P171" i="14"/>
  <c r="R170" i="14"/>
  <c r="Q170" i="14"/>
  <c r="P170" i="14"/>
  <c r="R169" i="14"/>
  <c r="Q169" i="14"/>
  <c r="P169" i="14"/>
  <c r="R168" i="14"/>
  <c r="Q168" i="14"/>
  <c r="P168" i="14"/>
  <c r="R167" i="14"/>
  <c r="Q167" i="14"/>
  <c r="P167" i="14"/>
  <c r="R166" i="14"/>
  <c r="Q166" i="14"/>
  <c r="P166" i="14"/>
  <c r="R165" i="14"/>
  <c r="Q165" i="14"/>
  <c r="P165" i="14"/>
  <c r="R164" i="14"/>
  <c r="Q164" i="14"/>
  <c r="P164" i="14"/>
  <c r="R163" i="14"/>
  <c r="Q163" i="14"/>
  <c r="P163" i="14"/>
  <c r="R162" i="14"/>
  <c r="Q162" i="14"/>
  <c r="P162" i="14"/>
  <c r="R161" i="14"/>
  <c r="Q161" i="14"/>
  <c r="P161" i="14"/>
  <c r="R160" i="14"/>
  <c r="Q160" i="14"/>
  <c r="P160" i="14"/>
  <c r="R159" i="14"/>
  <c r="Q159" i="14"/>
  <c r="P159" i="14"/>
  <c r="R158" i="14"/>
  <c r="Q158" i="14"/>
  <c r="P158" i="14"/>
  <c r="R157" i="14"/>
  <c r="Q157" i="14"/>
  <c r="P157" i="14"/>
  <c r="R156" i="14"/>
  <c r="Q156" i="14"/>
  <c r="P156" i="14"/>
  <c r="R155" i="14"/>
  <c r="Q155" i="14"/>
  <c r="P155" i="14"/>
  <c r="R154" i="14"/>
  <c r="Q154" i="14"/>
  <c r="P154" i="14"/>
  <c r="R153" i="14"/>
  <c r="Q153" i="14"/>
  <c r="P153" i="14"/>
  <c r="R152" i="14"/>
  <c r="Q152" i="14"/>
  <c r="P152" i="14"/>
  <c r="R151" i="14"/>
  <c r="Q151" i="14"/>
  <c r="P151" i="14"/>
  <c r="R150" i="14"/>
  <c r="Q150" i="14"/>
  <c r="P150" i="14"/>
  <c r="R149" i="14"/>
  <c r="Q149" i="14"/>
  <c r="P149" i="14"/>
  <c r="R148" i="14"/>
  <c r="Q148" i="14"/>
  <c r="P148" i="14"/>
  <c r="R147" i="14"/>
  <c r="Q147" i="14"/>
  <c r="P147" i="14"/>
  <c r="R146" i="14"/>
  <c r="Q146" i="14"/>
  <c r="P146" i="14"/>
  <c r="R144" i="14"/>
  <c r="Q144" i="14"/>
  <c r="P144" i="14"/>
  <c r="R143" i="14"/>
  <c r="Q143" i="14"/>
  <c r="P143" i="14"/>
  <c r="R142" i="14"/>
  <c r="Q142" i="14"/>
  <c r="P142" i="14"/>
  <c r="R141" i="14"/>
  <c r="Q141" i="14"/>
  <c r="P141" i="14"/>
  <c r="R140" i="14"/>
  <c r="Q140" i="14"/>
  <c r="P140" i="14"/>
  <c r="Q139" i="14"/>
  <c r="R139" i="14"/>
  <c r="R138" i="14"/>
  <c r="Q138" i="14"/>
  <c r="P138" i="14"/>
  <c r="R137" i="14"/>
  <c r="Q137" i="14"/>
  <c r="P137" i="14"/>
  <c r="R136" i="14"/>
  <c r="Q136" i="14"/>
  <c r="P136" i="14"/>
  <c r="R135" i="14"/>
  <c r="Q135" i="14"/>
  <c r="P135" i="14"/>
  <c r="R134" i="14"/>
  <c r="Q134" i="14"/>
  <c r="P134" i="14"/>
  <c r="R133" i="14"/>
  <c r="Q133" i="14"/>
  <c r="P133" i="14"/>
  <c r="R132" i="14"/>
  <c r="Q132" i="14"/>
  <c r="P132" i="14"/>
  <c r="R131" i="14"/>
  <c r="Q131" i="14"/>
  <c r="P131" i="14"/>
  <c r="R130" i="14"/>
  <c r="Q130" i="14"/>
  <c r="P130" i="14"/>
  <c r="P129" i="14"/>
  <c r="R129" i="14"/>
  <c r="P128" i="14"/>
  <c r="R128" i="14"/>
  <c r="P127" i="14"/>
  <c r="R127" i="14"/>
  <c r="P126" i="14"/>
  <c r="R126" i="14"/>
  <c r="P125" i="14"/>
  <c r="R125" i="14"/>
  <c r="R124" i="14"/>
  <c r="Q124" i="14"/>
  <c r="P124" i="14"/>
  <c r="R123" i="14"/>
  <c r="R122" i="14"/>
  <c r="R121" i="14"/>
  <c r="R120" i="14"/>
  <c r="R119" i="14"/>
  <c r="R118" i="14"/>
  <c r="R117" i="14"/>
  <c r="Q117" i="14"/>
  <c r="P117" i="14"/>
  <c r="R116" i="14"/>
  <c r="Q116" i="14"/>
  <c r="P116" i="14"/>
  <c r="R114" i="14"/>
  <c r="Q114" i="14"/>
  <c r="P114" i="14"/>
  <c r="R113" i="14"/>
  <c r="Q113" i="14"/>
  <c r="P113" i="14"/>
  <c r="R112" i="14"/>
  <c r="Q112" i="14"/>
  <c r="P112" i="14"/>
  <c r="R111" i="14"/>
  <c r="Q111" i="14"/>
  <c r="P111" i="14"/>
  <c r="R110" i="14"/>
  <c r="Q110" i="14"/>
  <c r="P110" i="14"/>
  <c r="P109" i="14"/>
  <c r="O109" i="14"/>
  <c r="R109" i="14" s="1"/>
  <c r="R108" i="14"/>
  <c r="Q108" i="14"/>
  <c r="P108" i="14"/>
  <c r="R107" i="14"/>
  <c r="Q107" i="14"/>
  <c r="P107" i="14"/>
  <c r="R106" i="14"/>
  <c r="Q106" i="14"/>
  <c r="P106" i="14"/>
  <c r="R105" i="14"/>
  <c r="Q105" i="14"/>
  <c r="P105" i="14"/>
  <c r="R104" i="14"/>
  <c r="Q104" i="14"/>
  <c r="P104" i="14"/>
  <c r="R103" i="14"/>
  <c r="Q103" i="14"/>
  <c r="P103" i="14"/>
  <c r="R102" i="14"/>
  <c r="Q102" i="14"/>
  <c r="P102" i="14"/>
  <c r="R101" i="14"/>
  <c r="Q101" i="14"/>
  <c r="P101" i="14"/>
  <c r="R100" i="14"/>
  <c r="Q100" i="14"/>
  <c r="P100" i="14"/>
  <c r="R99" i="14"/>
  <c r="Q99" i="14"/>
  <c r="P99" i="14"/>
  <c r="R98" i="14"/>
  <c r="Q98" i="14"/>
  <c r="P98" i="14"/>
  <c r="R97" i="14"/>
  <c r="Q97" i="14"/>
  <c r="P97" i="14"/>
  <c r="R96" i="14"/>
  <c r="Q96" i="14"/>
  <c r="P96" i="14"/>
  <c r="O95" i="14"/>
  <c r="R95" i="14" s="1"/>
  <c r="R94" i="14"/>
  <c r="Q94" i="14"/>
  <c r="P94" i="14"/>
  <c r="R93" i="14"/>
  <c r="Q93" i="14"/>
  <c r="P93" i="14"/>
  <c r="Q92" i="14"/>
  <c r="P92" i="14"/>
  <c r="O92" i="14"/>
  <c r="R92" i="14" s="1"/>
  <c r="R91" i="14"/>
  <c r="Q91" i="14"/>
  <c r="P91" i="14"/>
  <c r="P90" i="14"/>
  <c r="O90" i="14"/>
  <c r="R90" i="14" s="1"/>
  <c r="R89" i="14"/>
  <c r="Q89" i="14"/>
  <c r="P89" i="14"/>
  <c r="R88" i="14"/>
  <c r="Q88" i="14"/>
  <c r="P88" i="14"/>
  <c r="R87" i="14"/>
  <c r="Q87" i="14"/>
  <c r="P87" i="14"/>
  <c r="R86" i="14"/>
  <c r="Q86" i="14"/>
  <c r="P86" i="14"/>
  <c r="R84" i="14"/>
  <c r="Q84" i="14"/>
  <c r="P84" i="14"/>
  <c r="R83" i="14"/>
  <c r="Q83" i="14"/>
  <c r="P83" i="14"/>
  <c r="R82" i="14"/>
  <c r="Q82" i="14"/>
  <c r="P82" i="14"/>
  <c r="R81" i="14"/>
  <c r="Q81" i="14"/>
  <c r="P81" i="14"/>
  <c r="R80" i="14"/>
  <c r="Q80" i="14"/>
  <c r="P80" i="14"/>
  <c r="O79" i="14"/>
  <c r="R79" i="14" s="1"/>
  <c r="R78" i="14"/>
  <c r="Q78" i="14"/>
  <c r="P78" i="14"/>
  <c r="R77" i="14"/>
  <c r="Q77" i="14"/>
  <c r="P77" i="14"/>
  <c r="R76" i="14"/>
  <c r="Q76" i="14"/>
  <c r="P76" i="14"/>
  <c r="R75" i="14"/>
  <c r="Q75" i="14"/>
  <c r="P75" i="14"/>
  <c r="R74" i="14"/>
  <c r="Q74" i="14"/>
  <c r="P74" i="14"/>
  <c r="R73" i="14"/>
  <c r="Q73" i="14"/>
  <c r="P73" i="14"/>
  <c r="R72" i="14"/>
  <c r="Q72" i="14"/>
  <c r="P72" i="14"/>
  <c r="R71" i="14"/>
  <c r="Q71" i="14"/>
  <c r="P71" i="14"/>
  <c r="R70" i="14"/>
  <c r="Q70" i="14"/>
  <c r="P70" i="14"/>
  <c r="R69" i="14"/>
  <c r="Q69" i="14"/>
  <c r="P69" i="14"/>
  <c r="R68" i="14"/>
  <c r="Q68" i="14"/>
  <c r="P68" i="14"/>
  <c r="R67" i="14"/>
  <c r="Q67" i="14"/>
  <c r="P67" i="14"/>
  <c r="R66" i="14"/>
  <c r="Q66" i="14"/>
  <c r="P66" i="14"/>
  <c r="R65" i="14"/>
  <c r="O65" i="14"/>
  <c r="Q65" i="14" s="1"/>
  <c r="R64" i="14"/>
  <c r="Q64" i="14"/>
  <c r="P64" i="14"/>
  <c r="R63" i="14"/>
  <c r="Q63" i="14"/>
  <c r="P63" i="14"/>
  <c r="Q62" i="14"/>
  <c r="P62" i="14"/>
  <c r="O62" i="14"/>
  <c r="R62" i="14" s="1"/>
  <c r="R61" i="14"/>
  <c r="Q61" i="14"/>
  <c r="P61" i="14"/>
  <c r="O60" i="14"/>
  <c r="R60" i="14" s="1"/>
  <c r="R59" i="14"/>
  <c r="Q59" i="14"/>
  <c r="P59" i="14"/>
  <c r="R58" i="14"/>
  <c r="Q58" i="14"/>
  <c r="P58" i="14"/>
  <c r="R57" i="14"/>
  <c r="Q57" i="14"/>
  <c r="P57" i="14"/>
  <c r="R56" i="14"/>
  <c r="Q56" i="14"/>
  <c r="P56" i="14"/>
  <c r="R54" i="14"/>
  <c r="Q54" i="14"/>
  <c r="P54" i="14"/>
  <c r="R53" i="14"/>
  <c r="Q53" i="14"/>
  <c r="P53" i="14"/>
  <c r="R52" i="14"/>
  <c r="Q52" i="14"/>
  <c r="P52" i="14"/>
  <c r="R51" i="14"/>
  <c r="Q51" i="14"/>
  <c r="P51" i="14"/>
  <c r="R50" i="14"/>
  <c r="Q50" i="14"/>
  <c r="P50" i="14"/>
  <c r="R49" i="14"/>
  <c r="O49" i="14"/>
  <c r="Q49" i="14" s="1"/>
  <c r="R48" i="14"/>
  <c r="Q48" i="14"/>
  <c r="P48" i="14"/>
  <c r="R47" i="14"/>
  <c r="Q47" i="14"/>
  <c r="P47" i="14"/>
  <c r="R46" i="14"/>
  <c r="Q46" i="14"/>
  <c r="P46" i="14"/>
  <c r="R45" i="14"/>
  <c r="Q45" i="14"/>
  <c r="P45" i="14"/>
  <c r="R44" i="14"/>
  <c r="Q44" i="14"/>
  <c r="P44" i="14"/>
  <c r="R43" i="14"/>
  <c r="Q43" i="14"/>
  <c r="P43" i="14"/>
  <c r="R42" i="14"/>
  <c r="Q42" i="14"/>
  <c r="P42" i="14"/>
  <c r="R41" i="14"/>
  <c r="Q41" i="14"/>
  <c r="P41" i="14"/>
  <c r="R40" i="14"/>
  <c r="Q40" i="14"/>
  <c r="P40" i="14"/>
  <c r="R39" i="14"/>
  <c r="Q39" i="14"/>
  <c r="P39" i="14"/>
  <c r="R38" i="14"/>
  <c r="Q38" i="14"/>
  <c r="P38" i="14"/>
  <c r="R37" i="14"/>
  <c r="Q37" i="14"/>
  <c r="P37" i="14"/>
  <c r="R36" i="14"/>
  <c r="Q36" i="14"/>
  <c r="P36" i="14"/>
  <c r="R35" i="14"/>
  <c r="Q35" i="14"/>
  <c r="P35" i="14"/>
  <c r="O35" i="14"/>
  <c r="R34" i="14"/>
  <c r="Q34" i="14"/>
  <c r="P34" i="14"/>
  <c r="R33" i="14"/>
  <c r="Q33" i="14"/>
  <c r="P33" i="14"/>
  <c r="O32" i="14"/>
  <c r="R32" i="14" s="1"/>
  <c r="R30" i="14"/>
  <c r="Q30" i="14"/>
  <c r="P30" i="14"/>
  <c r="R29" i="14"/>
  <c r="Q29" i="14"/>
  <c r="P29" i="14"/>
  <c r="R28" i="14"/>
  <c r="Q28" i="14"/>
  <c r="P28" i="14"/>
  <c r="R27" i="14"/>
  <c r="Q27" i="14"/>
  <c r="P27" i="14"/>
  <c r="R26" i="14"/>
  <c r="Q26" i="14"/>
  <c r="P26" i="14"/>
  <c r="R25" i="14"/>
  <c r="O25" i="14"/>
  <c r="Q25" i="14" s="1"/>
  <c r="R24" i="14"/>
  <c r="Q24" i="14"/>
  <c r="P24" i="14"/>
  <c r="R23" i="14"/>
  <c r="Q23" i="14"/>
  <c r="P23" i="14"/>
  <c r="R22" i="14"/>
  <c r="Q22" i="14"/>
  <c r="P22" i="14"/>
  <c r="R21" i="14"/>
  <c r="Q21" i="14"/>
  <c r="P21" i="14"/>
  <c r="R20" i="14"/>
  <c r="Q20" i="14"/>
  <c r="P20" i="14"/>
  <c r="R19" i="14"/>
  <c r="Q19" i="14"/>
  <c r="P19" i="14"/>
  <c r="R18" i="14"/>
  <c r="Q18" i="14"/>
  <c r="P18" i="14"/>
  <c r="R17" i="14"/>
  <c r="Q17" i="14"/>
  <c r="P17" i="14"/>
  <c r="R16" i="14"/>
  <c r="Q16" i="14"/>
  <c r="P16" i="14"/>
  <c r="R15" i="14"/>
  <c r="Q15" i="14"/>
  <c r="P15" i="14"/>
  <c r="R14" i="14"/>
  <c r="Q14" i="14"/>
  <c r="P14" i="14"/>
  <c r="R13" i="14"/>
  <c r="Q13" i="14"/>
  <c r="P13" i="14"/>
  <c r="R12" i="14"/>
  <c r="Q12" i="14"/>
  <c r="P12" i="14"/>
  <c r="Q11" i="14"/>
  <c r="O11" i="14"/>
  <c r="P11" i="14" s="1"/>
  <c r="R10" i="14"/>
  <c r="Q10" i="14"/>
  <c r="P10" i="14"/>
  <c r="R9" i="14"/>
  <c r="Q9" i="14"/>
  <c r="P9" i="14"/>
  <c r="O8" i="14"/>
  <c r="R8" i="14" s="1"/>
  <c r="R7" i="14"/>
  <c r="Q7" i="14"/>
  <c r="P7" i="14"/>
  <c r="R6" i="14"/>
  <c r="O6" i="14"/>
  <c r="Q6" i="14" s="1"/>
  <c r="R5" i="14"/>
  <c r="Q5" i="14"/>
  <c r="P5" i="14"/>
  <c r="R4" i="14"/>
  <c r="Q4" i="14"/>
  <c r="P4" i="14"/>
  <c r="R3" i="14"/>
  <c r="Q3" i="14"/>
  <c r="P3" i="14"/>
  <c r="R2" i="14"/>
  <c r="Q2" i="14"/>
  <c r="P2" i="14"/>
  <c r="Q361" i="7" l="1"/>
  <c r="R361" i="7"/>
  <c r="S361" i="7"/>
  <c r="R11" i="14"/>
  <c r="P60" i="14"/>
  <c r="Q109" i="14"/>
  <c r="P118" i="14"/>
  <c r="P120" i="14"/>
  <c r="P122" i="14"/>
  <c r="Q126" i="14"/>
  <c r="Q128" i="14"/>
  <c r="Q290" i="14"/>
  <c r="P329" i="14"/>
  <c r="P331" i="14"/>
  <c r="P333" i="14"/>
  <c r="Q335" i="14"/>
  <c r="Q337" i="14"/>
  <c r="R339" i="14"/>
  <c r="P356" i="14"/>
  <c r="Q359" i="14"/>
  <c r="R439" i="14"/>
  <c r="P25" i="14"/>
  <c r="P49" i="14"/>
  <c r="Q60" i="14"/>
  <c r="P65" i="14"/>
  <c r="Q118" i="14"/>
  <c r="Q120" i="14"/>
  <c r="Q122" i="14"/>
  <c r="P186" i="14"/>
  <c r="P188" i="14"/>
  <c r="P242" i="14"/>
  <c r="P244" i="14"/>
  <c r="P246" i="14"/>
  <c r="P248" i="14"/>
  <c r="P260" i="14"/>
  <c r="Q329" i="14"/>
  <c r="Q331" i="14"/>
  <c r="Q333" i="14"/>
  <c r="Q356" i="14"/>
  <c r="P362" i="14"/>
  <c r="P366" i="14"/>
  <c r="P139" i="14"/>
  <c r="Q366" i="14"/>
  <c r="P8" i="14"/>
  <c r="P32" i="14"/>
  <c r="P79" i="14"/>
  <c r="Q90" i="14"/>
  <c r="P95" i="14"/>
  <c r="P119" i="14"/>
  <c r="P121" i="14"/>
  <c r="P123" i="14"/>
  <c r="Q125" i="14"/>
  <c r="Q127" i="14"/>
  <c r="Q129" i="14"/>
  <c r="P199" i="14"/>
  <c r="P6" i="14"/>
  <c r="Q8" i="14"/>
  <c r="Q32" i="14"/>
  <c r="Q79" i="14"/>
  <c r="Q95" i="14"/>
  <c r="Q119" i="14"/>
  <c r="Q121" i="14"/>
  <c r="Q123" i="14"/>
  <c r="P185" i="14"/>
  <c r="P187" i="14"/>
  <c r="P189" i="14"/>
  <c r="Q199" i="14"/>
  <c r="P243" i="14"/>
  <c r="P245" i="14"/>
  <c r="P247" i="14"/>
  <c r="P249" i="14"/>
  <c r="P259" i="14"/>
  <c r="P349" i="14"/>
  <c r="P363" i="14"/>
  <c r="P367" i="14"/>
  <c r="Q371" i="14"/>
  <c r="P411" i="14"/>
  <c r="P441" i="14"/>
  <c r="P845" i="13" l="1"/>
  <c r="P844" i="13"/>
  <c r="P843" i="13"/>
  <c r="P842" i="13"/>
  <c r="P841" i="13"/>
  <c r="P840" i="13"/>
  <c r="P839" i="13"/>
  <c r="P838" i="13"/>
  <c r="P837" i="13"/>
  <c r="P836" i="13"/>
  <c r="P835" i="13"/>
  <c r="P834" i="13"/>
  <c r="P833" i="13"/>
  <c r="P832" i="13"/>
  <c r="P831" i="13"/>
  <c r="P830" i="13"/>
  <c r="P829" i="13"/>
  <c r="P828" i="13"/>
  <c r="P827" i="13"/>
  <c r="P826" i="13"/>
  <c r="P825" i="13"/>
  <c r="P824" i="13"/>
  <c r="P823" i="13"/>
  <c r="P822" i="13"/>
  <c r="P821" i="13"/>
  <c r="P820" i="13"/>
  <c r="P819" i="13"/>
  <c r="P818" i="13"/>
  <c r="P817" i="13"/>
  <c r="P816" i="13"/>
  <c r="P815" i="13"/>
  <c r="P814" i="13"/>
  <c r="P813" i="13"/>
  <c r="P812" i="13"/>
  <c r="P811" i="13"/>
  <c r="P810" i="13"/>
  <c r="P809" i="13"/>
  <c r="P808" i="13"/>
  <c r="P807" i="13"/>
  <c r="P806" i="13"/>
  <c r="P805" i="13"/>
  <c r="P804" i="13"/>
  <c r="P803" i="13"/>
  <c r="P802" i="13"/>
  <c r="P801" i="13"/>
  <c r="P800" i="13"/>
  <c r="P799" i="13"/>
  <c r="P798" i="13"/>
  <c r="P797" i="13"/>
  <c r="P796" i="13"/>
  <c r="P795" i="13"/>
  <c r="P794" i="13"/>
  <c r="P793" i="13"/>
  <c r="P792" i="13"/>
  <c r="P791" i="13"/>
  <c r="R200" i="13"/>
  <c r="Q200" i="13"/>
  <c r="P200" i="13"/>
  <c r="O200" i="13"/>
  <c r="R194" i="13"/>
  <c r="Q194" i="13"/>
  <c r="P194" i="13"/>
  <c r="R190" i="13"/>
  <c r="Q190" i="13"/>
  <c r="P190" i="13"/>
  <c r="R188" i="13"/>
  <c r="Q188" i="13"/>
  <c r="P188" i="13"/>
  <c r="R187" i="13"/>
  <c r="Q187" i="13"/>
  <c r="P187" i="13"/>
  <c r="R186" i="13"/>
  <c r="Q186" i="13"/>
  <c r="P186" i="13"/>
  <c r="R184" i="13"/>
  <c r="Q184" i="13"/>
  <c r="P184" i="13"/>
  <c r="R183" i="13"/>
  <c r="Q183" i="13"/>
  <c r="P183" i="13"/>
  <c r="R182" i="13"/>
  <c r="Q182" i="13"/>
  <c r="P182" i="13"/>
  <c r="R181" i="13"/>
  <c r="Q181" i="13"/>
  <c r="P181" i="13"/>
  <c r="R177" i="13"/>
  <c r="Q177" i="13"/>
  <c r="P177" i="13"/>
  <c r="R173" i="13"/>
  <c r="Q173" i="13"/>
  <c r="P173" i="13"/>
  <c r="R172" i="13"/>
  <c r="Q172" i="13"/>
  <c r="P172" i="13"/>
  <c r="R171" i="13"/>
  <c r="Q171" i="13"/>
  <c r="P171" i="13"/>
  <c r="R170" i="13"/>
  <c r="Q170" i="13"/>
  <c r="P170" i="13"/>
  <c r="R160" i="13"/>
  <c r="Q160" i="13"/>
  <c r="P160" i="13"/>
  <c r="R158" i="13"/>
  <c r="Q158" i="13"/>
  <c r="P158" i="13"/>
  <c r="R157" i="13"/>
  <c r="Q157" i="13"/>
  <c r="P157" i="13"/>
  <c r="R156" i="13"/>
  <c r="Q156" i="13"/>
  <c r="P156" i="13"/>
  <c r="R154" i="13"/>
  <c r="Q154" i="13"/>
  <c r="P154" i="13"/>
  <c r="R153" i="13"/>
  <c r="Q153" i="13"/>
  <c r="P153" i="13"/>
  <c r="R152" i="13"/>
  <c r="Q152" i="13"/>
  <c r="P152" i="13"/>
  <c r="R151" i="13"/>
  <c r="Q151" i="13"/>
  <c r="P151" i="13"/>
  <c r="R150" i="13"/>
  <c r="Q150" i="13"/>
  <c r="P150" i="13"/>
  <c r="R147" i="13"/>
  <c r="Q147" i="13"/>
  <c r="P147" i="13"/>
  <c r="R144" i="13"/>
  <c r="Q144" i="13"/>
  <c r="P144" i="13"/>
  <c r="R143" i="13"/>
  <c r="Q143" i="13"/>
  <c r="P143" i="13"/>
  <c r="R142" i="13"/>
  <c r="Q142" i="13"/>
  <c r="P142" i="13"/>
  <c r="R141" i="13"/>
  <c r="Q141" i="13"/>
  <c r="P141" i="13"/>
  <c r="R135" i="13"/>
  <c r="Q135" i="13"/>
  <c r="P135" i="13"/>
  <c r="R131" i="13"/>
  <c r="Q131" i="13"/>
  <c r="P131" i="13"/>
  <c r="R130" i="13"/>
  <c r="Q130" i="13"/>
  <c r="P130" i="13"/>
  <c r="R129" i="13"/>
  <c r="Q129" i="13"/>
  <c r="P129" i="13"/>
  <c r="R128" i="13"/>
  <c r="Q128" i="13"/>
  <c r="P128" i="13"/>
  <c r="R127" i="13"/>
  <c r="Q127" i="13"/>
  <c r="P127" i="13"/>
  <c r="R125" i="13"/>
  <c r="Q125" i="13"/>
  <c r="P125" i="13"/>
  <c r="R124" i="13"/>
  <c r="Q124" i="13"/>
  <c r="P124" i="13"/>
  <c r="R123" i="13"/>
  <c r="Q123" i="13"/>
  <c r="P123" i="13"/>
  <c r="R122" i="13"/>
  <c r="Q122" i="13"/>
  <c r="P122" i="13"/>
  <c r="R121" i="13"/>
  <c r="Q121" i="13"/>
  <c r="P121" i="13"/>
  <c r="R120" i="13"/>
  <c r="Q120" i="13"/>
  <c r="P120" i="13"/>
  <c r="R118" i="13"/>
  <c r="Q118" i="13"/>
  <c r="P118" i="13"/>
  <c r="R117" i="13"/>
  <c r="Q117" i="13"/>
  <c r="P117" i="13"/>
  <c r="R115" i="13"/>
  <c r="Q115" i="13"/>
  <c r="P115" i="13"/>
  <c r="R114" i="13"/>
  <c r="Q114" i="13"/>
  <c r="P114" i="13"/>
  <c r="R113" i="13"/>
  <c r="Q113" i="13"/>
  <c r="P113" i="13"/>
  <c r="R112" i="13"/>
  <c r="Q112" i="13"/>
  <c r="P112" i="13"/>
  <c r="R106" i="13"/>
  <c r="Q106" i="13"/>
  <c r="P106" i="13"/>
  <c r="R102" i="13"/>
  <c r="Q102" i="13"/>
  <c r="P102" i="13"/>
  <c r="R100" i="13"/>
  <c r="Q100" i="13"/>
  <c r="P100" i="13"/>
  <c r="R99" i="13"/>
  <c r="Q99" i="13"/>
  <c r="P99" i="13"/>
  <c r="R98" i="13"/>
  <c r="Q98" i="13"/>
  <c r="P98" i="13"/>
  <c r="R96" i="13"/>
  <c r="Q96" i="13"/>
  <c r="P96" i="13"/>
  <c r="R95" i="13"/>
  <c r="Q95" i="13"/>
  <c r="P95" i="13"/>
  <c r="R94" i="13"/>
  <c r="Q94" i="13"/>
  <c r="P94" i="13"/>
  <c r="R93" i="13"/>
  <c r="Q93" i="13"/>
  <c r="P93" i="13"/>
  <c r="R92" i="13"/>
  <c r="Q92" i="13"/>
  <c r="P92" i="13"/>
  <c r="R91" i="13"/>
  <c r="Q91" i="13"/>
  <c r="P91" i="13"/>
  <c r="R89" i="13"/>
  <c r="Q89" i="13"/>
  <c r="P89" i="13"/>
  <c r="R87" i="13"/>
  <c r="Q87" i="13"/>
  <c r="P87" i="13"/>
  <c r="R86" i="13"/>
  <c r="Q86" i="13"/>
  <c r="P86" i="13"/>
  <c r="P85" i="13"/>
  <c r="O85" i="13"/>
  <c r="Q85" i="13" s="1"/>
  <c r="R84" i="13"/>
  <c r="Q84" i="13"/>
  <c r="P84" i="13"/>
  <c r="O83" i="13"/>
  <c r="P83" i="13" s="1"/>
  <c r="R78" i="13"/>
  <c r="Q78" i="13"/>
  <c r="P78" i="13"/>
  <c r="R77" i="13"/>
  <c r="Q77" i="13"/>
  <c r="P77" i="13"/>
  <c r="R73" i="13"/>
  <c r="Q73" i="13"/>
  <c r="P73" i="13"/>
  <c r="R72" i="13"/>
  <c r="Q72" i="13"/>
  <c r="P72" i="13"/>
  <c r="R71" i="13"/>
  <c r="Q71" i="13"/>
  <c r="P71" i="13"/>
  <c r="R70" i="13"/>
  <c r="Q70" i="13"/>
  <c r="P70" i="13"/>
  <c r="R69" i="13"/>
  <c r="Q69" i="13"/>
  <c r="P69" i="13"/>
  <c r="R67" i="13"/>
  <c r="Q67" i="13"/>
  <c r="P67" i="13"/>
  <c r="R66" i="13"/>
  <c r="Q66" i="13"/>
  <c r="P66" i="13"/>
  <c r="R65" i="13"/>
  <c r="Q65" i="13"/>
  <c r="P65" i="13"/>
  <c r="R64" i="13"/>
  <c r="Q64" i="13"/>
  <c r="P64" i="13"/>
  <c r="R63" i="13"/>
  <c r="Q63" i="13"/>
  <c r="P63" i="13"/>
  <c r="R60" i="13"/>
  <c r="Q60" i="13"/>
  <c r="P60" i="13"/>
  <c r="R59" i="13"/>
  <c r="Q59" i="13"/>
  <c r="P59" i="13"/>
  <c r="R57" i="13"/>
  <c r="Q57" i="13"/>
  <c r="P57" i="13"/>
  <c r="P56" i="13"/>
  <c r="O56" i="13"/>
  <c r="Q56" i="13" s="1"/>
  <c r="R55" i="13"/>
  <c r="Q55" i="13"/>
  <c r="P55" i="13"/>
  <c r="O54" i="13"/>
  <c r="P54" i="13" s="1"/>
  <c r="R44" i="13"/>
  <c r="Q44" i="13"/>
  <c r="P44" i="13"/>
  <c r="R42" i="13"/>
  <c r="Q42" i="13"/>
  <c r="P42" i="13"/>
  <c r="R41" i="13"/>
  <c r="Q41" i="13"/>
  <c r="P41" i="13"/>
  <c r="R40" i="13"/>
  <c r="Q40" i="13"/>
  <c r="P40" i="13"/>
  <c r="R38" i="13"/>
  <c r="Q38" i="13"/>
  <c r="P38" i="13"/>
  <c r="R37" i="13"/>
  <c r="Q37" i="13"/>
  <c r="P37" i="13"/>
  <c r="R36" i="13"/>
  <c r="Q36" i="13"/>
  <c r="P36" i="13"/>
  <c r="R35" i="13"/>
  <c r="Q35" i="13"/>
  <c r="P35" i="13"/>
  <c r="R34" i="13"/>
  <c r="Q34" i="13"/>
  <c r="P34" i="13"/>
  <c r="R33" i="13"/>
  <c r="Q33" i="13"/>
  <c r="P33" i="13"/>
  <c r="R31" i="13"/>
  <c r="Q31" i="13"/>
  <c r="P31" i="13"/>
  <c r="R28" i="13"/>
  <c r="Q28" i="13"/>
  <c r="P28" i="13"/>
  <c r="R27" i="13"/>
  <c r="Q27" i="13"/>
  <c r="P27" i="13"/>
  <c r="R26" i="13"/>
  <c r="Q26" i="13"/>
  <c r="P26" i="13"/>
  <c r="R25" i="13"/>
  <c r="Q25" i="13"/>
  <c r="P25" i="13"/>
  <c r="R23" i="13"/>
  <c r="Q23" i="13"/>
  <c r="P23" i="13"/>
  <c r="R19" i="13"/>
  <c r="Q19" i="13"/>
  <c r="P19" i="13"/>
  <c r="R18" i="13"/>
  <c r="Q18" i="13"/>
  <c r="P18" i="13"/>
  <c r="Q17" i="13"/>
  <c r="P17" i="13"/>
  <c r="O17" i="13"/>
  <c r="R17" i="13" s="1"/>
  <c r="R15" i="13"/>
  <c r="Q15" i="13"/>
  <c r="P15" i="13"/>
  <c r="P13" i="13"/>
  <c r="O13" i="13"/>
  <c r="Q13" i="13" s="1"/>
  <c r="Q12" i="13"/>
  <c r="P12" i="13"/>
  <c r="O12" i="13"/>
  <c r="R12" i="13" s="1"/>
  <c r="P9" i="13"/>
  <c r="O9" i="13"/>
  <c r="Q9" i="13" s="1"/>
  <c r="R8" i="13"/>
  <c r="Q8" i="13"/>
  <c r="P8" i="13"/>
  <c r="O8" i="13"/>
  <c r="R7" i="13"/>
  <c r="Q7" i="13"/>
  <c r="P7" i="13"/>
  <c r="R6" i="13"/>
  <c r="Q6" i="13"/>
  <c r="P6" i="13"/>
  <c r="R5" i="13"/>
  <c r="O5" i="13"/>
  <c r="Q5" i="13" s="1"/>
  <c r="R4" i="13"/>
  <c r="Q4" i="13"/>
  <c r="P4" i="13"/>
  <c r="R2" i="13"/>
  <c r="Q2" i="13"/>
  <c r="P2" i="13"/>
  <c r="O2" i="13"/>
  <c r="P5" i="13" l="1"/>
  <c r="R9" i="13"/>
  <c r="R13" i="13"/>
  <c r="Q54" i="13"/>
  <c r="R56" i="13"/>
  <c r="Q83" i="13"/>
  <c r="R85" i="13"/>
  <c r="R54" i="13"/>
  <c r="R83" i="13"/>
  <c r="N5" i="9"/>
  <c r="O5" i="9"/>
  <c r="O4" i="9"/>
  <c r="N4" i="9"/>
  <c r="Q360" i="7" l="1"/>
  <c r="R352" i="7"/>
  <c r="R353" i="7"/>
  <c r="S353" i="7" l="1"/>
  <c r="S352" i="7"/>
  <c r="S356" i="7"/>
  <c r="Q353" i="7"/>
  <c r="Q352" i="7"/>
  <c r="R359" i="7"/>
  <c r="S359" i="7"/>
  <c r="Q359" i="7"/>
  <c r="S358" i="7"/>
  <c r="R358" i="7"/>
  <c r="Q358" i="7"/>
  <c r="Q356" i="7"/>
  <c r="R360" i="7"/>
  <c r="S360" i="7"/>
  <c r="S355" i="7"/>
  <c r="R355" i="7"/>
  <c r="Q354" i="7"/>
  <c r="R354" i="7"/>
  <c r="S354" i="7"/>
  <c r="R356" i="7"/>
  <c r="Q355" i="7" l="1"/>
  <c r="N2" i="9"/>
  <c r="N3" i="9"/>
  <c r="O3" i="9"/>
  <c r="O737" i="10" l="1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Q2" i="10"/>
  <c r="P2" i="10"/>
  <c r="O2" i="10"/>
  <c r="N2" i="10"/>
  <c r="O2" i="9"/>
  <c r="S357" i="7" l="1"/>
  <c r="R357" i="7" l="1"/>
  <c r="Q357" i="7" l="1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S363" i="7" l="1"/>
  <c r="R363" i="7"/>
  <c r="Q363" i="7"/>
  <c r="S362" i="7"/>
  <c r="Q362" i="7"/>
  <c r="R36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tc={EB5C3F81-76AE-4AB4-B34D-E3EFE3E9D3D5}</author>
    <author>tc={0C6D6B97-0F49-4AC1-A6A7-C2F850BB9406}</author>
    <author>tc={425AA4BA-AC17-4CF1-8CAF-EBB966D20131}</author>
    <author>tc={3AD418F1-7F9D-4F60-9111-AFF23E75D6A9}</author>
    <author>tc={F0F0EFEA-3655-4EE4-A703-781E442B24AF}</author>
    <author>tc={C9AEA5D8-C3AD-4DB1-A1BC-1616AB258A6B}</author>
    <author>tc={66E5C718-7E96-4C08-A2DD-47AD9C431ACD}</author>
  </authors>
  <commentList>
    <comment ref="P147" authorId="0" shapeId="0" xr:uid="{EB5C3F81-76AE-4AB4-B34D-E3EFE3E9D3D5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O168" authorId="1" shapeId="0" xr:uid="{0C6D6B97-0F49-4AC1-A6A7-C2F850BB9406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  <comment ref="P176" authorId="2" shapeId="0" xr:uid="{425AA4BA-AC17-4CF1-8CAF-EBB966D2013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10%</t>
      </text>
    </comment>
    <comment ref="P205" authorId="3" shapeId="0" xr:uid="{3AD418F1-7F9D-4F60-9111-AFF23E75D6A9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10%</t>
      </text>
    </comment>
    <comment ref="P263" authorId="4" shapeId="0" xr:uid="{F0F0EFEA-3655-4EE4-A703-781E442B24A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10%</t>
      </text>
    </comment>
    <comment ref="O288" authorId="5" shapeId="0" xr:uid="{C9AEA5D8-C3AD-4DB1-A1BC-1616AB258A6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Frond I &amp; J - to follow by way of addendum. Remaining 6 fronds have it as PS</t>
      </text>
    </comment>
    <comment ref="N321" authorId="6" shapeId="0" xr:uid="{66E5C718-7E96-4C08-A2DD-47AD9C431ACD}">
      <text>
        <t>[Threaded comment]
Your version of Excel allows you to read this threaded comment; however, any edits to it will get removed if the file is opened in a newer version of Excel. Learn more: https://go.microsoft.com/fwlink/?linkid=870924
Comment:
    GFA taken from Farhad as per cost plan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tc={479332F9-A976-4062-8027-7FD458D0B87D}</author>
    <author>tc={39E10A0D-A0CF-416E-A8D5-8897185D91DD}</author>
  </authors>
  <commentList>
    <comment ref="O356" authorId="0" shapeId="0" xr:uid="{479332F9-A976-4062-8027-7FD458D0B87D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N377" authorId="1" shapeId="0" xr:uid="{39E10A0D-A0CF-416E-A8D5-8897185D91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tc={F55A4644-9249-4916-8C99-E10005F2D066}</author>
    <author>tc={8ED5A40D-9C56-400F-AF40-D5AFCD39B5BA}</author>
  </authors>
  <commentList>
    <comment ref="O2" authorId="0" shapeId="0" xr:uid="{F55A4644-9249-4916-8C99-E10005F2D066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N23" authorId="1" shapeId="0" xr:uid="{8ED5A40D-9C56-400F-AF40-D5AFCD39B5BA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tc={10871194-274E-49E4-B60D-E728BC480EB4}</author>
    <author>tc={D90485B1-2B99-4EA6-8BF5-BAC3DA10BBB9}</author>
  </authors>
  <commentList>
    <comment ref="N2" authorId="0" shapeId="0" xr:uid="{10871194-274E-49E4-B60D-E728BC480EB4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Excludes prelims for streetscape and public realm</t>
      </text>
    </comment>
    <comment ref="M23" authorId="1" shapeId="0" xr:uid="{D90485B1-2B99-4EA6-8BF5-BAC3DA10BBB9}">
      <text>
        <t>[Threaded comment]
Your version of Excel allows you to read this threaded comment; however, any edits to it will get removed if the file is opened in a newer version of Excel. Learn more: https://go.microsoft.com/fwlink/?linkid=870924
Comment:
    6 No. Substations</t>
      </text>
    </comment>
  </commentList>
</comments>
</file>

<file path=xl/sharedStrings.xml><?xml version="1.0" encoding="utf-8"?>
<sst xmlns="http://schemas.openxmlformats.org/spreadsheetml/2006/main" count="12206" uniqueCount="149">
  <si>
    <t>Year</t>
  </si>
  <si>
    <t>Country</t>
  </si>
  <si>
    <t>United Arab Emirates</t>
  </si>
  <si>
    <t>Abu Dhabi</t>
  </si>
  <si>
    <t>2019</t>
  </si>
  <si>
    <t>Employer</t>
  </si>
  <si>
    <t>IMKAN</t>
  </si>
  <si>
    <t>Contractor</t>
  </si>
  <si>
    <t>Asset</t>
  </si>
  <si>
    <t>Element</t>
  </si>
  <si>
    <t>Nael &amp; Bin Harmal Hyrdroexport</t>
  </si>
  <si>
    <t>City</t>
  </si>
  <si>
    <t>Area</t>
  </si>
  <si>
    <t>Ghantoot</t>
  </si>
  <si>
    <t>Earthworks</t>
  </si>
  <si>
    <t>Status</t>
  </si>
  <si>
    <t>Award</t>
  </si>
  <si>
    <t>Contract</t>
  </si>
  <si>
    <t>Lump Sum</t>
  </si>
  <si>
    <t>Right of Way Area</t>
  </si>
  <si>
    <t>Stormwater</t>
  </si>
  <si>
    <t>Total Cost</t>
  </si>
  <si>
    <t>Sewerage</t>
  </si>
  <si>
    <t>Potable Water</t>
  </si>
  <si>
    <t>Preliminaries</t>
  </si>
  <si>
    <t xml:space="preserve">Irrigation </t>
  </si>
  <si>
    <t>Electrical</t>
  </si>
  <si>
    <t>Streetlighting</t>
  </si>
  <si>
    <t>Telecom</t>
  </si>
  <si>
    <t>Aldar</t>
  </si>
  <si>
    <t>Project</t>
  </si>
  <si>
    <t xml:space="preserve">Al Jurf </t>
  </si>
  <si>
    <t xml:space="preserve">Saih Al Sidirah </t>
  </si>
  <si>
    <t>Al Ghadeer</t>
  </si>
  <si>
    <t>Gas</t>
  </si>
  <si>
    <t>Tender</t>
  </si>
  <si>
    <t>West Yas</t>
  </si>
  <si>
    <t>Yas Island</t>
  </si>
  <si>
    <t>Unknown</t>
  </si>
  <si>
    <t>Dubai</t>
  </si>
  <si>
    <t>Dubai Hills Estate</t>
  </si>
  <si>
    <t>Al Barsha South</t>
  </si>
  <si>
    <t>Emaar</t>
  </si>
  <si>
    <t>Irrigation</t>
  </si>
  <si>
    <t>Ground Investigation</t>
  </si>
  <si>
    <t>Demolition &amp; Site Clearance</t>
  </si>
  <si>
    <t>Chilled Water</t>
  </si>
  <si>
    <t>Security</t>
  </si>
  <si>
    <t>Employer's Network</t>
  </si>
  <si>
    <t>Offsite Utility Connections</t>
  </si>
  <si>
    <t>Sewerage Treatment Plant</t>
  </si>
  <si>
    <t>Irrigation Pumping Station</t>
  </si>
  <si>
    <t>Potable Water Pumping Station</t>
  </si>
  <si>
    <t>District Cooling Plant</t>
  </si>
  <si>
    <t>Substation - 0.4/11-22kV</t>
  </si>
  <si>
    <t>Substation - 132kV</t>
  </si>
  <si>
    <t>Other Utility Buildings</t>
  </si>
  <si>
    <t>Streetscape</t>
  </si>
  <si>
    <t>Public Realm - Open Space</t>
  </si>
  <si>
    <t>Public Realm - Park</t>
  </si>
  <si>
    <t>Bridges &amp; Tunnels</t>
  </si>
  <si>
    <t>Land Reclamation &amp; Marine</t>
  </si>
  <si>
    <t>N/A</t>
  </si>
  <si>
    <t>GFA</t>
  </si>
  <si>
    <t>GLA</t>
  </si>
  <si>
    <t>Estimate</t>
  </si>
  <si>
    <t>ROW Rate</t>
  </si>
  <si>
    <t>GLA Rate</t>
  </si>
  <si>
    <t>GFA Rate</t>
  </si>
  <si>
    <t>Included</t>
  </si>
  <si>
    <t>Residential</t>
  </si>
  <si>
    <t>Crystal Projects</t>
  </si>
  <si>
    <t>National Marine Dredging Company</t>
  </si>
  <si>
    <t>Roads</t>
  </si>
  <si>
    <t>Precinct G, H &amp; D</t>
  </si>
  <si>
    <t>Nareel Island</t>
  </si>
  <si>
    <t>Merief</t>
  </si>
  <si>
    <t>Multiple</t>
  </si>
  <si>
    <t>Nael &amp; Bin Harmal Hydroexport</t>
  </si>
  <si>
    <t>Mixed Use</t>
  </si>
  <si>
    <t xml:space="preserve">Tender </t>
  </si>
  <si>
    <t>APCC</t>
  </si>
  <si>
    <t>Downtown</t>
  </si>
  <si>
    <t>Downtown Dubai</t>
  </si>
  <si>
    <t>Siemens</t>
  </si>
  <si>
    <t>Lump Sum (D&amp;B)</t>
  </si>
  <si>
    <t>132 kV Substation</t>
  </si>
  <si>
    <t>EEE</t>
  </si>
  <si>
    <t>AFC</t>
  </si>
  <si>
    <t>STP (500m3)</t>
  </si>
  <si>
    <t>STP (3,000m3)</t>
  </si>
  <si>
    <t>Fountain Pumping Station</t>
  </si>
  <si>
    <t>Column1</t>
  </si>
  <si>
    <t>Project A</t>
  </si>
  <si>
    <t>Project B</t>
  </si>
  <si>
    <t>Project C</t>
  </si>
  <si>
    <t>Project D</t>
  </si>
  <si>
    <t>Project E</t>
  </si>
  <si>
    <t>Project F</t>
  </si>
  <si>
    <t>Project H</t>
  </si>
  <si>
    <t>Al Furjan Package 3 - Infrastructure</t>
  </si>
  <si>
    <t>Majid Al Futtaim</t>
  </si>
  <si>
    <t>Dubailand</t>
  </si>
  <si>
    <t>GHAF WOODS - INFRASTRUCTURE: PHASE 1A &amp; 1B, ONSITE REMAINING AND OFFSITE CONNECTIONS</t>
  </si>
  <si>
    <t>Spine District Infrastructure Works At Palm Jebel Ali</t>
  </si>
  <si>
    <t>The Palm Jebel Ali CO. LLC</t>
  </si>
  <si>
    <t>Jebel Ali</t>
  </si>
  <si>
    <t>Nakheel</t>
  </si>
  <si>
    <t>ASGC</t>
  </si>
  <si>
    <t>Tendering</t>
  </si>
  <si>
    <t xml:space="preserve"> </t>
  </si>
  <si>
    <t>Al Furjan Package 5 - Infrastructure</t>
  </si>
  <si>
    <t>Fronds K</t>
  </si>
  <si>
    <t>Tender Return</t>
  </si>
  <si>
    <t>Fronds L</t>
  </si>
  <si>
    <t>Fronds M</t>
  </si>
  <si>
    <t>Fronds N</t>
  </si>
  <si>
    <t>Fronds O</t>
  </si>
  <si>
    <t>Fronds P</t>
  </si>
  <si>
    <t>Fronds J</t>
  </si>
  <si>
    <t>Fronds I</t>
  </si>
  <si>
    <t>Alias</t>
  </si>
  <si>
    <t>Al Furjan Package 5</t>
  </si>
  <si>
    <t>Al Furjan Package 3</t>
  </si>
  <si>
    <t>MAF</t>
  </si>
  <si>
    <t>Project 16.1</t>
  </si>
  <si>
    <t>Project 16.2</t>
  </si>
  <si>
    <t>Project 16.3</t>
  </si>
  <si>
    <t>Project 16.5</t>
  </si>
  <si>
    <t>Project 16.4</t>
  </si>
  <si>
    <t>Project 19.1</t>
  </si>
  <si>
    <t>Project 23.1</t>
  </si>
  <si>
    <t>CHART</t>
  </si>
  <si>
    <t>Project 24.1</t>
  </si>
  <si>
    <t>Project 24.3</t>
  </si>
  <si>
    <t>Project 24.2</t>
  </si>
  <si>
    <t>NO</t>
  </si>
  <si>
    <t>YES</t>
  </si>
  <si>
    <t>TBA</t>
  </si>
  <si>
    <t>Project 22.1</t>
  </si>
  <si>
    <t>Project 22.2</t>
  </si>
  <si>
    <t>ROW</t>
  </si>
  <si>
    <t>Ghaf Woods</t>
  </si>
  <si>
    <t>PJA Fronds I to P</t>
  </si>
  <si>
    <t>PJA Spine District</t>
  </si>
  <si>
    <t>FAR</t>
  </si>
  <si>
    <t>ROW/GLA</t>
  </si>
  <si>
    <t>Remeasure</t>
  </si>
  <si>
    <t>FAR (GFA/GLA)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</si>
</sst>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[$AED]\ #,##0.00"/>
    <numFmt numFmtId="167" formatCode="[$AED]\ #,##0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n">
        <color theme="4"/>
      </right>
      <top style="thick">
        <color theme="4"/>
      </top>
      <bottom/>
      <diagonal/>
    </border>
    <border>
      <left style="thin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n">
        <color theme="4"/>
      </right>
      <top style="thick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8">
    <xf numFmtId="0" fontId="0" fillId="0" borderId="0" xfId="0"/>
    <xf numFmtId="49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0" xfId="1" applyNumberFormat="1" applyFont="1" applyAlignment="1">
      <alignment horizontal="center"/>
    </xf>
    <xf numFmtId="49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3" fontId="6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6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7" fillId="2" borderId="1" xfId="0" applyFont="1" applyFill="1" applyBorder="1"/>
    <xf numFmtId="0" fontId="7" fillId="2" borderId="2" xfId="0" applyFont="1" applyFill="1" applyBorder="1"/>
    <xf numFmtId="49" fontId="7" fillId="2" borderId="2" xfId="0" applyNumberFormat="1" applyFont="1" applyFill="1" applyBorder="1"/>
    <xf numFmtId="49" fontId="7" fillId="2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3" fontId="7" fillId="2" borderId="2" xfId="1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49" fontId="7" fillId="2" borderId="3" xfId="1" applyNumberFormat="1" applyFont="1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49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3" fontId="0" fillId="0" borderId="2" xfId="1" applyNumberFormat="1" applyFont="1" applyBorder="1" applyAlignment="1">
      <alignment horizontal="center"/>
    </xf>
    <xf numFmtId="1" fontId="0" fillId="0" borderId="3" xfId="1" applyNumberFormat="1" applyFont="1" applyBorder="1" applyAlignment="1">
      <alignment horizontal="center"/>
    </xf>
    <xf numFmtId="49" fontId="0" fillId="0" borderId="5" xfId="0" applyNumberFormat="1" applyBorder="1"/>
    <xf numFmtId="1" fontId="0" fillId="0" borderId="6" xfId="0" applyNumberFormat="1" applyBorder="1" applyAlignment="1">
      <alignment horizontal="center"/>
    </xf>
    <xf numFmtId="49" fontId="0" fillId="0" borderId="7" xfId="0" applyNumberFormat="1" applyBorder="1"/>
    <xf numFmtId="49" fontId="0" fillId="0" borderId="8" xfId="0" applyNumberFormat="1" applyBorder="1"/>
    <xf numFmtId="49" fontId="0" fillId="0" borderId="8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4" xfId="0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/>
    <xf numFmtId="3" fontId="0" fillId="0" borderId="8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49" fontId="0" fillId="0" borderId="6" xfId="1" applyNumberFormat="1" applyFont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49" fontId="0" fillId="0" borderId="13" xfId="0" applyNumberFormat="1" applyBorder="1"/>
    <xf numFmtId="49" fontId="0" fillId="0" borderId="14" xfId="0" applyNumberFormat="1" applyBorder="1"/>
    <xf numFmtId="49" fontId="0" fillId="0" borderId="14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3" fontId="0" fillId="0" borderId="14" xfId="1" applyNumberFormat="1" applyFont="1" applyBorder="1" applyAlignment="1">
      <alignment horizontal="center"/>
    </xf>
    <xf numFmtId="1" fontId="0" fillId="0" borderId="15" xfId="1" applyNumberFormat="1" applyFont="1" applyBorder="1" applyAlignment="1">
      <alignment horizontal="center"/>
    </xf>
    <xf numFmtId="49" fontId="0" fillId="0" borderId="15" xfId="1" applyNumberFormat="1" applyFont="1" applyBorder="1" applyAlignment="1">
      <alignment horizontal="center"/>
    </xf>
    <xf numFmtId="3" fontId="0" fillId="3" borderId="2" xfId="1" applyNumberFormat="1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43" fontId="0" fillId="3" borderId="0" xfId="12" applyFont="1" applyFill="1" applyAlignment="1">
      <alignment horizontal="center"/>
    </xf>
    <xf numFmtId="168" fontId="0" fillId="0" borderId="0" xfId="12" applyNumberFormat="1" applyFont="1" applyAlignment="1">
      <alignment horizontal="center"/>
    </xf>
    <xf numFmtId="168" fontId="3" fillId="0" borderId="0" xfId="12" applyNumberFormat="1" applyFont="1" applyAlignment="1">
      <alignment horizontal="center"/>
    </xf>
    <xf numFmtId="168" fontId="0" fillId="0" borderId="0" xfId="12" applyNumberFormat="1" applyFont="1"/>
    <xf numFmtId="49" fontId="0" fillId="0" borderId="16" xfId="0" applyNumberFormat="1" applyBorder="1"/>
    <xf numFmtId="49" fontId="0" fillId="0" borderId="16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8" fontId="0" fillId="0" borderId="16" xfId="12" applyNumberFormat="1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6" xfId="1" applyNumberFormat="1" applyFont="1" applyBorder="1" applyAlignment="1">
      <alignment horizontal="center"/>
    </xf>
    <xf numFmtId="168" fontId="0" fillId="3" borderId="16" xfId="12" applyNumberFormat="1" applyFont="1" applyFill="1" applyBorder="1" applyAlignment="1">
      <alignment horizontal="center"/>
    </xf>
    <xf numFmtId="3" fontId="0" fillId="3" borderId="16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168" fontId="0" fillId="0" borderId="0" xfId="12" applyNumberFormat="1" applyFont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49" fontId="7" fillId="2" borderId="2" xfId="0" applyNumberFormat="1" applyFont="1" applyFill="1" applyBorder="1" applyAlignment="1">
      <alignment vertical="top"/>
    </xf>
    <xf numFmtId="49" fontId="7" fillId="2" borderId="2" xfId="0" applyNumberFormat="1" applyFont="1" applyFill="1" applyBorder="1" applyAlignment="1">
      <alignment horizontal="center" vertical="top"/>
    </xf>
    <xf numFmtId="3" fontId="7" fillId="2" borderId="2" xfId="0" applyNumberFormat="1" applyFont="1" applyFill="1" applyBorder="1" applyAlignment="1">
      <alignment horizontal="center" vertical="top"/>
    </xf>
    <xf numFmtId="168" fontId="7" fillId="2" borderId="2" xfId="12" applyNumberFormat="1" applyFont="1" applyFill="1" applyBorder="1" applyAlignment="1">
      <alignment horizontal="center" vertical="top"/>
    </xf>
    <xf numFmtId="49" fontId="7" fillId="2" borderId="3" xfId="1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49" fontId="0" fillId="3" borderId="16" xfId="0" applyNumberFormat="1" applyFill="1" applyBorder="1"/>
    <xf numFmtId="0" fontId="0" fillId="0" borderId="0" xfId="0" applyAlignment="1">
      <alignment horizontal="center"/>
    </xf>
    <xf numFmtId="168" fontId="0" fillId="4" borderId="16" xfId="12" applyNumberFormat="1" applyFont="1" applyFill="1" applyBorder="1" applyAlignment="1">
      <alignment horizontal="center"/>
    </xf>
    <xf numFmtId="49" fontId="0" fillId="4" borderId="16" xfId="0" applyNumberFormat="1" applyFill="1" applyBorder="1"/>
    <xf numFmtId="1" fontId="0" fillId="3" borderId="16" xfId="0" applyNumberFormat="1" applyFill="1" applyBorder="1" applyAlignment="1">
      <alignment horizontal="center"/>
    </xf>
    <xf numFmtId="1" fontId="0" fillId="4" borderId="16" xfId="0" applyNumberFormat="1" applyFill="1" applyBorder="1" applyAlignment="1">
      <alignment horizontal="center"/>
    </xf>
    <xf numFmtId="43" fontId="0" fillId="4" borderId="0" xfId="12" applyFont="1" applyFill="1" applyAlignment="1">
      <alignment horizontal="center"/>
    </xf>
    <xf numFmtId="43" fontId="0" fillId="0" borderId="16" xfId="12" applyFont="1" applyBorder="1" applyAlignment="1">
      <alignment horizontal="center"/>
    </xf>
    <xf numFmtId="43" fontId="0" fillId="3" borderId="16" xfId="12" applyFont="1" applyFill="1" applyBorder="1" applyAlignment="1">
      <alignment horizontal="center"/>
    </xf>
    <xf numFmtId="43" fontId="0" fillId="4" borderId="16" xfId="12" applyFont="1" applyFill="1" applyBorder="1" applyAlignment="1">
      <alignment horizontal="center"/>
    </xf>
    <xf numFmtId="49" fontId="0" fillId="3" borderId="16" xfId="0" applyNumberFormat="1" applyFill="1" applyBorder="1" applyAlignment="1">
      <alignment horizontal="center" vertical="top" wrapText="1"/>
    </xf>
    <xf numFmtId="49" fontId="0" fillId="4" borderId="16" xfId="0" applyNumberForma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49" fontId="0" fillId="0" borderId="16" xfId="0" applyNumberFormat="1" applyBorder="1" applyAlignment="1">
      <alignment horizontal="left"/>
    </xf>
    <xf numFmtId="9" fontId="0" fillId="0" borderId="16" xfId="13" applyFont="1" applyBorder="1" applyAlignment="1">
      <alignment horizontal="right"/>
    </xf>
    <xf numFmtId="168" fontId="0" fillId="0" borderId="0" xfId="12" applyNumberFormat="1" applyFont="1" applyAlignment="1">
      <alignment horizontal="right"/>
    </xf>
    <xf numFmtId="9" fontId="0" fillId="3" borderId="16" xfId="13" applyFont="1" applyFill="1" applyBorder="1" applyAlignment="1">
      <alignment horizontal="right"/>
    </xf>
    <xf numFmtId="9" fontId="0" fillId="4" borderId="16" xfId="13" applyFont="1" applyFill="1" applyBorder="1" applyAlignment="1">
      <alignment horizontal="right"/>
    </xf>
    <xf numFmtId="168" fontId="0" fillId="5" borderId="0" xfId="12" applyNumberFormat="1" applyFont="1" applyFill="1"/>
    <xf numFmtId="49" fontId="0" fillId="5" borderId="16" xfId="0" applyNumberFormat="1" applyFill="1" applyBorder="1"/>
    <xf numFmtId="49" fontId="0" fillId="5" borderId="16" xfId="0" applyNumberFormat="1" applyFill="1" applyBorder="1" applyAlignment="1">
      <alignment horizontal="center"/>
    </xf>
    <xf numFmtId="3" fontId="0" fillId="5" borderId="16" xfId="0" applyNumberFormat="1" applyFill="1" applyBorder="1" applyAlignment="1">
      <alignment horizontal="center"/>
    </xf>
    <xf numFmtId="168" fontId="0" fillId="5" borderId="16" xfId="12" applyNumberFormat="1" applyFont="1" applyFill="1" applyBorder="1" applyAlignment="1">
      <alignment horizontal="center"/>
    </xf>
    <xf numFmtId="43" fontId="0" fillId="5" borderId="16" xfId="12" applyFont="1" applyFill="1" applyBorder="1" applyAlignment="1">
      <alignment horizontal="center"/>
    </xf>
    <xf numFmtId="9" fontId="0" fillId="5" borderId="16" xfId="13" applyFont="1" applyFill="1" applyBorder="1" applyAlignment="1">
      <alignment horizontal="right"/>
    </xf>
    <xf numFmtId="1" fontId="0" fillId="5" borderId="16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/>
    <xf numFmtId="1" fontId="0" fillId="5" borderId="16" xfId="1" applyNumberFormat="1" applyFont="1" applyFill="1" applyBorder="1" applyAlignment="1">
      <alignment horizontal="center"/>
    </xf>
    <xf numFmtId="0" fontId="0" fillId="5" borderId="16" xfId="0" applyFill="1" applyBorder="1"/>
    <xf numFmtId="43" fontId="0" fillId="0" borderId="0" xfId="0" applyNumberFormat="1"/>
  </cellXfs>
  <cellStyles count="14">
    <cellStyle name="Comma" xfId="12" builtinId="3"/>
    <cellStyle name="Comma 2" xfId="4" xr:uid="{1D6BB202-15B2-1849-924D-8C3AB0CBB4A1}"/>
    <cellStyle name="Comma 3" xfId="10" xr:uid="{57AB3DDF-4388-1B47-B2CF-DCF50DDAD613}"/>
    <cellStyle name="Comma 5" xfId="3" xr:uid="{2A659A4E-FAB8-5A43-A51F-6101FC0D3D03}"/>
    <cellStyle name="Currency" xfId="1" builtinId="4"/>
    <cellStyle name="Currency 3" xfId="11" xr:uid="{8B719684-F96D-DC49-A938-8C779E071927}"/>
    <cellStyle name="Normal" xfId="0" builtinId="0"/>
    <cellStyle name="Normal 10 2" xfId="2" xr:uid="{C413FDAB-A76C-4318-8E70-350BF453DBDE}"/>
    <cellStyle name="Normal 10 4" xfId="5" xr:uid="{7935ABDA-2BB1-5941-BA71-368F62774E3B}"/>
    <cellStyle name="Normal 12" xfId="8" xr:uid="{EE809756-14BC-A342-A4D6-502D419AC1CB}"/>
    <cellStyle name="Normal 5" xfId="7" xr:uid="{963EBCA7-749E-2B42-9611-6004539C53DA}"/>
    <cellStyle name="Normal 8" xfId="6" xr:uid="{73754243-677C-0443-AA2D-DB95048C7382}"/>
    <cellStyle name="Normal 8 4" xfId="9" xr:uid="{9C21E4C3-78B9-ED4C-8B6C-61850B837AB5}"/>
    <cellStyle name="Per cent" xfId="13" builtinId="5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numFmt numFmtId="166" formatCode="[$AED]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251460</xdr:colOff>
      <xdr:row>226</xdr:row>
      <xdr:rowOff>129540</xdr:rowOff>
    </xdr:from>
    <xdr:to>
      <xdr:col>30</xdr:col>
      <xdr:colOff>438746</xdr:colOff>
      <xdr:row>233</xdr:row>
      <xdr:rowOff>15341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5BE555-CB4D-40A0-BA6F-475A11D9D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83310" y="43449240"/>
          <a:ext cx="6683336" cy="1219301"/>
        </a:xfrm>
        <a:prstGeom prst="rect">
          <a:avLst/>
        </a:prstGeom>
      </xdr:spPr>
    </xdr:pic>
    <xdr:clientData/>
  </xdr:twoCellAnchor>
  <xdr:twoCellAnchor editAs="oneCell">
    <xdr:from>
      <xdr:col>19</xdr:col>
      <xdr:colOff>352425</xdr:colOff>
      <xdr:row>196</xdr:row>
      <xdr:rowOff>76200</xdr:rowOff>
    </xdr:from>
    <xdr:to>
      <xdr:col>28</xdr:col>
      <xdr:colOff>549432</xdr:colOff>
      <xdr:row>201</xdr:row>
      <xdr:rowOff>171588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E3E0D5-B27F-4A66-9217-6EC99B73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84275" y="37642800"/>
          <a:ext cx="5511957" cy="1047888"/>
        </a:xfrm>
        <a:prstGeom prst="rect">
          <a:avLst/>
        </a:prstGeom>
      </xdr:spPr>
    </xdr:pic>
    <xdr:clientData/>
  </xdr:twoCellAnchor>
  <xdr:twoCellAnchor editAs="oneCell">
    <xdr:from>
      <xdr:col>19</xdr:col>
      <xdr:colOff>493059</xdr:colOff>
      <xdr:row>47</xdr:row>
      <xdr:rowOff>112059</xdr:rowOff>
    </xdr:from>
    <xdr:to>
      <xdr:col>31</xdr:col>
      <xdr:colOff>363750</xdr:colOff>
      <xdr:row>51</xdr:row>
      <xdr:rowOff>83586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430B1D-9BBC-43C1-8DC1-B13FD28C8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24909" y="9103659"/>
          <a:ext cx="6957291" cy="733527"/>
        </a:xfrm>
        <a:prstGeom prst="rect">
          <a:avLst/>
        </a:prstGeom>
      </xdr:spPr>
    </xdr:pic>
    <xdr:clientData/>
  </xdr:twoCellAnchor>
  <xdr:oneCellAnchor>
    <xdr:from>
      <xdr:col>19</xdr:col>
      <xdr:colOff>493059</xdr:colOff>
      <xdr:row>23</xdr:row>
      <xdr:rowOff>112059</xdr:rowOff>
    </xdr:from>
    <xdr:ext cx="6997633" cy="733527"/>
    <xdr:pic>
      <xdr:nvPicPr>
        <xdr:cNvPr id="5" name="Picture 4">
          <a:extLst>
            <a:ext uri="{FF2B5EF4-FFF2-40B4-BE49-F238E27FC236}">
              <a16:creationId xmlns:a16="http://schemas.microsoft.com/office/drawing/2014/main" id="{9BA87726-D4C2-4164-A215-319C5B20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24909" y="4493559"/>
          <a:ext cx="6997633" cy="733527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vin George" id="{E49D3105-128D-4D3D-A269-CE005C1D44AB}" userId="S-1-5-21-3839803329-425341804-2545067946-16952" providerId="AD"/>
  <person displayName="Alex McEvoy" id="{80415E82-6F1B-4EBD-AA72-7BEB2D668350}" userId="S::alex.mcevoy@omniumint.com::27dc30e7-4ce8-4561-96ee-f39a02c837c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989759-26B3-4C9E-A4F8-D3471B066BA9}" name="financials345" displayName="financials345" ref="A1:R97" totalsRowShown="0" headerRowDxfId="36" dataDxfId="35" headerRowCellStyle="Currency" dataCellStyle="Currency">
  <autoFilter ref="A1:R97" xr:uid="{00000000-0009-0000-0100-000001000000}"/>
  <tableColumns count="18">
    <tableColumn id="1" xr3:uid="{6C58811D-E5B8-4A1E-A919-2634D84F96D6}" name="Asset"/>
    <tableColumn id="2" xr3:uid="{FE2CCEEC-CD16-4F12-8F47-F85582B26030}" name="Country"/>
    <tableColumn id="3" xr3:uid="{C4AAEE24-B636-419C-96B8-C2B2391C2CEC}" name="City"/>
    <tableColumn id="15" xr3:uid="{8BE522ED-1C03-4957-84D2-DF826985E21E}" name="Area"/>
    <tableColumn id="26" xr3:uid="{5838116C-BB86-4B1A-BFBF-51306773EEA3}" name="Project"/>
    <tableColumn id="4" xr3:uid="{145DDAE3-2447-47C9-A164-19F999183DE9}" name="Employer" dataDxfId="34"/>
    <tableColumn id="5" xr3:uid="{F40FFA60-B71F-4818-B538-405CB2ECD7DF}" name="Contractor" dataDxfId="33"/>
    <tableColumn id="17" xr3:uid="{72F2A285-5734-4A6D-8055-8A68A9B9F134}" name="Status" dataDxfId="32"/>
    <tableColumn id="18" xr3:uid="{5271648D-8ADF-4D77-87AA-625C551A57FC}" name="Contract" dataDxfId="31"/>
    <tableColumn id="22" xr3:uid="{73A0A4F8-8B68-40EB-BEF5-0316C29D19D0}" name="Right of Way Area" dataDxfId="30"/>
    <tableColumn id="8" xr3:uid="{E71BF72A-8F16-4960-8DF9-F24745922B2D}" name="GLA" dataDxfId="29"/>
    <tableColumn id="7" xr3:uid="{B38BD3D5-C999-4545-95AC-82A418CFCF9D}" name="GFA" dataDxfId="28"/>
    <tableColumn id="14" xr3:uid="{A2017493-9BDA-4C7C-8661-D555D39DECC3}" name="Element" dataDxfId="27"/>
    <tableColumn id="19" xr3:uid="{11F0AC93-56B7-4054-87EF-7F10ED152C3A}" name="Total Cost" dataDxfId="26" dataCellStyle="Currency"/>
    <tableColumn id="6" xr3:uid="{C02E9A26-D1A9-4CBA-BA96-A82D21DCCB56}" name="ROW Rate" dataDxfId="25">
      <calculatedColumnFormula>financials345[[#This Row],[Total Cost]]/financials345[[#This Row],[Right of Way Area]]</calculatedColumnFormula>
    </tableColumn>
    <tableColumn id="9" xr3:uid="{93606C89-726A-4D30-8471-C19D11883415}" name="GLA Rate" dataDxfId="24"/>
    <tableColumn id="10" xr3:uid="{EA33C888-8F7D-40FE-B073-696C3E5C72F9}" name="GFA Rate" dataDxfId="23"/>
    <tableColumn id="20" xr3:uid="{10CDFA4A-5443-4E15-8218-DBC2E17BDA98}" name="Year" dataDxfId="22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38C64A-0A61-4E87-A489-6D39F6EEB904}" name="financials346" displayName="financials346" ref="A1:L96" totalsRowShown="0" headerRowDxfId="21" dataDxfId="20" headerRowCellStyle="Currency" dataCellStyle="Currency">
  <autoFilter ref="A1:L96" xr:uid="{00000000-0009-0000-0100-000001000000}"/>
  <tableColumns count="12">
    <tableColumn id="1" xr3:uid="{5BBDBE5F-C92E-4844-97C4-6B60AD3E731C}" name="Asset"/>
    <tableColumn id="2" xr3:uid="{15AFDDA5-1444-4AB2-90BC-51B0A7617664}" name="Country"/>
    <tableColumn id="3" xr3:uid="{CE7D9C60-3F50-42EC-8A1E-694403246FFA}" name="City"/>
    <tableColumn id="15" xr3:uid="{9D471C3A-95F1-44EC-B87D-CFC1ABF8AD49}" name="Area"/>
    <tableColumn id="26" xr3:uid="{9206BA7C-FBC5-45CF-8516-5F15B64C8B47}" name="Project"/>
    <tableColumn id="4" xr3:uid="{B7CA2834-DCA7-4B20-99DF-02C19B7D5CF2}" name="Employer" dataDxfId="19"/>
    <tableColumn id="5" xr3:uid="{26B683E7-8073-42D5-9C50-4F4D53D8E449}" name="Contractor" dataDxfId="18"/>
    <tableColumn id="17" xr3:uid="{0A716D45-6364-4941-8E2A-6BE700928298}" name="Status" dataDxfId="17"/>
    <tableColumn id="18" xr3:uid="{850EBF3A-7469-4C7A-986C-B4C213BF98B3}" name="Contract" dataDxfId="16"/>
    <tableColumn id="14" xr3:uid="{0B216327-8756-4CF9-B326-59C2BBC40DDD}" name="Element" dataDxfId="15"/>
    <tableColumn id="19" xr3:uid="{6C42B33C-B47E-4BFA-B64D-23443B2A2854}" name="Total Cost" dataDxfId="14" dataCellStyle="Currency"/>
    <tableColumn id="20" xr3:uid="{31FF1CF8-C7E9-470E-9C81-B1423BC21BE7}" name="Year" dataDxfId="13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95F820-0305-4A59-968F-DD71F0CA0C0D}" name="financials34" displayName="financials34" ref="A1:P97" totalsRowShown="0" headerRowDxfId="12" dataDxfId="11" headerRowCellStyle="Currency" dataCellStyle="Currency">
  <autoFilter ref="A1:P97" xr:uid="{00000000-0009-0000-0100-000001000000}"/>
  <tableColumns count="16">
    <tableColumn id="1" xr3:uid="{906795FC-80BF-4CD7-8F76-458E84BF6674}" name="Asset"/>
    <tableColumn id="2" xr3:uid="{5D075B23-E33B-4035-82D2-48EF1D8D0889}" name="Country"/>
    <tableColumn id="3" xr3:uid="{9F103DB7-6461-466C-B78E-14221597D00E}" name="City"/>
    <tableColumn id="15" xr3:uid="{4F1D11B9-882D-449E-8521-EBB0D1DE11C2}" name="Area"/>
    <tableColumn id="26" xr3:uid="{C26CC19C-CDDB-4CAC-8340-A7E49F65B96D}" name="Project"/>
    <tableColumn id="4" xr3:uid="{DAE45A4C-2421-4E98-A664-D94FE4A113E9}" name="Employer" dataDxfId="10"/>
    <tableColumn id="5" xr3:uid="{36C3F6F1-8817-4555-8E56-C175AD83E37C}" name="Contractor" dataDxfId="9"/>
    <tableColumn id="17" xr3:uid="{7DA3D91D-D5DD-41FB-88CF-30D9B252EB6C}" name="Status" dataDxfId="8"/>
    <tableColumn id="18" xr3:uid="{A9F98FDF-F42C-4264-BC75-30E0868AB6DF}" name="Contract" dataDxfId="7"/>
    <tableColumn id="8" xr3:uid="{6D3A4354-2B7B-474F-87B7-43A5D3508B89}" name="GLA" dataDxfId="6"/>
    <tableColumn id="7" xr3:uid="{AEF016FF-4CE1-4394-A58F-F2D29FA442B5}" name="GFA" dataDxfId="5"/>
    <tableColumn id="14" xr3:uid="{0E14FEB8-6615-43A0-8FD1-F4EF24D48156}" name="Element" dataDxfId="4"/>
    <tableColumn id="19" xr3:uid="{DAD57610-30F6-4CCC-AD89-E9EACC531AE5}" name="Total Cost" dataDxfId="3" dataCellStyle="Currency"/>
    <tableColumn id="9" xr3:uid="{E4B2D721-575A-4F0B-8F61-D7DF5B9E73E6}" name="GLA Rate" dataDxfId="2"/>
    <tableColumn id="10" xr3:uid="{87BCD153-6CF3-44D7-A0CD-CCE0C2300C97}" name="GFA Rate" dataDxfId="1"/>
    <tableColumn id="20" xr3:uid="{1840464B-CCF1-4093-87CF-AE5932603724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47" dT="2020-11-01T08:56:28.00" personId="{80415E82-6F1B-4EBD-AA72-7BEB2D668350}" id="{EB5C3F81-76AE-4AB4-B34D-E3EFE3E9D3D5}">
    <text>Excludes prelims for streetscape and public realm</text>
  </threadedComment>
  <threadedComment ref="O168" dT="2020-11-01T08:52:04.97" personId="{80415E82-6F1B-4EBD-AA72-7BEB2D668350}" id="{0C6D6B97-0F49-4AC1-A6A7-C2F850BB9406}">
    <text>6 No. Substations</text>
  </threadedComment>
  <threadedComment ref="P176" dT="2024-10-11T05:05:40.45" personId="{E49D3105-128D-4D3D-A269-CE005C1D44AB}" id="{425AA4BA-AC17-4CF1-8CAF-EBB966D20131}">
    <text>Assumed 10%</text>
  </threadedComment>
  <threadedComment ref="P205" dT="2024-10-11T05:05:40.45" personId="{E49D3105-128D-4D3D-A269-CE005C1D44AB}" id="{3AD418F1-7F9D-4F60-9111-AFF23E75D6A9}">
    <text>Assumed 10%</text>
  </threadedComment>
  <threadedComment ref="P263" dT="2024-10-11T05:05:40.45" personId="{E49D3105-128D-4D3D-A269-CE005C1D44AB}" id="{F0F0EFEA-3655-4EE4-A703-781E442B24AF}">
    <text>Assumed 10%</text>
  </threadedComment>
  <threadedComment ref="O288" dT="2024-10-11T04:33:36.29" personId="{E49D3105-128D-4D3D-A269-CE005C1D44AB}" id="{C9AEA5D8-C3AD-4DB1-A1BC-1616AB258A6B}">
    <text>Frond I &amp; J - to follow by way of addendum. Remaining 6 fronds have it as PS</text>
  </threadedComment>
  <threadedComment ref="N321" dT="2024-10-11T12:22:55.87" personId="{E49D3105-128D-4D3D-A269-CE005C1D44AB}" id="{66E5C718-7E96-4C08-A2DD-47AD9C431ACD}">
    <text>GFA taken from Farhad as per cost plan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356" dT="2020-11-01T08:56:28.00" personId="{80415E82-6F1B-4EBD-AA72-7BEB2D668350}" id="{479332F9-A976-4062-8027-7FD458D0B87D}">
    <text>Excludes prelims for streetscape and public realm</text>
  </threadedComment>
  <threadedComment ref="N377" dT="2020-11-01T08:52:04.97" personId="{80415E82-6F1B-4EBD-AA72-7BEB2D668350}" id="{39E10A0D-A0CF-416E-A8D5-8897185D91DD}">
    <text>6 No. Substations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2" dT="2020-11-01T08:56:28.00" personId="{80415E82-6F1B-4EBD-AA72-7BEB2D668350}" id="{F55A4644-9249-4916-8C99-E10005F2D066}">
    <text>Excludes prelims for streetscape and public realm</text>
  </threadedComment>
  <threadedComment ref="N23" dT="2020-11-01T08:52:04.97" personId="{80415E82-6F1B-4EBD-AA72-7BEB2D668350}" id="{8ED5A40D-9C56-400F-AF40-D5AFCD39B5BA}">
    <text>6 No. Substations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2" dT="2020-11-01T08:56:28.00" personId="{80415E82-6F1B-4EBD-AA72-7BEB2D668350}" id="{10871194-274E-49E4-B60D-E728BC480EB4}">
    <text>Excludes prelims for streetscape and public realm</text>
  </threadedComment>
  <threadedComment ref="M23" dT="2020-11-01T08:52:04.97" personId="{80415E82-6F1B-4EBD-AA72-7BEB2D668350}" id="{D90485B1-2B99-4EA6-8BF5-BAC3DA10BBB9}">
    <text>6 No. Substations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B517-2BED-4542-B02A-6B64ACC158AE}">
  <dimension ref="A1:Y988"/>
  <sheetViews>
    <sheetView tabSelected="1" zoomScale="120" zoomScaleNormal="120" zoomScaleSheetLayoutView="70" workbookViewId="0">
      <pane xSplit="7" ySplit="1" topLeftCell="J334" activePane="bottomRight" state="frozen"/>
      <selection pane="topRight" activeCell="H1" sqref="H1"/>
      <selection pane="bottomLeft" activeCell="A2" sqref="A2"/>
      <selection pane="bottomRight" activeCell="T336" sqref="T336"/>
    </sheetView>
  </sheetViews>
  <sheetFormatPr baseColWidth="10" defaultColWidth="8.83203125" defaultRowHeight="15" x14ac:dyDescent="0.2"/>
  <cols>
    <col min="1" max="1" width="9.1640625" style="68" bestFit="1" customWidth="1"/>
    <col min="2" max="2" width="16.33203125" bestFit="1" customWidth="1"/>
    <col min="3" max="3" width="26.5" customWidth="1"/>
    <col min="4" max="4" width="15.83203125" customWidth="1"/>
    <col min="5" max="6" width="19" customWidth="1"/>
    <col min="7" max="7" width="35.33203125" bestFit="1" customWidth="1"/>
    <col min="8" max="8" width="13.33203125" style="1" customWidth="1"/>
    <col min="9" max="9" width="29.83203125" style="1" customWidth="1"/>
    <col min="10" max="10" width="23" style="4" customWidth="1"/>
    <col min="11" max="11" width="21.1640625" style="4" customWidth="1"/>
    <col min="12" max="14" width="17.1640625" style="7" customWidth="1"/>
    <col min="15" max="15" width="33.6640625" style="4" customWidth="1"/>
    <col min="16" max="19" width="14.5" style="66" customWidth="1"/>
    <col min="20" max="20" width="12.33203125" style="66" customWidth="1"/>
    <col min="21" max="21" width="12.33203125" style="102" customWidth="1"/>
    <col min="22" max="22" width="10" style="4" customWidth="1"/>
    <col min="25" max="25" width="12.6640625" bestFit="1" customWidth="1"/>
  </cols>
  <sheetData>
    <row r="1" spans="1:23" s="86" customFormat="1" ht="27" customHeight="1" x14ac:dyDescent="0.2">
      <c r="A1" s="78"/>
      <c r="B1" s="79" t="s">
        <v>8</v>
      </c>
      <c r="C1" s="80" t="s">
        <v>1</v>
      </c>
      <c r="D1" s="80" t="s">
        <v>11</v>
      </c>
      <c r="E1" s="80" t="s">
        <v>12</v>
      </c>
      <c r="F1" s="80" t="s">
        <v>121</v>
      </c>
      <c r="G1" s="80" t="s">
        <v>30</v>
      </c>
      <c r="H1" s="81" t="s">
        <v>5</v>
      </c>
      <c r="I1" s="81" t="s">
        <v>7</v>
      </c>
      <c r="J1" s="82" t="s">
        <v>15</v>
      </c>
      <c r="K1" s="82" t="s">
        <v>17</v>
      </c>
      <c r="L1" s="83" t="s">
        <v>19</v>
      </c>
      <c r="M1" s="83" t="s">
        <v>64</v>
      </c>
      <c r="N1" s="83" t="s">
        <v>63</v>
      </c>
      <c r="O1" s="82" t="s">
        <v>9</v>
      </c>
      <c r="P1" s="84" t="s">
        <v>21</v>
      </c>
      <c r="Q1" s="84" t="s">
        <v>66</v>
      </c>
      <c r="R1" s="84" t="s">
        <v>67</v>
      </c>
      <c r="S1" s="84" t="s">
        <v>68</v>
      </c>
      <c r="T1" s="84" t="s">
        <v>148</v>
      </c>
      <c r="U1" s="84" t="s">
        <v>146</v>
      </c>
      <c r="V1" s="85" t="s">
        <v>0</v>
      </c>
      <c r="W1" s="85" t="s">
        <v>132</v>
      </c>
    </row>
    <row r="2" spans="1:23" s="114" customFormat="1" x14ac:dyDescent="0.2">
      <c r="A2" s="105">
        <v>101</v>
      </c>
      <c r="B2" s="106" t="s">
        <v>70</v>
      </c>
      <c r="C2" s="106" t="s">
        <v>2</v>
      </c>
      <c r="D2" s="106" t="s">
        <v>3</v>
      </c>
      <c r="E2" s="106" t="s">
        <v>32</v>
      </c>
      <c r="F2" s="106" t="s">
        <v>125</v>
      </c>
      <c r="G2" s="106" t="s">
        <v>33</v>
      </c>
      <c r="H2" s="106" t="s">
        <v>29</v>
      </c>
      <c r="I2" s="106" t="s">
        <v>78</v>
      </c>
      <c r="J2" s="107" t="s">
        <v>16</v>
      </c>
      <c r="K2" s="107" t="s">
        <v>18</v>
      </c>
      <c r="L2" s="108">
        <v>100434</v>
      </c>
      <c r="M2" s="108">
        <v>223475</v>
      </c>
      <c r="N2" s="108">
        <v>150223</v>
      </c>
      <c r="O2" s="107" t="s">
        <v>24</v>
      </c>
      <c r="P2" s="109">
        <v>3229230</v>
      </c>
      <c r="Q2" s="109">
        <f>$P2/L2</f>
        <v>32.152757034470397</v>
      </c>
      <c r="R2" s="109">
        <f t="shared" ref="R2:S2" si="0">$P2/M2</f>
        <v>14.450072715068799</v>
      </c>
      <c r="S2" s="109">
        <f t="shared" si="0"/>
        <v>21.496242253183599</v>
      </c>
      <c r="T2" s="110">
        <f>N2/M2</f>
        <v>0.6722138941716076</v>
      </c>
      <c r="U2" s="111">
        <f>L2/M2</f>
        <v>0.449419398142969</v>
      </c>
      <c r="V2" s="112">
        <v>2016</v>
      </c>
      <c r="W2" s="113" t="s">
        <v>136</v>
      </c>
    </row>
    <row r="3" spans="1:23" s="114" customFormat="1" x14ac:dyDescent="0.2">
      <c r="A3" s="105">
        <v>102</v>
      </c>
      <c r="B3" s="106" t="s">
        <v>70</v>
      </c>
      <c r="C3" s="106" t="s">
        <v>2</v>
      </c>
      <c r="D3" s="106" t="s">
        <v>3</v>
      </c>
      <c r="E3" s="106" t="s">
        <v>32</v>
      </c>
      <c r="F3" s="106" t="s">
        <v>125</v>
      </c>
      <c r="G3" s="106" t="s">
        <v>33</v>
      </c>
      <c r="H3" s="106" t="s">
        <v>29</v>
      </c>
      <c r="I3" s="106" t="s">
        <v>78</v>
      </c>
      <c r="J3" s="107" t="s">
        <v>16</v>
      </c>
      <c r="K3" s="107" t="s">
        <v>18</v>
      </c>
      <c r="L3" s="108">
        <v>100434</v>
      </c>
      <c r="M3" s="108">
        <v>223475</v>
      </c>
      <c r="N3" s="108">
        <v>150223</v>
      </c>
      <c r="O3" s="107" t="s">
        <v>44</v>
      </c>
      <c r="P3" s="109">
        <v>0</v>
      </c>
      <c r="Q3" s="109">
        <f t="shared" ref="Q3:Q66" si="1">$P3/L3</f>
        <v>0</v>
      </c>
      <c r="R3" s="109">
        <f t="shared" ref="R3:R66" si="2">$P3/M3</f>
        <v>0</v>
      </c>
      <c r="S3" s="109">
        <f t="shared" ref="S3:S66" si="3">$P3/N3</f>
        <v>0</v>
      </c>
      <c r="T3" s="110">
        <f t="shared" ref="T3:T66" si="4">N3/M3</f>
        <v>0.6722138941716076</v>
      </c>
      <c r="U3" s="111">
        <f t="shared" ref="U3:U66" si="5">L3/M3</f>
        <v>0.449419398142969</v>
      </c>
      <c r="V3" s="112">
        <v>2016</v>
      </c>
      <c r="W3" s="113" t="s">
        <v>136</v>
      </c>
    </row>
    <row r="4" spans="1:23" s="114" customFormat="1" x14ac:dyDescent="0.2">
      <c r="A4" s="105">
        <v>103</v>
      </c>
      <c r="B4" s="106" t="s">
        <v>70</v>
      </c>
      <c r="C4" s="106" t="s">
        <v>2</v>
      </c>
      <c r="D4" s="106" t="s">
        <v>3</v>
      </c>
      <c r="E4" s="106" t="s">
        <v>32</v>
      </c>
      <c r="F4" s="106" t="s">
        <v>125</v>
      </c>
      <c r="G4" s="106" t="s">
        <v>33</v>
      </c>
      <c r="H4" s="106" t="s">
        <v>29</v>
      </c>
      <c r="I4" s="106" t="s">
        <v>78</v>
      </c>
      <c r="J4" s="107" t="s">
        <v>16</v>
      </c>
      <c r="K4" s="107" t="s">
        <v>18</v>
      </c>
      <c r="L4" s="108">
        <v>100434</v>
      </c>
      <c r="M4" s="108">
        <v>223475</v>
      </c>
      <c r="N4" s="108">
        <v>150223</v>
      </c>
      <c r="O4" s="107" t="s">
        <v>45</v>
      </c>
      <c r="P4" s="109">
        <v>0</v>
      </c>
      <c r="Q4" s="109">
        <f t="shared" si="1"/>
        <v>0</v>
      </c>
      <c r="R4" s="109">
        <f t="shared" si="2"/>
        <v>0</v>
      </c>
      <c r="S4" s="109">
        <f t="shared" si="3"/>
        <v>0</v>
      </c>
      <c r="T4" s="110">
        <f t="shared" si="4"/>
        <v>0.6722138941716076</v>
      </c>
      <c r="U4" s="111">
        <f t="shared" si="5"/>
        <v>0.449419398142969</v>
      </c>
      <c r="V4" s="112">
        <v>2016</v>
      </c>
      <c r="W4" s="113" t="s">
        <v>136</v>
      </c>
    </row>
    <row r="5" spans="1:23" s="114" customFormat="1" x14ac:dyDescent="0.2">
      <c r="A5" s="105">
        <v>104</v>
      </c>
      <c r="B5" s="106" t="s">
        <v>70</v>
      </c>
      <c r="C5" s="106" t="s">
        <v>2</v>
      </c>
      <c r="D5" s="106" t="s">
        <v>3</v>
      </c>
      <c r="E5" s="106" t="s">
        <v>32</v>
      </c>
      <c r="F5" s="106" t="s">
        <v>125</v>
      </c>
      <c r="G5" s="106" t="s">
        <v>33</v>
      </c>
      <c r="H5" s="106" t="s">
        <v>29</v>
      </c>
      <c r="I5" s="106" t="s">
        <v>78</v>
      </c>
      <c r="J5" s="107" t="s">
        <v>16</v>
      </c>
      <c r="K5" s="107" t="s">
        <v>18</v>
      </c>
      <c r="L5" s="108">
        <v>100434</v>
      </c>
      <c r="M5" s="108">
        <v>223475</v>
      </c>
      <c r="N5" s="108">
        <v>150223</v>
      </c>
      <c r="O5" s="107" t="s">
        <v>14</v>
      </c>
      <c r="P5" s="109">
        <v>1306500</v>
      </c>
      <c r="Q5" s="109">
        <f t="shared" si="1"/>
        <v>13.008542923711094</v>
      </c>
      <c r="R5" s="109">
        <f t="shared" si="2"/>
        <v>5.8462915314912181</v>
      </c>
      <c r="S5" s="109">
        <f t="shared" si="3"/>
        <v>8.6970703554049642</v>
      </c>
      <c r="T5" s="110">
        <f t="shared" si="4"/>
        <v>0.6722138941716076</v>
      </c>
      <c r="U5" s="111">
        <f t="shared" si="5"/>
        <v>0.449419398142969</v>
      </c>
      <c r="V5" s="112">
        <v>2016</v>
      </c>
      <c r="W5" s="113" t="s">
        <v>136</v>
      </c>
    </row>
    <row r="6" spans="1:23" s="114" customFormat="1" x14ac:dyDescent="0.2">
      <c r="A6" s="105">
        <v>105</v>
      </c>
      <c r="B6" s="106" t="s">
        <v>70</v>
      </c>
      <c r="C6" s="106" t="s">
        <v>2</v>
      </c>
      <c r="D6" s="106" t="s">
        <v>3</v>
      </c>
      <c r="E6" s="106" t="s">
        <v>32</v>
      </c>
      <c r="F6" s="106" t="s">
        <v>125</v>
      </c>
      <c r="G6" s="106" t="s">
        <v>33</v>
      </c>
      <c r="H6" s="106" t="s">
        <v>29</v>
      </c>
      <c r="I6" s="106" t="s">
        <v>78</v>
      </c>
      <c r="J6" s="107" t="s">
        <v>16</v>
      </c>
      <c r="K6" s="107" t="s">
        <v>18</v>
      </c>
      <c r="L6" s="108">
        <v>100434</v>
      </c>
      <c r="M6" s="108">
        <v>223475</v>
      </c>
      <c r="N6" s="108">
        <v>150223</v>
      </c>
      <c r="O6" s="107" t="s">
        <v>22</v>
      </c>
      <c r="P6" s="109">
        <v>6087803</v>
      </c>
      <c r="Q6" s="109">
        <f t="shared" si="1"/>
        <v>60.61496106896071</v>
      </c>
      <c r="R6" s="109">
        <f t="shared" si="2"/>
        <v>27.241539322071819</v>
      </c>
      <c r="S6" s="109">
        <f t="shared" si="3"/>
        <v>40.525106009066519</v>
      </c>
      <c r="T6" s="110">
        <f t="shared" si="4"/>
        <v>0.6722138941716076</v>
      </c>
      <c r="U6" s="111">
        <f t="shared" si="5"/>
        <v>0.449419398142969</v>
      </c>
      <c r="V6" s="112">
        <v>2016</v>
      </c>
      <c r="W6" s="113" t="s">
        <v>136</v>
      </c>
    </row>
    <row r="7" spans="1:23" s="114" customFormat="1" x14ac:dyDescent="0.2">
      <c r="A7" s="105">
        <v>106</v>
      </c>
      <c r="B7" s="106" t="s">
        <v>70</v>
      </c>
      <c r="C7" s="106" t="s">
        <v>2</v>
      </c>
      <c r="D7" s="106" t="s">
        <v>3</v>
      </c>
      <c r="E7" s="106" t="s">
        <v>32</v>
      </c>
      <c r="F7" s="106" t="s">
        <v>125</v>
      </c>
      <c r="G7" s="106" t="s">
        <v>33</v>
      </c>
      <c r="H7" s="106" t="s">
        <v>29</v>
      </c>
      <c r="I7" s="106" t="s">
        <v>78</v>
      </c>
      <c r="J7" s="107" t="s">
        <v>16</v>
      </c>
      <c r="K7" s="107" t="s">
        <v>18</v>
      </c>
      <c r="L7" s="108">
        <v>100434</v>
      </c>
      <c r="M7" s="108">
        <v>223475</v>
      </c>
      <c r="N7" s="108">
        <v>150223</v>
      </c>
      <c r="O7" s="107" t="s">
        <v>20</v>
      </c>
      <c r="P7" s="109">
        <v>4303883</v>
      </c>
      <c r="Q7" s="109">
        <f t="shared" si="1"/>
        <v>42.852848636915787</v>
      </c>
      <c r="R7" s="109">
        <f t="shared" si="2"/>
        <v>19.258901443114443</v>
      </c>
      <c r="S7" s="109">
        <f t="shared" si="3"/>
        <v>28.649960392216904</v>
      </c>
      <c r="T7" s="110">
        <f t="shared" si="4"/>
        <v>0.6722138941716076</v>
      </c>
      <c r="U7" s="111">
        <f t="shared" si="5"/>
        <v>0.449419398142969</v>
      </c>
      <c r="V7" s="112">
        <v>2016</v>
      </c>
      <c r="W7" s="113" t="s">
        <v>136</v>
      </c>
    </row>
    <row r="8" spans="1:23" s="114" customFormat="1" x14ac:dyDescent="0.2">
      <c r="A8" s="105">
        <v>107</v>
      </c>
      <c r="B8" s="106" t="s">
        <v>70</v>
      </c>
      <c r="C8" s="106" t="s">
        <v>2</v>
      </c>
      <c r="D8" s="106" t="s">
        <v>3</v>
      </c>
      <c r="E8" s="106" t="s">
        <v>32</v>
      </c>
      <c r="F8" s="106" t="s">
        <v>125</v>
      </c>
      <c r="G8" s="106" t="s">
        <v>33</v>
      </c>
      <c r="H8" s="106" t="s">
        <v>29</v>
      </c>
      <c r="I8" s="106" t="s">
        <v>78</v>
      </c>
      <c r="J8" s="107" t="s">
        <v>16</v>
      </c>
      <c r="K8" s="107" t="s">
        <v>18</v>
      </c>
      <c r="L8" s="108">
        <v>100434</v>
      </c>
      <c r="M8" s="108">
        <v>223475</v>
      </c>
      <c r="N8" s="108">
        <v>150223</v>
      </c>
      <c r="O8" s="107" t="s">
        <v>23</v>
      </c>
      <c r="P8" s="109">
        <v>6258278</v>
      </c>
      <c r="Q8" s="109">
        <f t="shared" si="1"/>
        <v>62.312344425194652</v>
      </c>
      <c r="R8" s="109">
        <f t="shared" si="2"/>
        <v>28.004376328448373</v>
      </c>
      <c r="S8" s="109">
        <f t="shared" si="3"/>
        <v>41.659918920538132</v>
      </c>
      <c r="T8" s="110">
        <f t="shared" si="4"/>
        <v>0.6722138941716076</v>
      </c>
      <c r="U8" s="111">
        <f t="shared" si="5"/>
        <v>0.449419398142969</v>
      </c>
      <c r="V8" s="115">
        <v>2016</v>
      </c>
      <c r="W8" s="113" t="s">
        <v>136</v>
      </c>
    </row>
    <row r="9" spans="1:23" s="114" customFormat="1" x14ac:dyDescent="0.2">
      <c r="A9" s="105">
        <v>108</v>
      </c>
      <c r="B9" s="106" t="s">
        <v>70</v>
      </c>
      <c r="C9" s="106" t="s">
        <v>2</v>
      </c>
      <c r="D9" s="106" t="s">
        <v>3</v>
      </c>
      <c r="E9" s="106" t="s">
        <v>32</v>
      </c>
      <c r="F9" s="106" t="s">
        <v>125</v>
      </c>
      <c r="G9" s="106" t="s">
        <v>33</v>
      </c>
      <c r="H9" s="106" t="s">
        <v>29</v>
      </c>
      <c r="I9" s="106" t="s">
        <v>78</v>
      </c>
      <c r="J9" s="107" t="s">
        <v>16</v>
      </c>
      <c r="K9" s="107" t="s">
        <v>18</v>
      </c>
      <c r="L9" s="108">
        <v>100434</v>
      </c>
      <c r="M9" s="108">
        <v>223475</v>
      </c>
      <c r="N9" s="108">
        <v>150223</v>
      </c>
      <c r="O9" s="107" t="s">
        <v>43</v>
      </c>
      <c r="P9" s="109">
        <v>1776461</v>
      </c>
      <c r="Q9" s="109">
        <f t="shared" si="1"/>
        <v>17.687844753768644</v>
      </c>
      <c r="R9" s="109">
        <f t="shared" si="2"/>
        <v>7.9492605436849759</v>
      </c>
      <c r="S9" s="109">
        <f t="shared" si="3"/>
        <v>11.825492767419103</v>
      </c>
      <c r="T9" s="110">
        <f t="shared" si="4"/>
        <v>0.6722138941716076</v>
      </c>
      <c r="U9" s="111">
        <f t="shared" si="5"/>
        <v>0.449419398142969</v>
      </c>
      <c r="V9" s="115">
        <v>2016</v>
      </c>
      <c r="W9" s="113" t="s">
        <v>136</v>
      </c>
    </row>
    <row r="10" spans="1:23" s="114" customFormat="1" x14ac:dyDescent="0.2">
      <c r="A10" s="105">
        <v>109.00000000000001</v>
      </c>
      <c r="B10" s="106" t="s">
        <v>70</v>
      </c>
      <c r="C10" s="106" t="s">
        <v>2</v>
      </c>
      <c r="D10" s="106" t="s">
        <v>3</v>
      </c>
      <c r="E10" s="106" t="s">
        <v>32</v>
      </c>
      <c r="F10" s="106" t="s">
        <v>125</v>
      </c>
      <c r="G10" s="106" t="s">
        <v>33</v>
      </c>
      <c r="H10" s="106" t="s">
        <v>29</v>
      </c>
      <c r="I10" s="106" t="s">
        <v>78</v>
      </c>
      <c r="J10" s="107" t="s">
        <v>16</v>
      </c>
      <c r="K10" s="107" t="s">
        <v>18</v>
      </c>
      <c r="L10" s="108">
        <v>100434</v>
      </c>
      <c r="M10" s="108">
        <v>223475</v>
      </c>
      <c r="N10" s="108">
        <v>150223</v>
      </c>
      <c r="O10" s="107" t="s">
        <v>46</v>
      </c>
      <c r="P10" s="109">
        <v>0</v>
      </c>
      <c r="Q10" s="109">
        <f t="shared" si="1"/>
        <v>0</v>
      </c>
      <c r="R10" s="109">
        <f t="shared" si="2"/>
        <v>0</v>
      </c>
      <c r="S10" s="109">
        <f t="shared" si="3"/>
        <v>0</v>
      </c>
      <c r="T10" s="110">
        <f t="shared" si="4"/>
        <v>0.6722138941716076</v>
      </c>
      <c r="U10" s="111">
        <f t="shared" si="5"/>
        <v>0.449419398142969</v>
      </c>
      <c r="V10" s="115">
        <v>2016</v>
      </c>
      <c r="W10" s="113" t="s">
        <v>136</v>
      </c>
    </row>
    <row r="11" spans="1:23" s="114" customFormat="1" x14ac:dyDescent="0.2">
      <c r="A11" s="105">
        <v>110.00000000000001</v>
      </c>
      <c r="B11" s="106" t="s">
        <v>70</v>
      </c>
      <c r="C11" s="106" t="s">
        <v>2</v>
      </c>
      <c r="D11" s="106" t="s">
        <v>3</v>
      </c>
      <c r="E11" s="106" t="s">
        <v>32</v>
      </c>
      <c r="F11" s="106" t="s">
        <v>125</v>
      </c>
      <c r="G11" s="106" t="s">
        <v>33</v>
      </c>
      <c r="H11" s="106" t="s">
        <v>29</v>
      </c>
      <c r="I11" s="106" t="s">
        <v>78</v>
      </c>
      <c r="J11" s="107" t="s">
        <v>16</v>
      </c>
      <c r="K11" s="107" t="s">
        <v>18</v>
      </c>
      <c r="L11" s="108">
        <v>100434</v>
      </c>
      <c r="M11" s="108">
        <v>223475</v>
      </c>
      <c r="N11" s="108">
        <v>150223</v>
      </c>
      <c r="O11" s="107" t="s">
        <v>34</v>
      </c>
      <c r="P11" s="109">
        <v>1189404</v>
      </c>
      <c r="Q11" s="109">
        <f t="shared" si="1"/>
        <v>11.842642929685166</v>
      </c>
      <c r="R11" s="109">
        <f t="shared" si="2"/>
        <v>5.3223134578811946</v>
      </c>
      <c r="S11" s="109">
        <f t="shared" si="3"/>
        <v>7.9175891840796684</v>
      </c>
      <c r="T11" s="110">
        <f t="shared" si="4"/>
        <v>0.6722138941716076</v>
      </c>
      <c r="U11" s="111">
        <f t="shared" si="5"/>
        <v>0.449419398142969</v>
      </c>
      <c r="V11" s="115">
        <v>2016</v>
      </c>
      <c r="W11" s="113" t="s">
        <v>136</v>
      </c>
    </row>
    <row r="12" spans="1:23" s="114" customFormat="1" x14ac:dyDescent="0.2">
      <c r="A12" s="105">
        <v>111.00000000000001</v>
      </c>
      <c r="B12" s="106" t="s">
        <v>70</v>
      </c>
      <c r="C12" s="106" t="s">
        <v>2</v>
      </c>
      <c r="D12" s="106" t="s">
        <v>3</v>
      </c>
      <c r="E12" s="106" t="s">
        <v>32</v>
      </c>
      <c r="F12" s="106" t="s">
        <v>125</v>
      </c>
      <c r="G12" s="106" t="s">
        <v>33</v>
      </c>
      <c r="H12" s="106" t="s">
        <v>29</v>
      </c>
      <c r="I12" s="106" t="s">
        <v>78</v>
      </c>
      <c r="J12" s="107" t="s">
        <v>16</v>
      </c>
      <c r="K12" s="107" t="s">
        <v>18</v>
      </c>
      <c r="L12" s="108">
        <v>100434</v>
      </c>
      <c r="M12" s="108">
        <v>223475</v>
      </c>
      <c r="N12" s="108">
        <v>150223</v>
      </c>
      <c r="O12" s="107" t="s">
        <v>26</v>
      </c>
      <c r="P12" s="109">
        <v>12406293</v>
      </c>
      <c r="Q12" s="109">
        <f t="shared" si="1"/>
        <v>123.52682358563833</v>
      </c>
      <c r="R12" s="109">
        <f t="shared" si="2"/>
        <v>55.515350710370285</v>
      </c>
      <c r="S12" s="109">
        <f t="shared" si="3"/>
        <v>82.585842380993583</v>
      </c>
      <c r="T12" s="110">
        <f t="shared" si="4"/>
        <v>0.6722138941716076</v>
      </c>
      <c r="U12" s="111">
        <f t="shared" si="5"/>
        <v>0.449419398142969</v>
      </c>
      <c r="V12" s="115">
        <v>2016</v>
      </c>
      <c r="W12" s="113" t="s">
        <v>136</v>
      </c>
    </row>
    <row r="13" spans="1:23" s="114" customFormat="1" x14ac:dyDescent="0.2">
      <c r="A13" s="105">
        <v>112.00000000000001</v>
      </c>
      <c r="B13" s="106" t="s">
        <v>70</v>
      </c>
      <c r="C13" s="106" t="s">
        <v>2</v>
      </c>
      <c r="D13" s="106" t="s">
        <v>3</v>
      </c>
      <c r="E13" s="106" t="s">
        <v>32</v>
      </c>
      <c r="F13" s="106" t="s">
        <v>125</v>
      </c>
      <c r="G13" s="106" t="s">
        <v>33</v>
      </c>
      <c r="H13" s="106" t="s">
        <v>29</v>
      </c>
      <c r="I13" s="106" t="s">
        <v>78</v>
      </c>
      <c r="J13" s="107" t="s">
        <v>16</v>
      </c>
      <c r="K13" s="107" t="s">
        <v>18</v>
      </c>
      <c r="L13" s="108">
        <v>100434</v>
      </c>
      <c r="M13" s="108">
        <v>223475</v>
      </c>
      <c r="N13" s="108">
        <v>150223</v>
      </c>
      <c r="O13" s="107" t="s">
        <v>28</v>
      </c>
      <c r="P13" s="109">
        <v>3548838</v>
      </c>
      <c r="Q13" s="109">
        <f t="shared" si="1"/>
        <v>35.335025987215488</v>
      </c>
      <c r="R13" s="109">
        <f t="shared" si="2"/>
        <v>15.880246112540553</v>
      </c>
      <c r="S13" s="109">
        <f t="shared" si="3"/>
        <v>23.623799285062873</v>
      </c>
      <c r="T13" s="110">
        <f t="shared" si="4"/>
        <v>0.6722138941716076</v>
      </c>
      <c r="U13" s="111">
        <f t="shared" si="5"/>
        <v>0.449419398142969</v>
      </c>
      <c r="V13" s="115">
        <v>2016</v>
      </c>
      <c r="W13" s="113" t="s">
        <v>136</v>
      </c>
    </row>
    <row r="14" spans="1:23" s="114" customFormat="1" x14ac:dyDescent="0.2">
      <c r="A14" s="105">
        <v>112.99999999999999</v>
      </c>
      <c r="B14" s="106" t="s">
        <v>70</v>
      </c>
      <c r="C14" s="106" t="s">
        <v>2</v>
      </c>
      <c r="D14" s="106" t="s">
        <v>3</v>
      </c>
      <c r="E14" s="106" t="s">
        <v>32</v>
      </c>
      <c r="F14" s="106" t="s">
        <v>125</v>
      </c>
      <c r="G14" s="106" t="s">
        <v>33</v>
      </c>
      <c r="H14" s="106" t="s">
        <v>29</v>
      </c>
      <c r="I14" s="106" t="s">
        <v>78</v>
      </c>
      <c r="J14" s="107" t="s">
        <v>16</v>
      </c>
      <c r="K14" s="107" t="s">
        <v>18</v>
      </c>
      <c r="L14" s="108">
        <v>100434</v>
      </c>
      <c r="M14" s="108">
        <v>223475</v>
      </c>
      <c r="N14" s="108">
        <v>150223</v>
      </c>
      <c r="O14" s="107" t="s">
        <v>47</v>
      </c>
      <c r="P14" s="109">
        <v>0</v>
      </c>
      <c r="Q14" s="109">
        <f t="shared" si="1"/>
        <v>0</v>
      </c>
      <c r="R14" s="109">
        <f t="shared" si="2"/>
        <v>0</v>
      </c>
      <c r="S14" s="109">
        <f t="shared" si="3"/>
        <v>0</v>
      </c>
      <c r="T14" s="110">
        <f t="shared" si="4"/>
        <v>0.6722138941716076</v>
      </c>
      <c r="U14" s="111">
        <f t="shared" si="5"/>
        <v>0.449419398142969</v>
      </c>
      <c r="V14" s="112">
        <v>2016</v>
      </c>
      <c r="W14" s="113" t="s">
        <v>136</v>
      </c>
    </row>
    <row r="15" spans="1:23" s="114" customFormat="1" x14ac:dyDescent="0.2">
      <c r="A15" s="105">
        <v>113.99999999999999</v>
      </c>
      <c r="B15" s="106" t="s">
        <v>70</v>
      </c>
      <c r="C15" s="106" t="s">
        <v>2</v>
      </c>
      <c r="D15" s="106" t="s">
        <v>3</v>
      </c>
      <c r="E15" s="106" t="s">
        <v>32</v>
      </c>
      <c r="F15" s="106" t="s">
        <v>125</v>
      </c>
      <c r="G15" s="106" t="s">
        <v>33</v>
      </c>
      <c r="H15" s="106" t="s">
        <v>29</v>
      </c>
      <c r="I15" s="106" t="s">
        <v>78</v>
      </c>
      <c r="J15" s="107" t="s">
        <v>16</v>
      </c>
      <c r="K15" s="107" t="s">
        <v>18</v>
      </c>
      <c r="L15" s="108">
        <v>100434</v>
      </c>
      <c r="M15" s="108">
        <v>223475</v>
      </c>
      <c r="N15" s="108">
        <v>150223</v>
      </c>
      <c r="O15" s="107" t="s">
        <v>27</v>
      </c>
      <c r="P15" s="109">
        <v>1612634</v>
      </c>
      <c r="Q15" s="109">
        <f t="shared" si="1"/>
        <v>16.056654121114363</v>
      </c>
      <c r="R15" s="109">
        <f t="shared" si="2"/>
        <v>7.2161718313010406</v>
      </c>
      <c r="S15" s="109">
        <f t="shared" si="3"/>
        <v>10.734934064690494</v>
      </c>
      <c r="T15" s="110">
        <f t="shared" si="4"/>
        <v>0.6722138941716076</v>
      </c>
      <c r="U15" s="111">
        <f t="shared" si="5"/>
        <v>0.449419398142969</v>
      </c>
      <c r="V15" s="115">
        <v>2016</v>
      </c>
      <c r="W15" s="113" t="s">
        <v>136</v>
      </c>
    </row>
    <row r="16" spans="1:23" s="114" customFormat="1" x14ac:dyDescent="0.2">
      <c r="A16" s="105">
        <v>114.99999999999999</v>
      </c>
      <c r="B16" s="106" t="s">
        <v>70</v>
      </c>
      <c r="C16" s="106" t="s">
        <v>2</v>
      </c>
      <c r="D16" s="106" t="s">
        <v>3</v>
      </c>
      <c r="E16" s="106" t="s">
        <v>32</v>
      </c>
      <c r="F16" s="106" t="s">
        <v>125</v>
      </c>
      <c r="G16" s="106" t="s">
        <v>33</v>
      </c>
      <c r="H16" s="106" t="s">
        <v>29</v>
      </c>
      <c r="I16" s="106" t="s">
        <v>78</v>
      </c>
      <c r="J16" s="107" t="s">
        <v>16</v>
      </c>
      <c r="K16" s="107" t="s">
        <v>18</v>
      </c>
      <c r="L16" s="108">
        <v>100434</v>
      </c>
      <c r="M16" s="108">
        <v>223475</v>
      </c>
      <c r="N16" s="108">
        <v>150223</v>
      </c>
      <c r="O16" s="107" t="s">
        <v>48</v>
      </c>
      <c r="P16" s="109">
        <v>0</v>
      </c>
      <c r="Q16" s="109">
        <f t="shared" si="1"/>
        <v>0</v>
      </c>
      <c r="R16" s="109">
        <f t="shared" si="2"/>
        <v>0</v>
      </c>
      <c r="S16" s="109">
        <f t="shared" si="3"/>
        <v>0</v>
      </c>
      <c r="T16" s="110">
        <f t="shared" si="4"/>
        <v>0.6722138941716076</v>
      </c>
      <c r="U16" s="111">
        <f t="shared" si="5"/>
        <v>0.449419398142969</v>
      </c>
      <c r="V16" s="115">
        <v>2016</v>
      </c>
      <c r="W16" s="113" t="s">
        <v>136</v>
      </c>
    </row>
    <row r="17" spans="1:23" s="114" customFormat="1" x14ac:dyDescent="0.2">
      <c r="A17" s="105">
        <v>115.99999999999999</v>
      </c>
      <c r="B17" s="106" t="s">
        <v>70</v>
      </c>
      <c r="C17" s="106" t="s">
        <v>2</v>
      </c>
      <c r="D17" s="106" t="s">
        <v>3</v>
      </c>
      <c r="E17" s="106" t="s">
        <v>32</v>
      </c>
      <c r="F17" s="106" t="s">
        <v>125</v>
      </c>
      <c r="G17" s="106" t="s">
        <v>33</v>
      </c>
      <c r="H17" s="106" t="s">
        <v>29</v>
      </c>
      <c r="I17" s="106" t="s">
        <v>78</v>
      </c>
      <c r="J17" s="107" t="s">
        <v>16</v>
      </c>
      <c r="K17" s="107" t="s">
        <v>18</v>
      </c>
      <c r="L17" s="108">
        <v>100434</v>
      </c>
      <c r="M17" s="108">
        <v>223475</v>
      </c>
      <c r="N17" s="108">
        <v>150223</v>
      </c>
      <c r="O17" s="107" t="s">
        <v>49</v>
      </c>
      <c r="P17" s="109">
        <v>0</v>
      </c>
      <c r="Q17" s="109">
        <f t="shared" si="1"/>
        <v>0</v>
      </c>
      <c r="R17" s="109">
        <f t="shared" si="2"/>
        <v>0</v>
      </c>
      <c r="S17" s="109">
        <f t="shared" si="3"/>
        <v>0</v>
      </c>
      <c r="T17" s="110">
        <f t="shared" si="4"/>
        <v>0.6722138941716076</v>
      </c>
      <c r="U17" s="111">
        <f t="shared" si="5"/>
        <v>0.449419398142969</v>
      </c>
      <c r="V17" s="115">
        <v>2016</v>
      </c>
      <c r="W17" s="113" t="s">
        <v>136</v>
      </c>
    </row>
    <row r="18" spans="1:23" s="114" customFormat="1" x14ac:dyDescent="0.2">
      <c r="A18" s="105">
        <v>117</v>
      </c>
      <c r="B18" s="106" t="s">
        <v>70</v>
      </c>
      <c r="C18" s="106" t="s">
        <v>2</v>
      </c>
      <c r="D18" s="106" t="s">
        <v>3</v>
      </c>
      <c r="E18" s="106" t="s">
        <v>32</v>
      </c>
      <c r="F18" s="106" t="s">
        <v>125</v>
      </c>
      <c r="G18" s="106" t="s">
        <v>33</v>
      </c>
      <c r="H18" s="106" t="s">
        <v>29</v>
      </c>
      <c r="I18" s="106" t="s">
        <v>78</v>
      </c>
      <c r="J18" s="107" t="s">
        <v>16</v>
      </c>
      <c r="K18" s="107" t="s">
        <v>18</v>
      </c>
      <c r="L18" s="108">
        <v>100434</v>
      </c>
      <c r="M18" s="108">
        <v>223475</v>
      </c>
      <c r="N18" s="108">
        <v>150223</v>
      </c>
      <c r="O18" s="107" t="s">
        <v>50</v>
      </c>
      <c r="P18" s="109">
        <v>0</v>
      </c>
      <c r="Q18" s="109">
        <f t="shared" si="1"/>
        <v>0</v>
      </c>
      <c r="R18" s="109">
        <f t="shared" si="2"/>
        <v>0</v>
      </c>
      <c r="S18" s="109">
        <f t="shared" si="3"/>
        <v>0</v>
      </c>
      <c r="T18" s="110">
        <f t="shared" si="4"/>
        <v>0.6722138941716076</v>
      </c>
      <c r="U18" s="111">
        <f t="shared" si="5"/>
        <v>0.449419398142969</v>
      </c>
      <c r="V18" s="115">
        <v>2016</v>
      </c>
      <c r="W18" s="113" t="s">
        <v>136</v>
      </c>
    </row>
    <row r="19" spans="1:23" s="114" customFormat="1" x14ac:dyDescent="0.2">
      <c r="A19" s="105">
        <v>118</v>
      </c>
      <c r="B19" s="106" t="s">
        <v>70</v>
      </c>
      <c r="C19" s="106" t="s">
        <v>2</v>
      </c>
      <c r="D19" s="106" t="s">
        <v>3</v>
      </c>
      <c r="E19" s="106" t="s">
        <v>32</v>
      </c>
      <c r="F19" s="106" t="s">
        <v>125</v>
      </c>
      <c r="G19" s="106" t="s">
        <v>33</v>
      </c>
      <c r="H19" s="106" t="s">
        <v>29</v>
      </c>
      <c r="I19" s="106" t="s">
        <v>78</v>
      </c>
      <c r="J19" s="107" t="s">
        <v>16</v>
      </c>
      <c r="K19" s="107" t="s">
        <v>18</v>
      </c>
      <c r="L19" s="108">
        <v>100434</v>
      </c>
      <c r="M19" s="108">
        <v>223475</v>
      </c>
      <c r="N19" s="108">
        <v>150223</v>
      </c>
      <c r="O19" s="107" t="s">
        <v>51</v>
      </c>
      <c r="P19" s="109">
        <v>0</v>
      </c>
      <c r="Q19" s="109">
        <f t="shared" si="1"/>
        <v>0</v>
      </c>
      <c r="R19" s="109">
        <f t="shared" si="2"/>
        <v>0</v>
      </c>
      <c r="S19" s="109">
        <f t="shared" si="3"/>
        <v>0</v>
      </c>
      <c r="T19" s="110">
        <f t="shared" si="4"/>
        <v>0.6722138941716076</v>
      </c>
      <c r="U19" s="111">
        <f t="shared" si="5"/>
        <v>0.449419398142969</v>
      </c>
      <c r="V19" s="115">
        <v>2016</v>
      </c>
      <c r="W19" s="113" t="s">
        <v>136</v>
      </c>
    </row>
    <row r="20" spans="1:23" s="114" customFormat="1" x14ac:dyDescent="0.2">
      <c r="A20" s="105">
        <v>119</v>
      </c>
      <c r="B20" s="106" t="s">
        <v>70</v>
      </c>
      <c r="C20" s="106" t="s">
        <v>2</v>
      </c>
      <c r="D20" s="106" t="s">
        <v>3</v>
      </c>
      <c r="E20" s="106" t="s">
        <v>32</v>
      </c>
      <c r="F20" s="106" t="s">
        <v>125</v>
      </c>
      <c r="G20" s="106" t="s">
        <v>33</v>
      </c>
      <c r="H20" s="106" t="s">
        <v>29</v>
      </c>
      <c r="I20" s="106" t="s">
        <v>78</v>
      </c>
      <c r="J20" s="107" t="s">
        <v>16</v>
      </c>
      <c r="K20" s="107" t="s">
        <v>18</v>
      </c>
      <c r="L20" s="108">
        <v>100434</v>
      </c>
      <c r="M20" s="108">
        <v>223475</v>
      </c>
      <c r="N20" s="108">
        <v>150223</v>
      </c>
      <c r="O20" s="107" t="s">
        <v>52</v>
      </c>
      <c r="P20" s="109">
        <v>0</v>
      </c>
      <c r="Q20" s="109">
        <f t="shared" si="1"/>
        <v>0</v>
      </c>
      <c r="R20" s="109">
        <f t="shared" si="2"/>
        <v>0</v>
      </c>
      <c r="S20" s="109">
        <f t="shared" si="3"/>
        <v>0</v>
      </c>
      <c r="T20" s="110">
        <f t="shared" si="4"/>
        <v>0.6722138941716076</v>
      </c>
      <c r="U20" s="111">
        <f t="shared" si="5"/>
        <v>0.449419398142969</v>
      </c>
      <c r="V20" s="115">
        <v>2016</v>
      </c>
      <c r="W20" s="113" t="s">
        <v>136</v>
      </c>
    </row>
    <row r="21" spans="1:23" s="114" customFormat="1" x14ac:dyDescent="0.2">
      <c r="A21" s="105">
        <v>120</v>
      </c>
      <c r="B21" s="106" t="s">
        <v>70</v>
      </c>
      <c r="C21" s="106" t="s">
        <v>2</v>
      </c>
      <c r="D21" s="106" t="s">
        <v>3</v>
      </c>
      <c r="E21" s="106" t="s">
        <v>32</v>
      </c>
      <c r="F21" s="106" t="s">
        <v>125</v>
      </c>
      <c r="G21" s="106" t="s">
        <v>33</v>
      </c>
      <c r="H21" s="106" t="s">
        <v>29</v>
      </c>
      <c r="I21" s="106" t="s">
        <v>78</v>
      </c>
      <c r="J21" s="107" t="s">
        <v>16</v>
      </c>
      <c r="K21" s="107" t="s">
        <v>18</v>
      </c>
      <c r="L21" s="108">
        <v>100434</v>
      </c>
      <c r="M21" s="108">
        <v>223475</v>
      </c>
      <c r="N21" s="108">
        <v>150223</v>
      </c>
      <c r="O21" s="107" t="s">
        <v>53</v>
      </c>
      <c r="P21" s="109">
        <v>0</v>
      </c>
      <c r="Q21" s="109">
        <f t="shared" si="1"/>
        <v>0</v>
      </c>
      <c r="R21" s="109">
        <f t="shared" si="2"/>
        <v>0</v>
      </c>
      <c r="S21" s="109">
        <f t="shared" si="3"/>
        <v>0</v>
      </c>
      <c r="T21" s="110">
        <f t="shared" si="4"/>
        <v>0.6722138941716076</v>
      </c>
      <c r="U21" s="111">
        <f t="shared" si="5"/>
        <v>0.449419398142969</v>
      </c>
      <c r="V21" s="115">
        <v>2016</v>
      </c>
      <c r="W21" s="113" t="s">
        <v>136</v>
      </c>
    </row>
    <row r="22" spans="1:23" s="114" customFormat="1" x14ac:dyDescent="0.2">
      <c r="A22" s="105">
        <v>121</v>
      </c>
      <c r="B22" s="106" t="s">
        <v>70</v>
      </c>
      <c r="C22" s="106" t="s">
        <v>2</v>
      </c>
      <c r="D22" s="106" t="s">
        <v>3</v>
      </c>
      <c r="E22" s="106" t="s">
        <v>32</v>
      </c>
      <c r="F22" s="106" t="s">
        <v>125</v>
      </c>
      <c r="G22" s="106" t="s">
        <v>33</v>
      </c>
      <c r="H22" s="106" t="s">
        <v>29</v>
      </c>
      <c r="I22" s="106" t="s">
        <v>78</v>
      </c>
      <c r="J22" s="107" t="s">
        <v>16</v>
      </c>
      <c r="K22" s="107" t="s">
        <v>18</v>
      </c>
      <c r="L22" s="108">
        <v>100434</v>
      </c>
      <c r="M22" s="108">
        <v>223475</v>
      </c>
      <c r="N22" s="108">
        <v>150223</v>
      </c>
      <c r="O22" s="107" t="s">
        <v>54</v>
      </c>
      <c r="P22" s="109">
        <v>0</v>
      </c>
      <c r="Q22" s="109">
        <f t="shared" si="1"/>
        <v>0</v>
      </c>
      <c r="R22" s="109">
        <f t="shared" si="2"/>
        <v>0</v>
      </c>
      <c r="S22" s="109">
        <f t="shared" si="3"/>
        <v>0</v>
      </c>
      <c r="T22" s="110">
        <f t="shared" si="4"/>
        <v>0.6722138941716076</v>
      </c>
      <c r="U22" s="111">
        <f t="shared" si="5"/>
        <v>0.449419398142969</v>
      </c>
      <c r="V22" s="115">
        <v>2016</v>
      </c>
      <c r="W22" s="113" t="s">
        <v>136</v>
      </c>
    </row>
    <row r="23" spans="1:23" s="114" customFormat="1" x14ac:dyDescent="0.2">
      <c r="A23" s="105">
        <v>122</v>
      </c>
      <c r="B23" s="106" t="s">
        <v>70</v>
      </c>
      <c r="C23" s="106" t="s">
        <v>2</v>
      </c>
      <c r="D23" s="106" t="s">
        <v>3</v>
      </c>
      <c r="E23" s="106" t="s">
        <v>32</v>
      </c>
      <c r="F23" s="106" t="s">
        <v>125</v>
      </c>
      <c r="G23" s="106" t="s">
        <v>33</v>
      </c>
      <c r="H23" s="106" t="s">
        <v>29</v>
      </c>
      <c r="I23" s="106" t="s">
        <v>78</v>
      </c>
      <c r="J23" s="107" t="s">
        <v>16</v>
      </c>
      <c r="K23" s="107" t="s">
        <v>18</v>
      </c>
      <c r="L23" s="108">
        <v>100434</v>
      </c>
      <c r="M23" s="108">
        <v>223475</v>
      </c>
      <c r="N23" s="108">
        <v>150223</v>
      </c>
      <c r="O23" s="107" t="s">
        <v>55</v>
      </c>
      <c r="P23" s="109">
        <v>0</v>
      </c>
      <c r="Q23" s="109">
        <f t="shared" si="1"/>
        <v>0</v>
      </c>
      <c r="R23" s="109">
        <f t="shared" si="2"/>
        <v>0</v>
      </c>
      <c r="S23" s="109">
        <f t="shared" si="3"/>
        <v>0</v>
      </c>
      <c r="T23" s="110">
        <f t="shared" si="4"/>
        <v>0.6722138941716076</v>
      </c>
      <c r="U23" s="111">
        <f t="shared" si="5"/>
        <v>0.449419398142969</v>
      </c>
      <c r="V23" s="115">
        <v>2016</v>
      </c>
      <c r="W23" s="113" t="s">
        <v>136</v>
      </c>
    </row>
    <row r="24" spans="1:23" s="114" customFormat="1" x14ac:dyDescent="0.2">
      <c r="A24" s="105">
        <v>123</v>
      </c>
      <c r="B24" s="106" t="s">
        <v>70</v>
      </c>
      <c r="C24" s="106" t="s">
        <v>2</v>
      </c>
      <c r="D24" s="106" t="s">
        <v>3</v>
      </c>
      <c r="E24" s="106" t="s">
        <v>32</v>
      </c>
      <c r="F24" s="106" t="s">
        <v>125</v>
      </c>
      <c r="G24" s="106" t="s">
        <v>33</v>
      </c>
      <c r="H24" s="106" t="s">
        <v>29</v>
      </c>
      <c r="I24" s="106" t="s">
        <v>78</v>
      </c>
      <c r="J24" s="107" t="s">
        <v>16</v>
      </c>
      <c r="K24" s="107" t="s">
        <v>18</v>
      </c>
      <c r="L24" s="108">
        <v>100434</v>
      </c>
      <c r="M24" s="108">
        <v>223475</v>
      </c>
      <c r="N24" s="108">
        <v>150223</v>
      </c>
      <c r="O24" s="107" t="s">
        <v>56</v>
      </c>
      <c r="P24" s="109">
        <v>0</v>
      </c>
      <c r="Q24" s="109">
        <f t="shared" si="1"/>
        <v>0</v>
      </c>
      <c r="R24" s="109">
        <f t="shared" si="2"/>
        <v>0</v>
      </c>
      <c r="S24" s="109">
        <f t="shared" si="3"/>
        <v>0</v>
      </c>
      <c r="T24" s="110">
        <f t="shared" si="4"/>
        <v>0.6722138941716076</v>
      </c>
      <c r="U24" s="111">
        <f t="shared" si="5"/>
        <v>0.449419398142969</v>
      </c>
      <c r="V24" s="115">
        <v>2016</v>
      </c>
      <c r="W24" s="113" t="s">
        <v>136</v>
      </c>
    </row>
    <row r="25" spans="1:23" s="114" customFormat="1" x14ac:dyDescent="0.2">
      <c r="A25" s="105">
        <v>124</v>
      </c>
      <c r="B25" s="106" t="s">
        <v>70</v>
      </c>
      <c r="C25" s="106" t="s">
        <v>2</v>
      </c>
      <c r="D25" s="106" t="s">
        <v>3</v>
      </c>
      <c r="E25" s="106" t="s">
        <v>32</v>
      </c>
      <c r="F25" s="106" t="s">
        <v>125</v>
      </c>
      <c r="G25" s="106" t="s">
        <v>33</v>
      </c>
      <c r="H25" s="106" t="s">
        <v>29</v>
      </c>
      <c r="I25" s="106" t="s">
        <v>78</v>
      </c>
      <c r="J25" s="107" t="s">
        <v>16</v>
      </c>
      <c r="K25" s="107" t="s">
        <v>18</v>
      </c>
      <c r="L25" s="108">
        <v>100434</v>
      </c>
      <c r="M25" s="108">
        <v>223475</v>
      </c>
      <c r="N25" s="108">
        <v>150223</v>
      </c>
      <c r="O25" s="107" t="s">
        <v>73</v>
      </c>
      <c r="P25" s="109">
        <v>7170863</v>
      </c>
      <c r="Q25" s="109">
        <f t="shared" si="1"/>
        <v>71.398759384272253</v>
      </c>
      <c r="R25" s="109">
        <f t="shared" si="2"/>
        <v>32.087987470634296</v>
      </c>
      <c r="S25" s="109">
        <f t="shared" si="3"/>
        <v>47.734787615744594</v>
      </c>
      <c r="T25" s="110">
        <f t="shared" si="4"/>
        <v>0.6722138941716076</v>
      </c>
      <c r="U25" s="111">
        <f t="shared" si="5"/>
        <v>0.449419398142969</v>
      </c>
      <c r="V25" s="115">
        <v>2016</v>
      </c>
      <c r="W25" s="113" t="s">
        <v>136</v>
      </c>
    </row>
    <row r="26" spans="1:23" s="114" customFormat="1" x14ac:dyDescent="0.2">
      <c r="A26" s="105">
        <v>125</v>
      </c>
      <c r="B26" s="106" t="s">
        <v>70</v>
      </c>
      <c r="C26" s="106" t="s">
        <v>2</v>
      </c>
      <c r="D26" s="106" t="s">
        <v>3</v>
      </c>
      <c r="E26" s="106" t="s">
        <v>32</v>
      </c>
      <c r="F26" s="106" t="s">
        <v>125</v>
      </c>
      <c r="G26" s="106" t="s">
        <v>33</v>
      </c>
      <c r="H26" s="106" t="s">
        <v>29</v>
      </c>
      <c r="I26" s="106" t="s">
        <v>78</v>
      </c>
      <c r="J26" s="107" t="s">
        <v>16</v>
      </c>
      <c r="K26" s="107" t="s">
        <v>18</v>
      </c>
      <c r="L26" s="108">
        <v>100434</v>
      </c>
      <c r="M26" s="108">
        <v>223475</v>
      </c>
      <c r="N26" s="108">
        <v>150223</v>
      </c>
      <c r="O26" s="107" t="s">
        <v>57</v>
      </c>
      <c r="P26" s="109">
        <v>6000000</v>
      </c>
      <c r="Q26" s="109">
        <f t="shared" si="1"/>
        <v>59.740725252404566</v>
      </c>
      <c r="R26" s="109">
        <f t="shared" si="2"/>
        <v>26.848640787560129</v>
      </c>
      <c r="S26" s="109">
        <f t="shared" si="3"/>
        <v>39.940621609207646</v>
      </c>
      <c r="T26" s="110">
        <f t="shared" si="4"/>
        <v>0.6722138941716076</v>
      </c>
      <c r="U26" s="111">
        <f t="shared" si="5"/>
        <v>0.449419398142969</v>
      </c>
      <c r="V26" s="115">
        <v>2016</v>
      </c>
      <c r="W26" s="113" t="s">
        <v>136</v>
      </c>
    </row>
    <row r="27" spans="1:23" s="114" customFormat="1" x14ac:dyDescent="0.2">
      <c r="A27" s="105">
        <v>126</v>
      </c>
      <c r="B27" s="106" t="s">
        <v>70</v>
      </c>
      <c r="C27" s="106" t="s">
        <v>2</v>
      </c>
      <c r="D27" s="106" t="s">
        <v>3</v>
      </c>
      <c r="E27" s="106" t="s">
        <v>32</v>
      </c>
      <c r="F27" s="106" t="s">
        <v>125</v>
      </c>
      <c r="G27" s="106" t="s">
        <v>33</v>
      </c>
      <c r="H27" s="106" t="s">
        <v>29</v>
      </c>
      <c r="I27" s="106" t="s">
        <v>78</v>
      </c>
      <c r="J27" s="107" t="s">
        <v>16</v>
      </c>
      <c r="K27" s="107" t="s">
        <v>18</v>
      </c>
      <c r="L27" s="108">
        <v>100434</v>
      </c>
      <c r="M27" s="108">
        <v>223475</v>
      </c>
      <c r="N27" s="108">
        <v>150223</v>
      </c>
      <c r="O27" s="107" t="s">
        <v>58</v>
      </c>
      <c r="P27" s="109">
        <v>3000000</v>
      </c>
      <c r="Q27" s="109">
        <f t="shared" si="1"/>
        <v>29.870362626202283</v>
      </c>
      <c r="R27" s="109">
        <f t="shared" si="2"/>
        <v>13.424320393780064</v>
      </c>
      <c r="S27" s="109">
        <f t="shared" si="3"/>
        <v>19.970310804603823</v>
      </c>
      <c r="T27" s="110">
        <f t="shared" si="4"/>
        <v>0.6722138941716076</v>
      </c>
      <c r="U27" s="111">
        <f t="shared" si="5"/>
        <v>0.449419398142969</v>
      </c>
      <c r="V27" s="115">
        <v>2016</v>
      </c>
      <c r="W27" s="113" t="s">
        <v>136</v>
      </c>
    </row>
    <row r="28" spans="1:23" s="114" customFormat="1" x14ac:dyDescent="0.2">
      <c r="A28" s="105">
        <v>127</v>
      </c>
      <c r="B28" s="106" t="s">
        <v>70</v>
      </c>
      <c r="C28" s="106" t="s">
        <v>2</v>
      </c>
      <c r="D28" s="106" t="s">
        <v>3</v>
      </c>
      <c r="E28" s="106" t="s">
        <v>32</v>
      </c>
      <c r="F28" s="106" t="s">
        <v>125</v>
      </c>
      <c r="G28" s="106" t="s">
        <v>33</v>
      </c>
      <c r="H28" s="106" t="s">
        <v>29</v>
      </c>
      <c r="I28" s="106" t="s">
        <v>78</v>
      </c>
      <c r="J28" s="107" t="s">
        <v>16</v>
      </c>
      <c r="K28" s="107" t="s">
        <v>18</v>
      </c>
      <c r="L28" s="108">
        <v>100434</v>
      </c>
      <c r="M28" s="108">
        <v>223475</v>
      </c>
      <c r="N28" s="108">
        <v>150223</v>
      </c>
      <c r="O28" s="107" t="s">
        <v>59</v>
      </c>
      <c r="P28" s="109">
        <v>992195</v>
      </c>
      <c r="Q28" s="109">
        <f t="shared" si="1"/>
        <v>9.8790748153015908</v>
      </c>
      <c r="R28" s="109">
        <f t="shared" si="2"/>
        <v>4.4398478577022038</v>
      </c>
      <c r="S28" s="109">
        <f t="shared" si="3"/>
        <v>6.6048141762579631</v>
      </c>
      <c r="T28" s="110">
        <f t="shared" si="4"/>
        <v>0.6722138941716076</v>
      </c>
      <c r="U28" s="111">
        <f t="shared" si="5"/>
        <v>0.449419398142969</v>
      </c>
      <c r="V28" s="115">
        <v>2016</v>
      </c>
      <c r="W28" s="113" t="s">
        <v>136</v>
      </c>
    </row>
    <row r="29" spans="1:23" s="114" customFormat="1" x14ac:dyDescent="0.2">
      <c r="A29" s="105">
        <v>128</v>
      </c>
      <c r="B29" s="106" t="s">
        <v>70</v>
      </c>
      <c r="C29" s="106" t="s">
        <v>2</v>
      </c>
      <c r="D29" s="106" t="s">
        <v>3</v>
      </c>
      <c r="E29" s="106" t="s">
        <v>32</v>
      </c>
      <c r="F29" s="106" t="s">
        <v>125</v>
      </c>
      <c r="G29" s="106" t="s">
        <v>33</v>
      </c>
      <c r="H29" s="106" t="s">
        <v>29</v>
      </c>
      <c r="I29" s="106" t="s">
        <v>78</v>
      </c>
      <c r="J29" s="107" t="s">
        <v>16</v>
      </c>
      <c r="K29" s="107" t="s">
        <v>18</v>
      </c>
      <c r="L29" s="108">
        <v>100434</v>
      </c>
      <c r="M29" s="108">
        <v>223475</v>
      </c>
      <c r="N29" s="108">
        <v>150223</v>
      </c>
      <c r="O29" s="107" t="s">
        <v>60</v>
      </c>
      <c r="P29" s="109">
        <v>0</v>
      </c>
      <c r="Q29" s="109">
        <f t="shared" si="1"/>
        <v>0</v>
      </c>
      <c r="R29" s="109">
        <f t="shared" si="2"/>
        <v>0</v>
      </c>
      <c r="S29" s="109">
        <f t="shared" si="3"/>
        <v>0</v>
      </c>
      <c r="T29" s="110">
        <f t="shared" si="4"/>
        <v>0.6722138941716076</v>
      </c>
      <c r="U29" s="111">
        <f t="shared" si="5"/>
        <v>0.449419398142969</v>
      </c>
      <c r="V29" s="115">
        <v>2016</v>
      </c>
      <c r="W29" s="113" t="s">
        <v>136</v>
      </c>
    </row>
    <row r="30" spans="1:23" s="114" customFormat="1" x14ac:dyDescent="0.2">
      <c r="A30" s="105">
        <v>129</v>
      </c>
      <c r="B30" s="106" t="s">
        <v>70</v>
      </c>
      <c r="C30" s="106" t="s">
        <v>2</v>
      </c>
      <c r="D30" s="106" t="s">
        <v>3</v>
      </c>
      <c r="E30" s="106" t="s">
        <v>32</v>
      </c>
      <c r="F30" s="106" t="s">
        <v>125</v>
      </c>
      <c r="G30" s="106" t="s">
        <v>33</v>
      </c>
      <c r="H30" s="106" t="s">
        <v>29</v>
      </c>
      <c r="I30" s="106" t="s">
        <v>78</v>
      </c>
      <c r="J30" s="107" t="s">
        <v>16</v>
      </c>
      <c r="K30" s="107" t="s">
        <v>18</v>
      </c>
      <c r="L30" s="108">
        <v>100434</v>
      </c>
      <c r="M30" s="108">
        <v>223475</v>
      </c>
      <c r="N30" s="108">
        <v>150223</v>
      </c>
      <c r="O30" s="107" t="s">
        <v>61</v>
      </c>
      <c r="P30" s="109">
        <v>0</v>
      </c>
      <c r="Q30" s="109">
        <f t="shared" si="1"/>
        <v>0</v>
      </c>
      <c r="R30" s="109">
        <f t="shared" si="2"/>
        <v>0</v>
      </c>
      <c r="S30" s="109">
        <f t="shared" si="3"/>
        <v>0</v>
      </c>
      <c r="T30" s="110">
        <f t="shared" si="4"/>
        <v>0.6722138941716076</v>
      </c>
      <c r="U30" s="111">
        <f t="shared" si="5"/>
        <v>0.449419398142969</v>
      </c>
      <c r="V30" s="115">
        <v>2016</v>
      </c>
      <c r="W30" s="113" t="s">
        <v>136</v>
      </c>
    </row>
    <row r="31" spans="1:23" x14ac:dyDescent="0.2">
      <c r="A31" s="68">
        <v>200.99999999999997</v>
      </c>
      <c r="B31" s="69" t="s">
        <v>70</v>
      </c>
      <c r="C31" s="69" t="s">
        <v>2</v>
      </c>
      <c r="D31" s="69" t="s">
        <v>3</v>
      </c>
      <c r="E31" s="69" t="s">
        <v>76</v>
      </c>
      <c r="F31" s="69" t="s">
        <v>126</v>
      </c>
      <c r="G31" s="69" t="s">
        <v>76</v>
      </c>
      <c r="H31" s="69" t="s">
        <v>29</v>
      </c>
      <c r="I31" s="69" t="s">
        <v>38</v>
      </c>
      <c r="J31" s="70" t="s">
        <v>16</v>
      </c>
      <c r="K31" s="70" t="s">
        <v>18</v>
      </c>
      <c r="L31" s="71">
        <v>222037</v>
      </c>
      <c r="M31" s="71">
        <v>645627</v>
      </c>
      <c r="N31" s="71">
        <v>310994</v>
      </c>
      <c r="O31" s="70" t="s">
        <v>24</v>
      </c>
      <c r="P31" s="72">
        <v>21403986</v>
      </c>
      <c r="Q31" s="72">
        <f t="shared" si="1"/>
        <v>96.398284970522937</v>
      </c>
      <c r="R31" s="72">
        <f t="shared" si="2"/>
        <v>33.152247350250221</v>
      </c>
      <c r="S31" s="72">
        <f t="shared" si="3"/>
        <v>68.824433911908272</v>
      </c>
      <c r="T31" s="94">
        <f t="shared" si="4"/>
        <v>0.48169298991522969</v>
      </c>
      <c r="U31" s="101">
        <f t="shared" si="5"/>
        <v>0.34390909921673041</v>
      </c>
      <c r="V31" s="73">
        <v>2016</v>
      </c>
      <c r="W31" s="77" t="s">
        <v>136</v>
      </c>
    </row>
    <row r="32" spans="1:23" x14ac:dyDescent="0.2">
      <c r="A32" s="68">
        <v>202</v>
      </c>
      <c r="B32" s="69" t="s">
        <v>70</v>
      </c>
      <c r="C32" s="69" t="s">
        <v>2</v>
      </c>
      <c r="D32" s="69" t="s">
        <v>3</v>
      </c>
      <c r="E32" s="69" t="s">
        <v>76</v>
      </c>
      <c r="F32" s="69" t="s">
        <v>126</v>
      </c>
      <c r="G32" s="69" t="s">
        <v>76</v>
      </c>
      <c r="H32" s="69" t="s">
        <v>29</v>
      </c>
      <c r="I32" s="69" t="s">
        <v>38</v>
      </c>
      <c r="J32" s="70" t="s">
        <v>16</v>
      </c>
      <c r="K32" s="70" t="s">
        <v>18</v>
      </c>
      <c r="L32" s="71">
        <v>222037</v>
      </c>
      <c r="M32" s="71">
        <v>645627</v>
      </c>
      <c r="N32" s="71">
        <v>310994</v>
      </c>
      <c r="O32" s="70" t="s">
        <v>44</v>
      </c>
      <c r="P32" s="72">
        <v>0</v>
      </c>
      <c r="Q32" s="72">
        <f t="shared" si="1"/>
        <v>0</v>
      </c>
      <c r="R32" s="72">
        <f t="shared" si="2"/>
        <v>0</v>
      </c>
      <c r="S32" s="72">
        <f t="shared" si="3"/>
        <v>0</v>
      </c>
      <c r="T32" s="94">
        <f t="shared" si="4"/>
        <v>0.48169298991522969</v>
      </c>
      <c r="U32" s="101">
        <f t="shared" si="5"/>
        <v>0.34390909921673041</v>
      </c>
      <c r="V32" s="73">
        <v>2016</v>
      </c>
      <c r="W32" s="77" t="s">
        <v>136</v>
      </c>
    </row>
    <row r="33" spans="1:23" x14ac:dyDescent="0.2">
      <c r="A33" s="68">
        <v>202.99999999999997</v>
      </c>
      <c r="B33" s="69" t="s">
        <v>70</v>
      </c>
      <c r="C33" s="69" t="s">
        <v>2</v>
      </c>
      <c r="D33" s="69" t="s">
        <v>3</v>
      </c>
      <c r="E33" s="69" t="s">
        <v>76</v>
      </c>
      <c r="F33" s="69" t="s">
        <v>126</v>
      </c>
      <c r="G33" s="69" t="s">
        <v>76</v>
      </c>
      <c r="H33" s="69" t="s">
        <v>29</v>
      </c>
      <c r="I33" s="69" t="s">
        <v>38</v>
      </c>
      <c r="J33" s="70" t="s">
        <v>16</v>
      </c>
      <c r="K33" s="70" t="s">
        <v>18</v>
      </c>
      <c r="L33" s="71">
        <v>222037</v>
      </c>
      <c r="M33" s="71">
        <v>645627</v>
      </c>
      <c r="N33" s="71">
        <v>310994</v>
      </c>
      <c r="O33" s="70" t="s">
        <v>45</v>
      </c>
      <c r="P33" s="72">
        <v>2074781</v>
      </c>
      <c r="Q33" s="72">
        <f t="shared" si="1"/>
        <v>9.3443029765309387</v>
      </c>
      <c r="R33" s="72">
        <f t="shared" si="2"/>
        <v>3.2135908194669676</v>
      </c>
      <c r="S33" s="72">
        <f t="shared" si="3"/>
        <v>6.671450253059545</v>
      </c>
      <c r="T33" s="94">
        <f t="shared" si="4"/>
        <v>0.48169298991522969</v>
      </c>
      <c r="U33" s="101">
        <f t="shared" si="5"/>
        <v>0.34390909921673041</v>
      </c>
      <c r="V33" s="73">
        <v>2016</v>
      </c>
      <c r="W33" s="77" t="s">
        <v>136</v>
      </c>
    </row>
    <row r="34" spans="1:23" x14ac:dyDescent="0.2">
      <c r="A34" s="68">
        <v>204</v>
      </c>
      <c r="B34" s="69" t="s">
        <v>70</v>
      </c>
      <c r="C34" s="69" t="s">
        <v>2</v>
      </c>
      <c r="D34" s="69" t="s">
        <v>3</v>
      </c>
      <c r="E34" s="69" t="s">
        <v>76</v>
      </c>
      <c r="F34" s="69" t="s">
        <v>126</v>
      </c>
      <c r="G34" s="69" t="s">
        <v>76</v>
      </c>
      <c r="H34" s="69" t="s">
        <v>29</v>
      </c>
      <c r="I34" s="69" t="s">
        <v>38</v>
      </c>
      <c r="J34" s="70" t="s">
        <v>16</v>
      </c>
      <c r="K34" s="70" t="s">
        <v>18</v>
      </c>
      <c r="L34" s="71">
        <v>222037</v>
      </c>
      <c r="M34" s="71">
        <v>645627</v>
      </c>
      <c r="N34" s="71">
        <v>310994</v>
      </c>
      <c r="O34" s="70" t="s">
        <v>14</v>
      </c>
      <c r="P34" s="72">
        <v>9962199</v>
      </c>
      <c r="Q34" s="72">
        <f t="shared" si="1"/>
        <v>44.86729238820557</v>
      </c>
      <c r="R34" s="72">
        <f t="shared" si="2"/>
        <v>15.430270109521443</v>
      </c>
      <c r="S34" s="72">
        <f t="shared" si="3"/>
        <v>32.033412220171449</v>
      </c>
      <c r="T34" s="94">
        <f t="shared" si="4"/>
        <v>0.48169298991522969</v>
      </c>
      <c r="U34" s="101">
        <f t="shared" si="5"/>
        <v>0.34390909921673041</v>
      </c>
      <c r="V34" s="73">
        <v>2016</v>
      </c>
      <c r="W34" s="77" t="s">
        <v>136</v>
      </c>
    </row>
    <row r="35" spans="1:23" x14ac:dyDescent="0.2">
      <c r="A35" s="68">
        <v>204.99999999999997</v>
      </c>
      <c r="B35" s="69" t="s">
        <v>70</v>
      </c>
      <c r="C35" s="69" t="s">
        <v>2</v>
      </c>
      <c r="D35" s="69" t="s">
        <v>3</v>
      </c>
      <c r="E35" s="69" t="s">
        <v>76</v>
      </c>
      <c r="F35" s="69" t="s">
        <v>126</v>
      </c>
      <c r="G35" s="69" t="s">
        <v>76</v>
      </c>
      <c r="H35" s="69" t="s">
        <v>29</v>
      </c>
      <c r="I35" s="69" t="s">
        <v>38</v>
      </c>
      <c r="J35" s="70" t="s">
        <v>16</v>
      </c>
      <c r="K35" s="70" t="s">
        <v>18</v>
      </c>
      <c r="L35" s="71">
        <v>222037</v>
      </c>
      <c r="M35" s="71">
        <v>645627</v>
      </c>
      <c r="N35" s="71">
        <v>310994</v>
      </c>
      <c r="O35" s="70" t="s">
        <v>22</v>
      </c>
      <c r="P35" s="72">
        <v>12680714</v>
      </c>
      <c r="Q35" s="72">
        <f t="shared" si="1"/>
        <v>57.110814864189301</v>
      </c>
      <c r="R35" s="72">
        <f t="shared" si="2"/>
        <v>19.640928895476801</v>
      </c>
      <c r="S35" s="72">
        <f t="shared" si="3"/>
        <v>40.774786651832514</v>
      </c>
      <c r="T35" s="94">
        <f t="shared" si="4"/>
        <v>0.48169298991522969</v>
      </c>
      <c r="U35" s="101">
        <f t="shared" si="5"/>
        <v>0.34390909921673041</v>
      </c>
      <c r="V35" s="73">
        <v>2016</v>
      </c>
      <c r="W35" s="77" t="s">
        <v>136</v>
      </c>
    </row>
    <row r="36" spans="1:23" x14ac:dyDescent="0.2">
      <c r="A36" s="68">
        <v>206</v>
      </c>
      <c r="B36" s="69" t="s">
        <v>70</v>
      </c>
      <c r="C36" s="69" t="s">
        <v>2</v>
      </c>
      <c r="D36" s="69" t="s">
        <v>3</v>
      </c>
      <c r="E36" s="69" t="s">
        <v>76</v>
      </c>
      <c r="F36" s="69" t="s">
        <v>126</v>
      </c>
      <c r="G36" s="69" t="s">
        <v>76</v>
      </c>
      <c r="H36" s="69" t="s">
        <v>29</v>
      </c>
      <c r="I36" s="69" t="s">
        <v>38</v>
      </c>
      <c r="J36" s="70" t="s">
        <v>16</v>
      </c>
      <c r="K36" s="70" t="s">
        <v>18</v>
      </c>
      <c r="L36" s="71">
        <v>222037</v>
      </c>
      <c r="M36" s="71">
        <v>645627</v>
      </c>
      <c r="N36" s="71">
        <v>310994</v>
      </c>
      <c r="O36" s="70" t="s">
        <v>20</v>
      </c>
      <c r="P36" s="72">
        <v>18666427</v>
      </c>
      <c r="Q36" s="72">
        <f t="shared" si="1"/>
        <v>84.068993005670222</v>
      </c>
      <c r="R36" s="72">
        <f t="shared" si="2"/>
        <v>28.912091656637656</v>
      </c>
      <c r="S36" s="72">
        <f t="shared" si="3"/>
        <v>60.021823572158951</v>
      </c>
      <c r="T36" s="94">
        <f t="shared" si="4"/>
        <v>0.48169298991522969</v>
      </c>
      <c r="U36" s="101">
        <f t="shared" si="5"/>
        <v>0.34390909921673041</v>
      </c>
      <c r="V36" s="73">
        <v>2016</v>
      </c>
      <c r="W36" s="77" t="s">
        <v>136</v>
      </c>
    </row>
    <row r="37" spans="1:23" x14ac:dyDescent="0.2">
      <c r="A37" s="68">
        <v>206.99999999999997</v>
      </c>
      <c r="B37" s="69" t="s">
        <v>70</v>
      </c>
      <c r="C37" s="69" t="s">
        <v>2</v>
      </c>
      <c r="D37" s="69" t="s">
        <v>3</v>
      </c>
      <c r="E37" s="69" t="s">
        <v>76</v>
      </c>
      <c r="F37" s="69" t="s">
        <v>126</v>
      </c>
      <c r="G37" s="69" t="s">
        <v>76</v>
      </c>
      <c r="H37" s="69" t="s">
        <v>29</v>
      </c>
      <c r="I37" s="69" t="s">
        <v>38</v>
      </c>
      <c r="J37" s="70" t="s">
        <v>16</v>
      </c>
      <c r="K37" s="70" t="s">
        <v>18</v>
      </c>
      <c r="L37" s="71">
        <v>222037</v>
      </c>
      <c r="M37" s="71">
        <v>645627</v>
      </c>
      <c r="N37" s="71">
        <v>310994</v>
      </c>
      <c r="O37" s="70" t="s">
        <v>23</v>
      </c>
      <c r="P37" s="72">
        <v>12618555</v>
      </c>
      <c r="Q37" s="72">
        <f t="shared" si="1"/>
        <v>56.830866026833363</v>
      </c>
      <c r="R37" s="72">
        <f t="shared" si="2"/>
        <v>19.54465194299495</v>
      </c>
      <c r="S37" s="72">
        <f t="shared" si="3"/>
        <v>40.574914628578043</v>
      </c>
      <c r="T37" s="94">
        <f t="shared" si="4"/>
        <v>0.48169298991522969</v>
      </c>
      <c r="U37" s="101">
        <f t="shared" si="5"/>
        <v>0.34390909921673041</v>
      </c>
      <c r="V37" s="74">
        <v>2016</v>
      </c>
      <c r="W37" s="77" t="s">
        <v>136</v>
      </c>
    </row>
    <row r="38" spans="1:23" x14ac:dyDescent="0.2">
      <c r="A38" s="68">
        <v>208</v>
      </c>
      <c r="B38" s="69" t="s">
        <v>70</v>
      </c>
      <c r="C38" s="69" t="s">
        <v>2</v>
      </c>
      <c r="D38" s="69" t="s">
        <v>3</v>
      </c>
      <c r="E38" s="69" t="s">
        <v>76</v>
      </c>
      <c r="F38" s="69" t="s">
        <v>126</v>
      </c>
      <c r="G38" s="69" t="s">
        <v>76</v>
      </c>
      <c r="H38" s="69" t="s">
        <v>29</v>
      </c>
      <c r="I38" s="69" t="s">
        <v>38</v>
      </c>
      <c r="J38" s="70" t="s">
        <v>16</v>
      </c>
      <c r="K38" s="70" t="s">
        <v>18</v>
      </c>
      <c r="L38" s="71">
        <v>222037</v>
      </c>
      <c r="M38" s="71">
        <v>645627</v>
      </c>
      <c r="N38" s="71">
        <v>310994</v>
      </c>
      <c r="O38" s="70" t="s">
        <v>43</v>
      </c>
      <c r="P38" s="72">
        <v>14591633</v>
      </c>
      <c r="Q38" s="72">
        <f t="shared" si="1"/>
        <v>65.717123722622802</v>
      </c>
      <c r="R38" s="72">
        <f t="shared" si="2"/>
        <v>22.600716822561633</v>
      </c>
      <c r="S38" s="72">
        <f t="shared" si="3"/>
        <v>46.919339279857489</v>
      </c>
      <c r="T38" s="94">
        <f t="shared" si="4"/>
        <v>0.48169298991522969</v>
      </c>
      <c r="U38" s="101">
        <f t="shared" si="5"/>
        <v>0.34390909921673041</v>
      </c>
      <c r="V38" s="74">
        <v>2016</v>
      </c>
      <c r="W38" s="77" t="s">
        <v>136</v>
      </c>
    </row>
    <row r="39" spans="1:23" x14ac:dyDescent="0.2">
      <c r="A39" s="68">
        <v>209</v>
      </c>
      <c r="B39" s="69" t="s">
        <v>70</v>
      </c>
      <c r="C39" s="69" t="s">
        <v>2</v>
      </c>
      <c r="D39" s="69" t="s">
        <v>3</v>
      </c>
      <c r="E39" s="69" t="s">
        <v>76</v>
      </c>
      <c r="F39" s="69" t="s">
        <v>126</v>
      </c>
      <c r="G39" s="69" t="s">
        <v>76</v>
      </c>
      <c r="H39" s="69" t="s">
        <v>29</v>
      </c>
      <c r="I39" s="69" t="s">
        <v>38</v>
      </c>
      <c r="J39" s="70" t="s">
        <v>16</v>
      </c>
      <c r="K39" s="70" t="s">
        <v>18</v>
      </c>
      <c r="L39" s="71">
        <v>222037</v>
      </c>
      <c r="M39" s="71">
        <v>645627</v>
      </c>
      <c r="N39" s="71">
        <v>310994</v>
      </c>
      <c r="O39" s="70" t="s">
        <v>46</v>
      </c>
      <c r="P39" s="72">
        <v>0</v>
      </c>
      <c r="Q39" s="72">
        <f t="shared" si="1"/>
        <v>0</v>
      </c>
      <c r="R39" s="72">
        <f t="shared" si="2"/>
        <v>0</v>
      </c>
      <c r="S39" s="72">
        <f t="shared" si="3"/>
        <v>0</v>
      </c>
      <c r="T39" s="94">
        <f t="shared" si="4"/>
        <v>0.48169298991522969</v>
      </c>
      <c r="U39" s="101">
        <f t="shared" si="5"/>
        <v>0.34390909921673041</v>
      </c>
      <c r="V39" s="74">
        <v>2016</v>
      </c>
      <c r="W39" s="77" t="s">
        <v>136</v>
      </c>
    </row>
    <row r="40" spans="1:23" x14ac:dyDescent="0.2">
      <c r="A40" s="68">
        <v>210</v>
      </c>
      <c r="B40" s="69" t="s">
        <v>70</v>
      </c>
      <c r="C40" s="69" t="s">
        <v>2</v>
      </c>
      <c r="D40" s="69" t="s">
        <v>3</v>
      </c>
      <c r="E40" s="69" t="s">
        <v>76</v>
      </c>
      <c r="F40" s="69" t="s">
        <v>126</v>
      </c>
      <c r="G40" s="69" t="s">
        <v>76</v>
      </c>
      <c r="H40" s="69" t="s">
        <v>29</v>
      </c>
      <c r="I40" s="69" t="s">
        <v>38</v>
      </c>
      <c r="J40" s="70" t="s">
        <v>16</v>
      </c>
      <c r="K40" s="70" t="s">
        <v>18</v>
      </c>
      <c r="L40" s="71">
        <v>222037</v>
      </c>
      <c r="M40" s="71">
        <v>645627</v>
      </c>
      <c r="N40" s="71">
        <v>310994</v>
      </c>
      <c r="O40" s="70" t="s">
        <v>34</v>
      </c>
      <c r="P40" s="72">
        <v>3600347</v>
      </c>
      <c r="Q40" s="72">
        <f t="shared" si="1"/>
        <v>16.215076766484867</v>
      </c>
      <c r="R40" s="72">
        <f t="shared" si="2"/>
        <v>5.5765124444919438</v>
      </c>
      <c r="S40" s="72">
        <f t="shared" si="3"/>
        <v>11.576901805179521</v>
      </c>
      <c r="T40" s="94">
        <f t="shared" si="4"/>
        <v>0.48169298991522969</v>
      </c>
      <c r="U40" s="101">
        <f t="shared" si="5"/>
        <v>0.34390909921673041</v>
      </c>
      <c r="V40" s="74">
        <v>2016</v>
      </c>
      <c r="W40" s="77" t="s">
        <v>136</v>
      </c>
    </row>
    <row r="41" spans="1:23" x14ac:dyDescent="0.2">
      <c r="A41" s="68">
        <v>211</v>
      </c>
      <c r="B41" s="69" t="s">
        <v>70</v>
      </c>
      <c r="C41" s="69" t="s">
        <v>2</v>
      </c>
      <c r="D41" s="69" t="s">
        <v>3</v>
      </c>
      <c r="E41" s="69" t="s">
        <v>76</v>
      </c>
      <c r="F41" s="69" t="s">
        <v>126</v>
      </c>
      <c r="G41" s="69" t="s">
        <v>76</v>
      </c>
      <c r="H41" s="69" t="s">
        <v>29</v>
      </c>
      <c r="I41" s="69" t="s">
        <v>38</v>
      </c>
      <c r="J41" s="70" t="s">
        <v>16</v>
      </c>
      <c r="K41" s="70" t="s">
        <v>18</v>
      </c>
      <c r="L41" s="71">
        <v>222037</v>
      </c>
      <c r="M41" s="71">
        <v>645627</v>
      </c>
      <c r="N41" s="71">
        <v>310994</v>
      </c>
      <c r="O41" s="70" t="s">
        <v>26</v>
      </c>
      <c r="P41" s="72">
        <v>49209846</v>
      </c>
      <c r="Q41" s="72">
        <f t="shared" si="1"/>
        <v>221.62903480050622</v>
      </c>
      <c r="R41" s="72">
        <f t="shared" si="2"/>
        <v>76.220241718515496</v>
      </c>
      <c r="S41" s="72">
        <f t="shared" si="3"/>
        <v>158.23406882447892</v>
      </c>
      <c r="T41" s="94">
        <f t="shared" si="4"/>
        <v>0.48169298991522969</v>
      </c>
      <c r="U41" s="101">
        <f t="shared" si="5"/>
        <v>0.34390909921673041</v>
      </c>
      <c r="V41" s="74">
        <v>2016</v>
      </c>
      <c r="W41" s="77" t="s">
        <v>136</v>
      </c>
    </row>
    <row r="42" spans="1:23" x14ac:dyDescent="0.2">
      <c r="A42" s="68">
        <v>212</v>
      </c>
      <c r="B42" s="69" t="s">
        <v>70</v>
      </c>
      <c r="C42" s="69" t="s">
        <v>2</v>
      </c>
      <c r="D42" s="69" t="s">
        <v>3</v>
      </c>
      <c r="E42" s="69" t="s">
        <v>76</v>
      </c>
      <c r="F42" s="69" t="s">
        <v>126</v>
      </c>
      <c r="G42" s="69" t="s">
        <v>76</v>
      </c>
      <c r="H42" s="69" t="s">
        <v>29</v>
      </c>
      <c r="I42" s="69" t="s">
        <v>38</v>
      </c>
      <c r="J42" s="70" t="s">
        <v>16</v>
      </c>
      <c r="K42" s="70" t="s">
        <v>18</v>
      </c>
      <c r="L42" s="71">
        <v>222037</v>
      </c>
      <c r="M42" s="71">
        <v>645627</v>
      </c>
      <c r="N42" s="71">
        <v>310994</v>
      </c>
      <c r="O42" s="70" t="s">
        <v>28</v>
      </c>
      <c r="P42" s="72">
        <v>6141800</v>
      </c>
      <c r="Q42" s="72">
        <f t="shared" si="1"/>
        <v>27.661155573170237</v>
      </c>
      <c r="R42" s="72">
        <f t="shared" si="2"/>
        <v>9.5129230964628189</v>
      </c>
      <c r="S42" s="72">
        <f t="shared" si="3"/>
        <v>19.748934063036586</v>
      </c>
      <c r="T42" s="94">
        <f t="shared" si="4"/>
        <v>0.48169298991522969</v>
      </c>
      <c r="U42" s="101">
        <f t="shared" si="5"/>
        <v>0.34390909921673041</v>
      </c>
      <c r="V42" s="74">
        <v>2016</v>
      </c>
      <c r="W42" s="77" t="s">
        <v>136</v>
      </c>
    </row>
    <row r="43" spans="1:23" x14ac:dyDescent="0.2">
      <c r="A43" s="68">
        <v>213</v>
      </c>
      <c r="B43" s="69" t="s">
        <v>70</v>
      </c>
      <c r="C43" s="69" t="s">
        <v>2</v>
      </c>
      <c r="D43" s="69" t="s">
        <v>3</v>
      </c>
      <c r="E43" s="69" t="s">
        <v>76</v>
      </c>
      <c r="F43" s="69" t="s">
        <v>126</v>
      </c>
      <c r="G43" s="69" t="s">
        <v>76</v>
      </c>
      <c r="H43" s="69" t="s">
        <v>29</v>
      </c>
      <c r="I43" s="69" t="s">
        <v>38</v>
      </c>
      <c r="J43" s="70" t="s">
        <v>16</v>
      </c>
      <c r="K43" s="70" t="s">
        <v>18</v>
      </c>
      <c r="L43" s="71">
        <v>222037</v>
      </c>
      <c r="M43" s="71">
        <v>645627</v>
      </c>
      <c r="N43" s="71">
        <v>310994</v>
      </c>
      <c r="O43" s="70" t="s">
        <v>47</v>
      </c>
      <c r="P43" s="72">
        <v>2714367</v>
      </c>
      <c r="Q43" s="72">
        <f t="shared" si="1"/>
        <v>12.224840904894229</v>
      </c>
      <c r="R43" s="72">
        <f t="shared" si="2"/>
        <v>4.204234023670014</v>
      </c>
      <c r="S43" s="72">
        <f t="shared" si="3"/>
        <v>8.7280365537598801</v>
      </c>
      <c r="T43" s="94">
        <f t="shared" si="4"/>
        <v>0.48169298991522969</v>
      </c>
      <c r="U43" s="101">
        <f t="shared" si="5"/>
        <v>0.34390909921673041</v>
      </c>
      <c r="V43" s="73">
        <v>2016</v>
      </c>
      <c r="W43" s="77" t="s">
        <v>136</v>
      </c>
    </row>
    <row r="44" spans="1:23" x14ac:dyDescent="0.2">
      <c r="A44" s="68">
        <v>214</v>
      </c>
      <c r="B44" s="69" t="s">
        <v>70</v>
      </c>
      <c r="C44" s="69" t="s">
        <v>2</v>
      </c>
      <c r="D44" s="69" t="s">
        <v>3</v>
      </c>
      <c r="E44" s="69" t="s">
        <v>76</v>
      </c>
      <c r="F44" s="69" t="s">
        <v>126</v>
      </c>
      <c r="G44" s="69" t="s">
        <v>76</v>
      </c>
      <c r="H44" s="69" t="s">
        <v>29</v>
      </c>
      <c r="I44" s="69" t="s">
        <v>38</v>
      </c>
      <c r="J44" s="70" t="s">
        <v>16</v>
      </c>
      <c r="K44" s="70" t="s">
        <v>18</v>
      </c>
      <c r="L44" s="71">
        <v>222037</v>
      </c>
      <c r="M44" s="71">
        <v>645627</v>
      </c>
      <c r="N44" s="71">
        <v>310994</v>
      </c>
      <c r="O44" s="70" t="s">
        <v>27</v>
      </c>
      <c r="P44" s="72">
        <v>6634695</v>
      </c>
      <c r="Q44" s="72">
        <f t="shared" si="1"/>
        <v>29.881033341289964</v>
      </c>
      <c r="R44" s="72">
        <f t="shared" si="2"/>
        <v>10.276359260068119</v>
      </c>
      <c r="S44" s="72">
        <f t="shared" si="3"/>
        <v>21.333836022559922</v>
      </c>
      <c r="T44" s="94">
        <f t="shared" si="4"/>
        <v>0.48169298991522969</v>
      </c>
      <c r="U44" s="101">
        <f t="shared" si="5"/>
        <v>0.34390909921673041</v>
      </c>
      <c r="V44" s="74">
        <v>2016</v>
      </c>
      <c r="W44" s="77" t="s">
        <v>136</v>
      </c>
    </row>
    <row r="45" spans="1:23" x14ac:dyDescent="0.2">
      <c r="A45" s="68">
        <v>215</v>
      </c>
      <c r="B45" s="69" t="s">
        <v>70</v>
      </c>
      <c r="C45" s="69" t="s">
        <v>2</v>
      </c>
      <c r="D45" s="69" t="s">
        <v>3</v>
      </c>
      <c r="E45" s="69" t="s">
        <v>76</v>
      </c>
      <c r="F45" s="69" t="s">
        <v>126</v>
      </c>
      <c r="G45" s="69" t="s">
        <v>76</v>
      </c>
      <c r="H45" s="69" t="s">
        <v>29</v>
      </c>
      <c r="I45" s="69" t="s">
        <v>38</v>
      </c>
      <c r="J45" s="70" t="s">
        <v>16</v>
      </c>
      <c r="K45" s="70" t="s">
        <v>18</v>
      </c>
      <c r="L45" s="71">
        <v>222037</v>
      </c>
      <c r="M45" s="71">
        <v>645627</v>
      </c>
      <c r="N45" s="71">
        <v>310994</v>
      </c>
      <c r="O45" s="70" t="s">
        <v>48</v>
      </c>
      <c r="P45" s="72">
        <v>0</v>
      </c>
      <c r="Q45" s="72">
        <f t="shared" si="1"/>
        <v>0</v>
      </c>
      <c r="R45" s="72">
        <f t="shared" si="2"/>
        <v>0</v>
      </c>
      <c r="S45" s="72">
        <f t="shared" si="3"/>
        <v>0</v>
      </c>
      <c r="T45" s="94">
        <f t="shared" si="4"/>
        <v>0.48169298991522969</v>
      </c>
      <c r="U45" s="101">
        <f t="shared" si="5"/>
        <v>0.34390909921673041</v>
      </c>
      <c r="V45" s="74">
        <v>2016</v>
      </c>
      <c r="W45" s="77" t="s">
        <v>136</v>
      </c>
    </row>
    <row r="46" spans="1:23" x14ac:dyDescent="0.2">
      <c r="A46" s="68">
        <v>216</v>
      </c>
      <c r="B46" s="69" t="s">
        <v>70</v>
      </c>
      <c r="C46" s="69" t="s">
        <v>2</v>
      </c>
      <c r="D46" s="69" t="s">
        <v>3</v>
      </c>
      <c r="E46" s="69" t="s">
        <v>76</v>
      </c>
      <c r="F46" s="69" t="s">
        <v>126</v>
      </c>
      <c r="G46" s="69" t="s">
        <v>76</v>
      </c>
      <c r="H46" s="69" t="s">
        <v>29</v>
      </c>
      <c r="I46" s="69" t="s">
        <v>38</v>
      </c>
      <c r="J46" s="70" t="s">
        <v>16</v>
      </c>
      <c r="K46" s="70" t="s">
        <v>18</v>
      </c>
      <c r="L46" s="71">
        <v>222037</v>
      </c>
      <c r="M46" s="71">
        <v>645627</v>
      </c>
      <c r="N46" s="71">
        <v>310994</v>
      </c>
      <c r="O46" s="70" t="s">
        <v>49</v>
      </c>
      <c r="P46" s="72">
        <v>0</v>
      </c>
      <c r="Q46" s="72">
        <f t="shared" si="1"/>
        <v>0</v>
      </c>
      <c r="R46" s="72">
        <f t="shared" si="2"/>
        <v>0</v>
      </c>
      <c r="S46" s="72">
        <f t="shared" si="3"/>
        <v>0</v>
      </c>
      <c r="T46" s="94">
        <f t="shared" si="4"/>
        <v>0.48169298991522969</v>
      </c>
      <c r="U46" s="101">
        <f t="shared" si="5"/>
        <v>0.34390909921673041</v>
      </c>
      <c r="V46" s="74">
        <v>2016</v>
      </c>
      <c r="W46" s="77" t="s">
        <v>136</v>
      </c>
    </row>
    <row r="47" spans="1:23" x14ac:dyDescent="0.2">
      <c r="A47" s="68">
        <v>217</v>
      </c>
      <c r="B47" s="69" t="s">
        <v>70</v>
      </c>
      <c r="C47" s="69" t="s">
        <v>2</v>
      </c>
      <c r="D47" s="69" t="s">
        <v>3</v>
      </c>
      <c r="E47" s="69" t="s">
        <v>76</v>
      </c>
      <c r="F47" s="69" t="s">
        <v>126</v>
      </c>
      <c r="G47" s="69" t="s">
        <v>76</v>
      </c>
      <c r="H47" s="69" t="s">
        <v>29</v>
      </c>
      <c r="I47" s="69" t="s">
        <v>38</v>
      </c>
      <c r="J47" s="70" t="s">
        <v>16</v>
      </c>
      <c r="K47" s="70" t="s">
        <v>18</v>
      </c>
      <c r="L47" s="71">
        <v>222037</v>
      </c>
      <c r="M47" s="71">
        <v>645627</v>
      </c>
      <c r="N47" s="71">
        <v>310994</v>
      </c>
      <c r="O47" s="70" t="s">
        <v>50</v>
      </c>
      <c r="P47" s="72">
        <v>0</v>
      </c>
      <c r="Q47" s="72">
        <f t="shared" si="1"/>
        <v>0</v>
      </c>
      <c r="R47" s="72">
        <f t="shared" si="2"/>
        <v>0</v>
      </c>
      <c r="S47" s="72">
        <f t="shared" si="3"/>
        <v>0</v>
      </c>
      <c r="T47" s="94">
        <f t="shared" si="4"/>
        <v>0.48169298991522969</v>
      </c>
      <c r="U47" s="101">
        <f t="shared" si="5"/>
        <v>0.34390909921673041</v>
      </c>
      <c r="V47" s="74">
        <v>2016</v>
      </c>
      <c r="W47" s="77" t="s">
        <v>136</v>
      </c>
    </row>
    <row r="48" spans="1:23" x14ac:dyDescent="0.2">
      <c r="A48" s="68">
        <v>218.00000000000003</v>
      </c>
      <c r="B48" s="69" t="s">
        <v>70</v>
      </c>
      <c r="C48" s="69" t="s">
        <v>2</v>
      </c>
      <c r="D48" s="69" t="s">
        <v>3</v>
      </c>
      <c r="E48" s="69" t="s">
        <v>76</v>
      </c>
      <c r="F48" s="69" t="s">
        <v>126</v>
      </c>
      <c r="G48" s="69" t="s">
        <v>76</v>
      </c>
      <c r="H48" s="69" t="s">
        <v>29</v>
      </c>
      <c r="I48" s="69" t="s">
        <v>38</v>
      </c>
      <c r="J48" s="70" t="s">
        <v>16</v>
      </c>
      <c r="K48" s="70" t="s">
        <v>18</v>
      </c>
      <c r="L48" s="71">
        <v>222037</v>
      </c>
      <c r="M48" s="71">
        <v>645627</v>
      </c>
      <c r="N48" s="71">
        <v>310994</v>
      </c>
      <c r="O48" s="70" t="s">
        <v>51</v>
      </c>
      <c r="P48" s="72">
        <v>3731615</v>
      </c>
      <c r="Q48" s="72">
        <f t="shared" si="1"/>
        <v>16.806275530654801</v>
      </c>
      <c r="R48" s="72">
        <f t="shared" si="2"/>
        <v>5.7798310789356702</v>
      </c>
      <c r="S48" s="72">
        <f t="shared" si="3"/>
        <v>11.998993549714786</v>
      </c>
      <c r="T48" s="94">
        <f t="shared" si="4"/>
        <v>0.48169298991522969</v>
      </c>
      <c r="U48" s="101">
        <f t="shared" si="5"/>
        <v>0.34390909921673041</v>
      </c>
      <c r="V48" s="74">
        <v>2016</v>
      </c>
      <c r="W48" s="77" t="s">
        <v>136</v>
      </c>
    </row>
    <row r="49" spans="1:23" x14ac:dyDescent="0.2">
      <c r="A49" s="68">
        <v>219</v>
      </c>
      <c r="B49" s="69" t="s">
        <v>70</v>
      </c>
      <c r="C49" s="69" t="s">
        <v>2</v>
      </c>
      <c r="D49" s="69" t="s">
        <v>3</v>
      </c>
      <c r="E49" s="69" t="s">
        <v>76</v>
      </c>
      <c r="F49" s="69" t="s">
        <v>126</v>
      </c>
      <c r="G49" s="69" t="s">
        <v>76</v>
      </c>
      <c r="H49" s="69" t="s">
        <v>29</v>
      </c>
      <c r="I49" s="69" t="s">
        <v>38</v>
      </c>
      <c r="J49" s="70" t="s">
        <v>16</v>
      </c>
      <c r="K49" s="70" t="s">
        <v>18</v>
      </c>
      <c r="L49" s="71">
        <v>222037</v>
      </c>
      <c r="M49" s="71">
        <v>645627</v>
      </c>
      <c r="N49" s="71">
        <v>310994</v>
      </c>
      <c r="O49" s="70" t="s">
        <v>52</v>
      </c>
      <c r="P49" s="72">
        <v>0</v>
      </c>
      <c r="Q49" s="72">
        <f t="shared" si="1"/>
        <v>0</v>
      </c>
      <c r="R49" s="72">
        <f t="shared" si="2"/>
        <v>0</v>
      </c>
      <c r="S49" s="72">
        <f t="shared" si="3"/>
        <v>0</v>
      </c>
      <c r="T49" s="94">
        <f t="shared" si="4"/>
        <v>0.48169298991522969</v>
      </c>
      <c r="U49" s="101">
        <f t="shared" si="5"/>
        <v>0.34390909921673041</v>
      </c>
      <c r="V49" s="74">
        <v>2016</v>
      </c>
      <c r="W49" s="77" t="s">
        <v>136</v>
      </c>
    </row>
    <row r="50" spans="1:23" x14ac:dyDescent="0.2">
      <c r="A50" s="68">
        <v>220.00000000000003</v>
      </c>
      <c r="B50" s="69" t="s">
        <v>70</v>
      </c>
      <c r="C50" s="69" t="s">
        <v>2</v>
      </c>
      <c r="D50" s="69" t="s">
        <v>3</v>
      </c>
      <c r="E50" s="69" t="s">
        <v>76</v>
      </c>
      <c r="F50" s="69" t="s">
        <v>126</v>
      </c>
      <c r="G50" s="69" t="s">
        <v>76</v>
      </c>
      <c r="H50" s="69" t="s">
        <v>29</v>
      </c>
      <c r="I50" s="69" t="s">
        <v>38</v>
      </c>
      <c r="J50" s="70" t="s">
        <v>16</v>
      </c>
      <c r="K50" s="70" t="s">
        <v>18</v>
      </c>
      <c r="L50" s="71">
        <v>222037</v>
      </c>
      <c r="M50" s="71">
        <v>645627</v>
      </c>
      <c r="N50" s="71">
        <v>310994</v>
      </c>
      <c r="O50" s="70" t="s">
        <v>53</v>
      </c>
      <c r="P50" s="72">
        <v>0</v>
      </c>
      <c r="Q50" s="72">
        <f t="shared" si="1"/>
        <v>0</v>
      </c>
      <c r="R50" s="72">
        <f t="shared" si="2"/>
        <v>0</v>
      </c>
      <c r="S50" s="72">
        <f t="shared" si="3"/>
        <v>0</v>
      </c>
      <c r="T50" s="94">
        <f t="shared" si="4"/>
        <v>0.48169298991522969</v>
      </c>
      <c r="U50" s="101">
        <f t="shared" si="5"/>
        <v>0.34390909921673041</v>
      </c>
      <c r="V50" s="74">
        <v>2016</v>
      </c>
      <c r="W50" s="77" t="s">
        <v>136</v>
      </c>
    </row>
    <row r="51" spans="1:23" x14ac:dyDescent="0.2">
      <c r="A51" s="68">
        <v>221</v>
      </c>
      <c r="B51" s="69" t="s">
        <v>70</v>
      </c>
      <c r="C51" s="69" t="s">
        <v>2</v>
      </c>
      <c r="D51" s="69" t="s">
        <v>3</v>
      </c>
      <c r="E51" s="69" t="s">
        <v>76</v>
      </c>
      <c r="F51" s="69" t="s">
        <v>126</v>
      </c>
      <c r="G51" s="69" t="s">
        <v>76</v>
      </c>
      <c r="H51" s="69" t="s">
        <v>29</v>
      </c>
      <c r="I51" s="69" t="s">
        <v>38</v>
      </c>
      <c r="J51" s="70" t="s">
        <v>16</v>
      </c>
      <c r="K51" s="70" t="s">
        <v>18</v>
      </c>
      <c r="L51" s="71">
        <v>222037</v>
      </c>
      <c r="M51" s="71">
        <v>645627</v>
      </c>
      <c r="N51" s="71">
        <v>310994</v>
      </c>
      <c r="O51" s="70" t="s">
        <v>54</v>
      </c>
      <c r="P51" s="72">
        <v>0</v>
      </c>
      <c r="Q51" s="72">
        <f t="shared" si="1"/>
        <v>0</v>
      </c>
      <c r="R51" s="72">
        <f t="shared" si="2"/>
        <v>0</v>
      </c>
      <c r="S51" s="72">
        <f t="shared" si="3"/>
        <v>0</v>
      </c>
      <c r="T51" s="94">
        <f t="shared" si="4"/>
        <v>0.48169298991522969</v>
      </c>
      <c r="U51" s="101">
        <f t="shared" si="5"/>
        <v>0.34390909921673041</v>
      </c>
      <c r="V51" s="74">
        <v>2016</v>
      </c>
      <c r="W51" s="77" t="s">
        <v>136</v>
      </c>
    </row>
    <row r="52" spans="1:23" x14ac:dyDescent="0.2">
      <c r="A52" s="68">
        <v>222.00000000000003</v>
      </c>
      <c r="B52" s="69" t="s">
        <v>70</v>
      </c>
      <c r="C52" s="69" t="s">
        <v>2</v>
      </c>
      <c r="D52" s="69" t="s">
        <v>3</v>
      </c>
      <c r="E52" s="69" t="s">
        <v>76</v>
      </c>
      <c r="F52" s="69" t="s">
        <v>126</v>
      </c>
      <c r="G52" s="69" t="s">
        <v>76</v>
      </c>
      <c r="H52" s="69" t="s">
        <v>29</v>
      </c>
      <c r="I52" s="69" t="s">
        <v>38</v>
      </c>
      <c r="J52" s="70" t="s">
        <v>16</v>
      </c>
      <c r="K52" s="70" t="s">
        <v>18</v>
      </c>
      <c r="L52" s="71">
        <v>222037</v>
      </c>
      <c r="M52" s="71">
        <v>645627</v>
      </c>
      <c r="N52" s="71">
        <v>310994</v>
      </c>
      <c r="O52" s="70" t="s">
        <v>55</v>
      </c>
      <c r="P52" s="72">
        <v>0</v>
      </c>
      <c r="Q52" s="72">
        <f t="shared" si="1"/>
        <v>0</v>
      </c>
      <c r="R52" s="72">
        <f t="shared" si="2"/>
        <v>0</v>
      </c>
      <c r="S52" s="72">
        <f t="shared" si="3"/>
        <v>0</v>
      </c>
      <c r="T52" s="94">
        <f t="shared" si="4"/>
        <v>0.48169298991522969</v>
      </c>
      <c r="U52" s="101">
        <f t="shared" si="5"/>
        <v>0.34390909921673041</v>
      </c>
      <c r="V52" s="74">
        <v>2016</v>
      </c>
      <c r="W52" s="77" t="s">
        <v>136</v>
      </c>
    </row>
    <row r="53" spans="1:23" x14ac:dyDescent="0.2">
      <c r="A53" s="68">
        <v>223</v>
      </c>
      <c r="B53" s="69" t="s">
        <v>70</v>
      </c>
      <c r="C53" s="69" t="s">
        <v>2</v>
      </c>
      <c r="D53" s="69" t="s">
        <v>3</v>
      </c>
      <c r="E53" s="69" t="s">
        <v>76</v>
      </c>
      <c r="F53" s="69" t="s">
        <v>126</v>
      </c>
      <c r="G53" s="69" t="s">
        <v>76</v>
      </c>
      <c r="H53" s="69" t="s">
        <v>29</v>
      </c>
      <c r="I53" s="69" t="s">
        <v>38</v>
      </c>
      <c r="J53" s="70" t="s">
        <v>16</v>
      </c>
      <c r="K53" s="70" t="s">
        <v>18</v>
      </c>
      <c r="L53" s="71">
        <v>222037</v>
      </c>
      <c r="M53" s="71">
        <v>645627</v>
      </c>
      <c r="N53" s="71">
        <v>310994</v>
      </c>
      <c r="O53" s="70" t="s">
        <v>56</v>
      </c>
      <c r="P53" s="72">
        <v>0</v>
      </c>
      <c r="Q53" s="72">
        <f t="shared" si="1"/>
        <v>0</v>
      </c>
      <c r="R53" s="72">
        <f t="shared" si="2"/>
        <v>0</v>
      </c>
      <c r="S53" s="72">
        <f t="shared" si="3"/>
        <v>0</v>
      </c>
      <c r="T53" s="94">
        <f t="shared" si="4"/>
        <v>0.48169298991522969</v>
      </c>
      <c r="U53" s="101">
        <f t="shared" si="5"/>
        <v>0.34390909921673041</v>
      </c>
      <c r="V53" s="74">
        <v>2016</v>
      </c>
      <c r="W53" s="77" t="s">
        <v>136</v>
      </c>
    </row>
    <row r="54" spans="1:23" x14ac:dyDescent="0.2">
      <c r="A54" s="68">
        <v>224.00000000000003</v>
      </c>
      <c r="B54" s="69" t="s">
        <v>70</v>
      </c>
      <c r="C54" s="69" t="s">
        <v>2</v>
      </c>
      <c r="D54" s="69" t="s">
        <v>3</v>
      </c>
      <c r="E54" s="69" t="s">
        <v>76</v>
      </c>
      <c r="F54" s="69" t="s">
        <v>126</v>
      </c>
      <c r="G54" s="69" t="s">
        <v>76</v>
      </c>
      <c r="H54" s="69" t="s">
        <v>29</v>
      </c>
      <c r="I54" s="69" t="s">
        <v>38</v>
      </c>
      <c r="J54" s="70" t="s">
        <v>16</v>
      </c>
      <c r="K54" s="70" t="s">
        <v>18</v>
      </c>
      <c r="L54" s="71">
        <v>222037</v>
      </c>
      <c r="M54" s="71">
        <v>645627</v>
      </c>
      <c r="N54" s="71">
        <v>310994</v>
      </c>
      <c r="O54" s="70" t="s">
        <v>73</v>
      </c>
      <c r="P54" s="72">
        <v>15387727</v>
      </c>
      <c r="Q54" s="72">
        <f t="shared" si="1"/>
        <v>69.302535163058408</v>
      </c>
      <c r="R54" s="72">
        <f t="shared" si="2"/>
        <v>23.833772441363202</v>
      </c>
      <c r="S54" s="72">
        <f t="shared" si="3"/>
        <v>49.47917644713403</v>
      </c>
      <c r="T54" s="94">
        <f t="shared" si="4"/>
        <v>0.48169298991522969</v>
      </c>
      <c r="U54" s="101">
        <f t="shared" si="5"/>
        <v>0.34390909921673041</v>
      </c>
      <c r="V54" s="74">
        <v>2016</v>
      </c>
      <c r="W54" s="77" t="s">
        <v>136</v>
      </c>
    </row>
    <row r="55" spans="1:23" x14ac:dyDescent="0.2">
      <c r="A55" s="68">
        <v>225.00000000000102</v>
      </c>
      <c r="B55" s="69" t="s">
        <v>70</v>
      </c>
      <c r="C55" s="69" t="s">
        <v>2</v>
      </c>
      <c r="D55" s="69" t="s">
        <v>3</v>
      </c>
      <c r="E55" s="69" t="s">
        <v>76</v>
      </c>
      <c r="F55" s="69" t="s">
        <v>126</v>
      </c>
      <c r="G55" s="69" t="s">
        <v>76</v>
      </c>
      <c r="H55" s="69" t="s">
        <v>29</v>
      </c>
      <c r="I55" s="69" t="s">
        <v>38</v>
      </c>
      <c r="J55" s="70" t="s">
        <v>16</v>
      </c>
      <c r="K55" s="70" t="s">
        <v>18</v>
      </c>
      <c r="L55" s="71">
        <v>222037</v>
      </c>
      <c r="M55" s="71">
        <v>645627</v>
      </c>
      <c r="N55" s="71">
        <v>310994</v>
      </c>
      <c r="O55" s="70" t="s">
        <v>57</v>
      </c>
      <c r="P55" s="72">
        <v>20000000</v>
      </c>
      <c r="Q55" s="72">
        <f t="shared" si="1"/>
        <v>90.07507757716057</v>
      </c>
      <c r="R55" s="72">
        <f t="shared" si="2"/>
        <v>30.977638791438402</v>
      </c>
      <c r="S55" s="72">
        <f t="shared" si="3"/>
        <v>64.309922377923684</v>
      </c>
      <c r="T55" s="94">
        <f t="shared" si="4"/>
        <v>0.48169298991522969</v>
      </c>
      <c r="U55" s="101">
        <f t="shared" si="5"/>
        <v>0.34390909921673041</v>
      </c>
      <c r="V55" s="74">
        <v>2016</v>
      </c>
      <c r="W55" s="77" t="s">
        <v>136</v>
      </c>
    </row>
    <row r="56" spans="1:23" x14ac:dyDescent="0.2">
      <c r="A56" s="68">
        <v>226.00000000000099</v>
      </c>
      <c r="B56" s="69" t="s">
        <v>70</v>
      </c>
      <c r="C56" s="69" t="s">
        <v>2</v>
      </c>
      <c r="D56" s="69" t="s">
        <v>3</v>
      </c>
      <c r="E56" s="69" t="s">
        <v>76</v>
      </c>
      <c r="F56" s="69" t="s">
        <v>126</v>
      </c>
      <c r="G56" s="69" t="s">
        <v>76</v>
      </c>
      <c r="H56" s="69" t="s">
        <v>29</v>
      </c>
      <c r="I56" s="69" t="s">
        <v>38</v>
      </c>
      <c r="J56" s="70" t="s">
        <v>16</v>
      </c>
      <c r="K56" s="70" t="s">
        <v>18</v>
      </c>
      <c r="L56" s="71">
        <v>222037</v>
      </c>
      <c r="M56" s="71">
        <v>645627</v>
      </c>
      <c r="N56" s="71">
        <v>310994</v>
      </c>
      <c r="O56" s="70" t="s">
        <v>58</v>
      </c>
      <c r="P56" s="72">
        <v>20000000</v>
      </c>
      <c r="Q56" s="72">
        <f t="shared" si="1"/>
        <v>90.07507757716057</v>
      </c>
      <c r="R56" s="72">
        <f t="shared" si="2"/>
        <v>30.977638791438402</v>
      </c>
      <c r="S56" s="72">
        <f t="shared" si="3"/>
        <v>64.309922377923684</v>
      </c>
      <c r="T56" s="94">
        <f t="shared" si="4"/>
        <v>0.48169298991522969</v>
      </c>
      <c r="U56" s="101">
        <f t="shared" si="5"/>
        <v>0.34390909921673041</v>
      </c>
      <c r="V56" s="74">
        <v>2016</v>
      </c>
      <c r="W56" s="77" t="s">
        <v>136</v>
      </c>
    </row>
    <row r="57" spans="1:23" x14ac:dyDescent="0.2">
      <c r="A57" s="68">
        <v>227.00000000000097</v>
      </c>
      <c r="B57" s="69" t="s">
        <v>70</v>
      </c>
      <c r="C57" s="69" t="s">
        <v>2</v>
      </c>
      <c r="D57" s="69" t="s">
        <v>3</v>
      </c>
      <c r="E57" s="69" t="s">
        <v>76</v>
      </c>
      <c r="F57" s="69" t="s">
        <v>126</v>
      </c>
      <c r="G57" s="69" t="s">
        <v>76</v>
      </c>
      <c r="H57" s="69" t="s">
        <v>29</v>
      </c>
      <c r="I57" s="69" t="s">
        <v>38</v>
      </c>
      <c r="J57" s="70" t="s">
        <v>16</v>
      </c>
      <c r="K57" s="70" t="s">
        <v>18</v>
      </c>
      <c r="L57" s="71">
        <v>222037</v>
      </c>
      <c r="M57" s="71">
        <v>645627</v>
      </c>
      <c r="N57" s="71">
        <v>310994</v>
      </c>
      <c r="O57" s="70" t="s">
        <v>59</v>
      </c>
      <c r="P57" s="72">
        <v>4500000</v>
      </c>
      <c r="Q57" s="72">
        <f t="shared" si="1"/>
        <v>20.266892454861125</v>
      </c>
      <c r="R57" s="72">
        <f t="shared" si="2"/>
        <v>6.9699687280736402</v>
      </c>
      <c r="S57" s="72">
        <f t="shared" si="3"/>
        <v>14.469732535032831</v>
      </c>
      <c r="T57" s="94">
        <f t="shared" si="4"/>
        <v>0.48169298991522969</v>
      </c>
      <c r="U57" s="101">
        <f t="shared" si="5"/>
        <v>0.34390909921673041</v>
      </c>
      <c r="V57" s="74">
        <v>2016</v>
      </c>
      <c r="W57" s="77" t="s">
        <v>136</v>
      </c>
    </row>
    <row r="58" spans="1:23" x14ac:dyDescent="0.2">
      <c r="A58" s="68">
        <v>228.00000000000099</v>
      </c>
      <c r="B58" s="69" t="s">
        <v>70</v>
      </c>
      <c r="C58" s="69" t="s">
        <v>2</v>
      </c>
      <c r="D58" s="69" t="s">
        <v>3</v>
      </c>
      <c r="E58" s="69" t="s">
        <v>76</v>
      </c>
      <c r="F58" s="69" t="s">
        <v>126</v>
      </c>
      <c r="G58" s="69" t="s">
        <v>76</v>
      </c>
      <c r="H58" s="69" t="s">
        <v>29</v>
      </c>
      <c r="I58" s="69" t="s">
        <v>38</v>
      </c>
      <c r="J58" s="70" t="s">
        <v>16</v>
      </c>
      <c r="K58" s="70" t="s">
        <v>18</v>
      </c>
      <c r="L58" s="71">
        <v>222037</v>
      </c>
      <c r="M58" s="71">
        <v>645627</v>
      </c>
      <c r="N58" s="71">
        <v>310994</v>
      </c>
      <c r="O58" s="70" t="s">
        <v>60</v>
      </c>
      <c r="P58" s="72">
        <v>0</v>
      </c>
      <c r="Q58" s="72">
        <f t="shared" si="1"/>
        <v>0</v>
      </c>
      <c r="R58" s="72">
        <f t="shared" si="2"/>
        <v>0</v>
      </c>
      <c r="S58" s="72">
        <f t="shared" si="3"/>
        <v>0</v>
      </c>
      <c r="T58" s="94">
        <f t="shared" si="4"/>
        <v>0.48169298991522969</v>
      </c>
      <c r="U58" s="101">
        <f t="shared" si="5"/>
        <v>0.34390909921673041</v>
      </c>
      <c r="V58" s="74">
        <v>2016</v>
      </c>
      <c r="W58" s="77" t="s">
        <v>136</v>
      </c>
    </row>
    <row r="59" spans="1:23" x14ac:dyDescent="0.2">
      <c r="A59" s="68">
        <v>229.00000000000097</v>
      </c>
      <c r="B59" s="69" t="s">
        <v>70</v>
      </c>
      <c r="C59" s="69" t="s">
        <v>2</v>
      </c>
      <c r="D59" s="69" t="s">
        <v>3</v>
      </c>
      <c r="E59" s="69" t="s">
        <v>76</v>
      </c>
      <c r="F59" s="69" t="s">
        <v>126</v>
      </c>
      <c r="G59" s="69" t="s">
        <v>76</v>
      </c>
      <c r="H59" s="69" t="s">
        <v>29</v>
      </c>
      <c r="I59" s="69" t="s">
        <v>38</v>
      </c>
      <c r="J59" s="70" t="s">
        <v>16</v>
      </c>
      <c r="K59" s="70" t="s">
        <v>18</v>
      </c>
      <c r="L59" s="71">
        <v>222037</v>
      </c>
      <c r="M59" s="71">
        <v>645627</v>
      </c>
      <c r="N59" s="71">
        <v>310994</v>
      </c>
      <c r="O59" s="70" t="s">
        <v>61</v>
      </c>
      <c r="P59" s="72">
        <v>0</v>
      </c>
      <c r="Q59" s="72">
        <f t="shared" si="1"/>
        <v>0</v>
      </c>
      <c r="R59" s="72">
        <f t="shared" si="2"/>
        <v>0</v>
      </c>
      <c r="S59" s="72">
        <f t="shared" si="3"/>
        <v>0</v>
      </c>
      <c r="T59" s="94">
        <f t="shared" si="4"/>
        <v>0.48169298991522969</v>
      </c>
      <c r="U59" s="101">
        <f t="shared" si="5"/>
        <v>0.34390909921673041</v>
      </c>
      <c r="V59" s="74">
        <v>2016</v>
      </c>
      <c r="W59" s="77" t="s">
        <v>136</v>
      </c>
    </row>
    <row r="60" spans="1:23" s="114" customFormat="1" x14ac:dyDescent="0.2">
      <c r="A60" s="105">
        <v>301</v>
      </c>
      <c r="B60" s="106" t="s">
        <v>70</v>
      </c>
      <c r="C60" s="106" t="s">
        <v>2</v>
      </c>
      <c r="D60" s="106" t="s">
        <v>3</v>
      </c>
      <c r="E60" s="106" t="s">
        <v>75</v>
      </c>
      <c r="F60" s="106" t="s">
        <v>127</v>
      </c>
      <c r="G60" s="106" t="s">
        <v>75</v>
      </c>
      <c r="H60" s="106" t="s">
        <v>29</v>
      </c>
      <c r="I60" s="106" t="s">
        <v>38</v>
      </c>
      <c r="J60" s="107" t="s">
        <v>16</v>
      </c>
      <c r="K60" s="107" t="s">
        <v>18</v>
      </c>
      <c r="L60" s="108">
        <v>121133</v>
      </c>
      <c r="M60" s="108">
        <v>446985</v>
      </c>
      <c r="N60" s="108">
        <v>282420</v>
      </c>
      <c r="O60" s="107" t="s">
        <v>24</v>
      </c>
      <c r="P60" s="109">
        <v>19630039</v>
      </c>
      <c r="Q60" s="109">
        <f t="shared" si="1"/>
        <v>162.05360223886143</v>
      </c>
      <c r="R60" s="109">
        <f t="shared" si="2"/>
        <v>43.916549772363723</v>
      </c>
      <c r="S60" s="109">
        <f t="shared" si="3"/>
        <v>69.506546986757314</v>
      </c>
      <c r="T60" s="110">
        <f t="shared" si="4"/>
        <v>0.63183328299607366</v>
      </c>
      <c r="U60" s="111">
        <f t="shared" si="5"/>
        <v>0.27100014541875006</v>
      </c>
      <c r="V60" s="112">
        <v>2016</v>
      </c>
      <c r="W60" s="113" t="s">
        <v>136</v>
      </c>
    </row>
    <row r="61" spans="1:23" s="114" customFormat="1" x14ac:dyDescent="0.2">
      <c r="A61" s="105">
        <v>302</v>
      </c>
      <c r="B61" s="106" t="s">
        <v>70</v>
      </c>
      <c r="C61" s="106" t="s">
        <v>2</v>
      </c>
      <c r="D61" s="106" t="s">
        <v>3</v>
      </c>
      <c r="E61" s="106" t="s">
        <v>75</v>
      </c>
      <c r="F61" s="106" t="s">
        <v>127</v>
      </c>
      <c r="G61" s="106" t="s">
        <v>75</v>
      </c>
      <c r="H61" s="106" t="s">
        <v>29</v>
      </c>
      <c r="I61" s="106" t="s">
        <v>38</v>
      </c>
      <c r="J61" s="107" t="s">
        <v>16</v>
      </c>
      <c r="K61" s="107" t="s">
        <v>18</v>
      </c>
      <c r="L61" s="108">
        <v>121133</v>
      </c>
      <c r="M61" s="108">
        <v>446985</v>
      </c>
      <c r="N61" s="108">
        <v>282420</v>
      </c>
      <c r="O61" s="107" t="s">
        <v>44</v>
      </c>
      <c r="P61" s="109">
        <v>0</v>
      </c>
      <c r="Q61" s="109">
        <f t="shared" si="1"/>
        <v>0</v>
      </c>
      <c r="R61" s="109">
        <f t="shared" si="2"/>
        <v>0</v>
      </c>
      <c r="S61" s="109">
        <f t="shared" si="3"/>
        <v>0</v>
      </c>
      <c r="T61" s="110">
        <f t="shared" si="4"/>
        <v>0.63183328299607366</v>
      </c>
      <c r="U61" s="111">
        <f t="shared" si="5"/>
        <v>0.27100014541875006</v>
      </c>
      <c r="V61" s="112">
        <v>2016</v>
      </c>
      <c r="W61" s="113" t="s">
        <v>136</v>
      </c>
    </row>
    <row r="62" spans="1:23" s="114" customFormat="1" x14ac:dyDescent="0.2">
      <c r="A62" s="105">
        <v>303</v>
      </c>
      <c r="B62" s="106" t="s">
        <v>70</v>
      </c>
      <c r="C62" s="106" t="s">
        <v>2</v>
      </c>
      <c r="D62" s="106" t="s">
        <v>3</v>
      </c>
      <c r="E62" s="106" t="s">
        <v>75</v>
      </c>
      <c r="F62" s="106" t="s">
        <v>127</v>
      </c>
      <c r="G62" s="106" t="s">
        <v>75</v>
      </c>
      <c r="H62" s="106" t="s">
        <v>29</v>
      </c>
      <c r="I62" s="106" t="s">
        <v>38</v>
      </c>
      <c r="J62" s="107" t="s">
        <v>16</v>
      </c>
      <c r="K62" s="107" t="s">
        <v>18</v>
      </c>
      <c r="L62" s="108">
        <v>121133</v>
      </c>
      <c r="M62" s="108">
        <v>446985</v>
      </c>
      <c r="N62" s="108">
        <v>282420</v>
      </c>
      <c r="O62" s="107" t="s">
        <v>45</v>
      </c>
      <c r="P62" s="109">
        <v>121770</v>
      </c>
      <c r="Q62" s="109">
        <f t="shared" si="1"/>
        <v>1.0052586826050705</v>
      </c>
      <c r="R62" s="109">
        <f t="shared" si="2"/>
        <v>0.27242524916943522</v>
      </c>
      <c r="S62" s="109">
        <f t="shared" si="3"/>
        <v>0.43116634799235182</v>
      </c>
      <c r="T62" s="110">
        <f t="shared" si="4"/>
        <v>0.63183328299607366</v>
      </c>
      <c r="U62" s="111">
        <f t="shared" si="5"/>
        <v>0.27100014541875006</v>
      </c>
      <c r="V62" s="112">
        <v>2016</v>
      </c>
      <c r="W62" s="113" t="s">
        <v>136</v>
      </c>
    </row>
    <row r="63" spans="1:23" s="114" customFormat="1" x14ac:dyDescent="0.2">
      <c r="A63" s="105">
        <v>304</v>
      </c>
      <c r="B63" s="106" t="s">
        <v>70</v>
      </c>
      <c r="C63" s="106" t="s">
        <v>2</v>
      </c>
      <c r="D63" s="106" t="s">
        <v>3</v>
      </c>
      <c r="E63" s="106" t="s">
        <v>75</v>
      </c>
      <c r="F63" s="106" t="s">
        <v>127</v>
      </c>
      <c r="G63" s="106" t="s">
        <v>75</v>
      </c>
      <c r="H63" s="106" t="s">
        <v>29</v>
      </c>
      <c r="I63" s="106" t="s">
        <v>38</v>
      </c>
      <c r="J63" s="107" t="s">
        <v>16</v>
      </c>
      <c r="K63" s="107" t="s">
        <v>18</v>
      </c>
      <c r="L63" s="108">
        <v>121133</v>
      </c>
      <c r="M63" s="108">
        <v>446985</v>
      </c>
      <c r="N63" s="108">
        <v>282420</v>
      </c>
      <c r="O63" s="107" t="s">
        <v>14</v>
      </c>
      <c r="P63" s="109">
        <v>530184</v>
      </c>
      <c r="Q63" s="109">
        <f t="shared" si="1"/>
        <v>4.3768750051596177</v>
      </c>
      <c r="R63" s="109">
        <f t="shared" si="2"/>
        <v>1.1861337628779489</v>
      </c>
      <c r="S63" s="109">
        <f t="shared" si="3"/>
        <v>1.8772891438283408</v>
      </c>
      <c r="T63" s="110">
        <f t="shared" si="4"/>
        <v>0.63183328299607366</v>
      </c>
      <c r="U63" s="111">
        <f t="shared" si="5"/>
        <v>0.27100014541875006</v>
      </c>
      <c r="V63" s="112">
        <v>2016</v>
      </c>
      <c r="W63" s="113" t="s">
        <v>136</v>
      </c>
    </row>
    <row r="64" spans="1:23" s="114" customFormat="1" x14ac:dyDescent="0.2">
      <c r="A64" s="105">
        <v>305</v>
      </c>
      <c r="B64" s="106" t="s">
        <v>70</v>
      </c>
      <c r="C64" s="106" t="s">
        <v>2</v>
      </c>
      <c r="D64" s="106" t="s">
        <v>3</v>
      </c>
      <c r="E64" s="106" t="s">
        <v>75</v>
      </c>
      <c r="F64" s="106" t="s">
        <v>127</v>
      </c>
      <c r="G64" s="106" t="s">
        <v>75</v>
      </c>
      <c r="H64" s="106" t="s">
        <v>29</v>
      </c>
      <c r="I64" s="106" t="s">
        <v>38</v>
      </c>
      <c r="J64" s="107" t="s">
        <v>16</v>
      </c>
      <c r="K64" s="107" t="s">
        <v>18</v>
      </c>
      <c r="L64" s="108">
        <v>121133</v>
      </c>
      <c r="M64" s="108">
        <v>446985</v>
      </c>
      <c r="N64" s="108">
        <v>282420</v>
      </c>
      <c r="O64" s="107" t="s">
        <v>22</v>
      </c>
      <c r="P64" s="109">
        <v>7580384</v>
      </c>
      <c r="Q64" s="109">
        <f t="shared" si="1"/>
        <v>62.579016452989691</v>
      </c>
      <c r="R64" s="109">
        <f t="shared" si="2"/>
        <v>16.958922558922559</v>
      </c>
      <c r="S64" s="109">
        <f t="shared" si="3"/>
        <v>26.840818638906594</v>
      </c>
      <c r="T64" s="110">
        <f t="shared" si="4"/>
        <v>0.63183328299607366</v>
      </c>
      <c r="U64" s="111">
        <f t="shared" si="5"/>
        <v>0.27100014541875006</v>
      </c>
      <c r="V64" s="112">
        <v>2016</v>
      </c>
      <c r="W64" s="113" t="s">
        <v>136</v>
      </c>
    </row>
    <row r="65" spans="1:23" s="114" customFormat="1" x14ac:dyDescent="0.2">
      <c r="A65" s="105">
        <v>306</v>
      </c>
      <c r="B65" s="106" t="s">
        <v>70</v>
      </c>
      <c r="C65" s="106" t="s">
        <v>2</v>
      </c>
      <c r="D65" s="106" t="s">
        <v>3</v>
      </c>
      <c r="E65" s="106" t="s">
        <v>75</v>
      </c>
      <c r="F65" s="106" t="s">
        <v>127</v>
      </c>
      <c r="G65" s="106" t="s">
        <v>75</v>
      </c>
      <c r="H65" s="106" t="s">
        <v>29</v>
      </c>
      <c r="I65" s="106" t="s">
        <v>38</v>
      </c>
      <c r="J65" s="107" t="s">
        <v>16</v>
      </c>
      <c r="K65" s="107" t="s">
        <v>18</v>
      </c>
      <c r="L65" s="108">
        <v>121133</v>
      </c>
      <c r="M65" s="108">
        <v>446985</v>
      </c>
      <c r="N65" s="108">
        <v>282420</v>
      </c>
      <c r="O65" s="107" t="s">
        <v>20</v>
      </c>
      <c r="P65" s="109">
        <v>7444687</v>
      </c>
      <c r="Q65" s="109">
        <f t="shared" si="1"/>
        <v>61.458784971890402</v>
      </c>
      <c r="R65" s="109">
        <f t="shared" si="2"/>
        <v>16.655339664641989</v>
      </c>
      <c r="S65" s="109">
        <f t="shared" si="3"/>
        <v>26.36033921110403</v>
      </c>
      <c r="T65" s="110">
        <f t="shared" si="4"/>
        <v>0.63183328299607366</v>
      </c>
      <c r="U65" s="111">
        <f t="shared" si="5"/>
        <v>0.27100014541875006</v>
      </c>
      <c r="V65" s="112">
        <v>2016</v>
      </c>
      <c r="W65" s="113" t="s">
        <v>136</v>
      </c>
    </row>
    <row r="66" spans="1:23" s="114" customFormat="1" x14ac:dyDescent="0.2">
      <c r="A66" s="105">
        <v>307</v>
      </c>
      <c r="B66" s="106" t="s">
        <v>70</v>
      </c>
      <c r="C66" s="106" t="s">
        <v>2</v>
      </c>
      <c r="D66" s="106" t="s">
        <v>3</v>
      </c>
      <c r="E66" s="106" t="s">
        <v>75</v>
      </c>
      <c r="F66" s="106" t="s">
        <v>127</v>
      </c>
      <c r="G66" s="106" t="s">
        <v>75</v>
      </c>
      <c r="H66" s="106" t="s">
        <v>29</v>
      </c>
      <c r="I66" s="106" t="s">
        <v>38</v>
      </c>
      <c r="J66" s="107" t="s">
        <v>16</v>
      </c>
      <c r="K66" s="107" t="s">
        <v>18</v>
      </c>
      <c r="L66" s="108">
        <v>121133</v>
      </c>
      <c r="M66" s="108">
        <v>446985</v>
      </c>
      <c r="N66" s="108">
        <v>282420</v>
      </c>
      <c r="O66" s="107" t="s">
        <v>23</v>
      </c>
      <c r="P66" s="109">
        <v>6907053</v>
      </c>
      <c r="Q66" s="109">
        <f t="shared" si="1"/>
        <v>57.020407320878704</v>
      </c>
      <c r="R66" s="109">
        <f t="shared" si="2"/>
        <v>15.452538675794489</v>
      </c>
      <c r="S66" s="109">
        <f t="shared" si="3"/>
        <v>24.456670915657533</v>
      </c>
      <c r="T66" s="110">
        <f t="shared" si="4"/>
        <v>0.63183328299607366</v>
      </c>
      <c r="U66" s="111">
        <f t="shared" si="5"/>
        <v>0.27100014541875006</v>
      </c>
      <c r="V66" s="115">
        <v>2016</v>
      </c>
      <c r="W66" s="113" t="s">
        <v>136</v>
      </c>
    </row>
    <row r="67" spans="1:23" s="114" customFormat="1" x14ac:dyDescent="0.2">
      <c r="A67" s="105">
        <v>308</v>
      </c>
      <c r="B67" s="106" t="s">
        <v>70</v>
      </c>
      <c r="C67" s="106" t="s">
        <v>2</v>
      </c>
      <c r="D67" s="106" t="s">
        <v>3</v>
      </c>
      <c r="E67" s="106" t="s">
        <v>75</v>
      </c>
      <c r="F67" s="106" t="s">
        <v>127</v>
      </c>
      <c r="G67" s="106" t="s">
        <v>75</v>
      </c>
      <c r="H67" s="106" t="s">
        <v>29</v>
      </c>
      <c r="I67" s="106" t="s">
        <v>38</v>
      </c>
      <c r="J67" s="107" t="s">
        <v>16</v>
      </c>
      <c r="K67" s="107" t="s">
        <v>18</v>
      </c>
      <c r="L67" s="108">
        <v>121133</v>
      </c>
      <c r="M67" s="108">
        <v>446985</v>
      </c>
      <c r="N67" s="108">
        <v>282420</v>
      </c>
      <c r="O67" s="107" t="s">
        <v>43</v>
      </c>
      <c r="P67" s="109">
        <v>9697658</v>
      </c>
      <c r="Q67" s="109">
        <f t="shared" ref="Q67:Q130" si="6">$P67/L67</f>
        <v>80.057936317931535</v>
      </c>
      <c r="R67" s="109">
        <f t="shared" ref="R67:R130" si="7">$P67/M67</f>
        <v>21.695712384084477</v>
      </c>
      <c r="S67" s="109">
        <f t="shared" ref="S67:S130" si="8">$P67/N67</f>
        <v>34.337716875575381</v>
      </c>
      <c r="T67" s="110">
        <f t="shared" ref="T67:T130" si="9">N67/M67</f>
        <v>0.63183328299607366</v>
      </c>
      <c r="U67" s="111">
        <f t="shared" ref="U67:U130" si="10">L67/M67</f>
        <v>0.27100014541875006</v>
      </c>
      <c r="V67" s="115">
        <v>2016</v>
      </c>
      <c r="W67" s="113" t="s">
        <v>136</v>
      </c>
    </row>
    <row r="68" spans="1:23" s="114" customFormat="1" x14ac:dyDescent="0.2">
      <c r="A68" s="105">
        <v>309</v>
      </c>
      <c r="B68" s="106" t="s">
        <v>70</v>
      </c>
      <c r="C68" s="106" t="s">
        <v>2</v>
      </c>
      <c r="D68" s="106" t="s">
        <v>3</v>
      </c>
      <c r="E68" s="106" t="s">
        <v>75</v>
      </c>
      <c r="F68" s="106" t="s">
        <v>127</v>
      </c>
      <c r="G68" s="106" t="s">
        <v>75</v>
      </c>
      <c r="H68" s="106" t="s">
        <v>29</v>
      </c>
      <c r="I68" s="106" t="s">
        <v>38</v>
      </c>
      <c r="J68" s="107" t="s">
        <v>16</v>
      </c>
      <c r="K68" s="107" t="s">
        <v>18</v>
      </c>
      <c r="L68" s="108">
        <v>121133</v>
      </c>
      <c r="M68" s="108">
        <v>446985</v>
      </c>
      <c r="N68" s="108">
        <v>282420</v>
      </c>
      <c r="O68" s="107" t="s">
        <v>46</v>
      </c>
      <c r="P68" s="109">
        <v>0</v>
      </c>
      <c r="Q68" s="109">
        <f t="shared" si="6"/>
        <v>0</v>
      </c>
      <c r="R68" s="109">
        <f t="shared" si="7"/>
        <v>0</v>
      </c>
      <c r="S68" s="109">
        <f t="shared" si="8"/>
        <v>0</v>
      </c>
      <c r="T68" s="110">
        <f t="shared" si="9"/>
        <v>0.63183328299607366</v>
      </c>
      <c r="U68" s="111">
        <f t="shared" si="10"/>
        <v>0.27100014541875006</v>
      </c>
      <c r="V68" s="115">
        <v>2016</v>
      </c>
      <c r="W68" s="113" t="s">
        <v>136</v>
      </c>
    </row>
    <row r="69" spans="1:23" s="114" customFormat="1" x14ac:dyDescent="0.2">
      <c r="A69" s="105">
        <v>310</v>
      </c>
      <c r="B69" s="106" t="s">
        <v>70</v>
      </c>
      <c r="C69" s="106" t="s">
        <v>2</v>
      </c>
      <c r="D69" s="106" t="s">
        <v>3</v>
      </c>
      <c r="E69" s="106" t="s">
        <v>75</v>
      </c>
      <c r="F69" s="106" t="s">
        <v>127</v>
      </c>
      <c r="G69" s="106" t="s">
        <v>75</v>
      </c>
      <c r="H69" s="106" t="s">
        <v>29</v>
      </c>
      <c r="I69" s="106" t="s">
        <v>38</v>
      </c>
      <c r="J69" s="107" t="s">
        <v>16</v>
      </c>
      <c r="K69" s="107" t="s">
        <v>18</v>
      </c>
      <c r="L69" s="108">
        <v>121133</v>
      </c>
      <c r="M69" s="108">
        <v>446985</v>
      </c>
      <c r="N69" s="108">
        <v>282420</v>
      </c>
      <c r="O69" s="107" t="s">
        <v>34</v>
      </c>
      <c r="P69" s="109">
        <v>1455302</v>
      </c>
      <c r="Q69" s="109">
        <f t="shared" si="6"/>
        <v>12.014083693130692</v>
      </c>
      <c r="R69" s="109">
        <f t="shared" si="7"/>
        <v>3.2558184279114513</v>
      </c>
      <c r="S69" s="109">
        <f t="shared" si="8"/>
        <v>5.1529707527795479</v>
      </c>
      <c r="T69" s="110">
        <f t="shared" si="9"/>
        <v>0.63183328299607366</v>
      </c>
      <c r="U69" s="111">
        <f t="shared" si="10"/>
        <v>0.27100014541875006</v>
      </c>
      <c r="V69" s="115">
        <v>2016</v>
      </c>
      <c r="W69" s="113" t="s">
        <v>136</v>
      </c>
    </row>
    <row r="70" spans="1:23" s="114" customFormat="1" x14ac:dyDescent="0.2">
      <c r="A70" s="105">
        <v>311</v>
      </c>
      <c r="B70" s="106" t="s">
        <v>70</v>
      </c>
      <c r="C70" s="106" t="s">
        <v>2</v>
      </c>
      <c r="D70" s="106" t="s">
        <v>3</v>
      </c>
      <c r="E70" s="106" t="s">
        <v>75</v>
      </c>
      <c r="F70" s="106" t="s">
        <v>127</v>
      </c>
      <c r="G70" s="106" t="s">
        <v>75</v>
      </c>
      <c r="H70" s="106" t="s">
        <v>29</v>
      </c>
      <c r="I70" s="106" t="s">
        <v>38</v>
      </c>
      <c r="J70" s="107" t="s">
        <v>16</v>
      </c>
      <c r="K70" s="107" t="s">
        <v>18</v>
      </c>
      <c r="L70" s="108">
        <v>121133</v>
      </c>
      <c r="M70" s="108">
        <v>446985</v>
      </c>
      <c r="N70" s="108">
        <v>282420</v>
      </c>
      <c r="O70" s="107" t="s">
        <v>26</v>
      </c>
      <c r="P70" s="109">
        <v>41746288</v>
      </c>
      <c r="Q70" s="109">
        <f t="shared" si="6"/>
        <v>344.63183442992414</v>
      </c>
      <c r="R70" s="109">
        <f t="shared" si="7"/>
        <v>93.395277246440031</v>
      </c>
      <c r="S70" s="109">
        <f t="shared" si="8"/>
        <v>147.81633028822321</v>
      </c>
      <c r="T70" s="110">
        <f t="shared" si="9"/>
        <v>0.63183328299607366</v>
      </c>
      <c r="U70" s="111">
        <f t="shared" si="10"/>
        <v>0.27100014541875006</v>
      </c>
      <c r="V70" s="115">
        <v>2016</v>
      </c>
      <c r="W70" s="113" t="s">
        <v>136</v>
      </c>
    </row>
    <row r="71" spans="1:23" s="114" customFormat="1" x14ac:dyDescent="0.2">
      <c r="A71" s="105">
        <v>312</v>
      </c>
      <c r="B71" s="106" t="s">
        <v>70</v>
      </c>
      <c r="C71" s="106" t="s">
        <v>2</v>
      </c>
      <c r="D71" s="106" t="s">
        <v>3</v>
      </c>
      <c r="E71" s="106" t="s">
        <v>75</v>
      </c>
      <c r="F71" s="106" t="s">
        <v>127</v>
      </c>
      <c r="G71" s="106" t="s">
        <v>75</v>
      </c>
      <c r="H71" s="106" t="s">
        <v>29</v>
      </c>
      <c r="I71" s="106" t="s">
        <v>38</v>
      </c>
      <c r="J71" s="107" t="s">
        <v>16</v>
      </c>
      <c r="K71" s="107" t="s">
        <v>18</v>
      </c>
      <c r="L71" s="108">
        <v>121133</v>
      </c>
      <c r="M71" s="108">
        <v>446985</v>
      </c>
      <c r="N71" s="108">
        <v>282420</v>
      </c>
      <c r="O71" s="107" t="s">
        <v>28</v>
      </c>
      <c r="P71" s="109">
        <v>5850657</v>
      </c>
      <c r="Q71" s="109">
        <f t="shared" si="6"/>
        <v>48.299447714495635</v>
      </c>
      <c r="R71" s="109">
        <f t="shared" si="7"/>
        <v>13.089157354273633</v>
      </c>
      <c r="S71" s="109">
        <f t="shared" si="8"/>
        <v>20.716156787762905</v>
      </c>
      <c r="T71" s="110">
        <f t="shared" si="9"/>
        <v>0.63183328299607366</v>
      </c>
      <c r="U71" s="111">
        <f t="shared" si="10"/>
        <v>0.27100014541875006</v>
      </c>
      <c r="V71" s="115">
        <v>2016</v>
      </c>
      <c r="W71" s="113" t="s">
        <v>136</v>
      </c>
    </row>
    <row r="72" spans="1:23" s="114" customFormat="1" x14ac:dyDescent="0.2">
      <c r="A72" s="105">
        <v>313</v>
      </c>
      <c r="B72" s="106" t="s">
        <v>70</v>
      </c>
      <c r="C72" s="106" t="s">
        <v>2</v>
      </c>
      <c r="D72" s="106" t="s">
        <v>3</v>
      </c>
      <c r="E72" s="106" t="s">
        <v>75</v>
      </c>
      <c r="F72" s="106" t="s">
        <v>127</v>
      </c>
      <c r="G72" s="106" t="s">
        <v>75</v>
      </c>
      <c r="H72" s="106" t="s">
        <v>29</v>
      </c>
      <c r="I72" s="106" t="s">
        <v>38</v>
      </c>
      <c r="J72" s="107" t="s">
        <v>16</v>
      </c>
      <c r="K72" s="107" t="s">
        <v>18</v>
      </c>
      <c r="L72" s="108">
        <v>121133</v>
      </c>
      <c r="M72" s="108">
        <v>446985</v>
      </c>
      <c r="N72" s="108">
        <v>282420</v>
      </c>
      <c r="O72" s="107" t="s">
        <v>47</v>
      </c>
      <c r="P72" s="109">
        <v>0</v>
      </c>
      <c r="Q72" s="109">
        <f t="shared" si="6"/>
        <v>0</v>
      </c>
      <c r="R72" s="109">
        <f t="shared" si="7"/>
        <v>0</v>
      </c>
      <c r="S72" s="109">
        <f t="shared" si="8"/>
        <v>0</v>
      </c>
      <c r="T72" s="110">
        <f t="shared" si="9"/>
        <v>0.63183328299607366</v>
      </c>
      <c r="U72" s="111">
        <f t="shared" si="10"/>
        <v>0.27100014541875006</v>
      </c>
      <c r="V72" s="112">
        <v>2016</v>
      </c>
      <c r="W72" s="113" t="s">
        <v>136</v>
      </c>
    </row>
    <row r="73" spans="1:23" s="114" customFormat="1" x14ac:dyDescent="0.2">
      <c r="A73" s="105">
        <v>314</v>
      </c>
      <c r="B73" s="106" t="s">
        <v>70</v>
      </c>
      <c r="C73" s="106" t="s">
        <v>2</v>
      </c>
      <c r="D73" s="106" t="s">
        <v>3</v>
      </c>
      <c r="E73" s="106" t="s">
        <v>75</v>
      </c>
      <c r="F73" s="106" t="s">
        <v>127</v>
      </c>
      <c r="G73" s="106" t="s">
        <v>75</v>
      </c>
      <c r="H73" s="106" t="s">
        <v>29</v>
      </c>
      <c r="I73" s="106" t="s">
        <v>38</v>
      </c>
      <c r="J73" s="107" t="s">
        <v>16</v>
      </c>
      <c r="K73" s="107" t="s">
        <v>18</v>
      </c>
      <c r="L73" s="108">
        <v>121133</v>
      </c>
      <c r="M73" s="108">
        <v>446985</v>
      </c>
      <c r="N73" s="108">
        <v>282420</v>
      </c>
      <c r="O73" s="107" t="s">
        <v>27</v>
      </c>
      <c r="P73" s="109">
        <v>7288258</v>
      </c>
      <c r="Q73" s="109">
        <f t="shared" si="6"/>
        <v>60.167402772159527</v>
      </c>
      <c r="R73" s="109">
        <f t="shared" si="7"/>
        <v>16.305374900723738</v>
      </c>
      <c r="S73" s="109">
        <f t="shared" si="8"/>
        <v>25.806451384462857</v>
      </c>
      <c r="T73" s="110">
        <f t="shared" si="9"/>
        <v>0.63183328299607366</v>
      </c>
      <c r="U73" s="111">
        <f t="shared" si="10"/>
        <v>0.27100014541875006</v>
      </c>
      <c r="V73" s="115">
        <v>2016</v>
      </c>
      <c r="W73" s="113" t="s">
        <v>136</v>
      </c>
    </row>
    <row r="74" spans="1:23" s="114" customFormat="1" x14ac:dyDescent="0.2">
      <c r="A74" s="105">
        <v>315</v>
      </c>
      <c r="B74" s="106" t="s">
        <v>70</v>
      </c>
      <c r="C74" s="106" t="s">
        <v>2</v>
      </c>
      <c r="D74" s="106" t="s">
        <v>3</v>
      </c>
      <c r="E74" s="106" t="s">
        <v>75</v>
      </c>
      <c r="F74" s="106" t="s">
        <v>127</v>
      </c>
      <c r="G74" s="106" t="s">
        <v>75</v>
      </c>
      <c r="H74" s="106" t="s">
        <v>29</v>
      </c>
      <c r="I74" s="106" t="s">
        <v>38</v>
      </c>
      <c r="J74" s="107" t="s">
        <v>16</v>
      </c>
      <c r="K74" s="107" t="s">
        <v>18</v>
      </c>
      <c r="L74" s="108">
        <v>121133</v>
      </c>
      <c r="M74" s="108">
        <v>446985</v>
      </c>
      <c r="N74" s="108">
        <v>282420</v>
      </c>
      <c r="O74" s="107" t="s">
        <v>48</v>
      </c>
      <c r="P74" s="109">
        <v>0</v>
      </c>
      <c r="Q74" s="109">
        <f t="shared" si="6"/>
        <v>0</v>
      </c>
      <c r="R74" s="109">
        <f t="shared" si="7"/>
        <v>0</v>
      </c>
      <c r="S74" s="109">
        <f t="shared" si="8"/>
        <v>0</v>
      </c>
      <c r="T74" s="110">
        <f t="shared" si="9"/>
        <v>0.63183328299607366</v>
      </c>
      <c r="U74" s="111">
        <f t="shared" si="10"/>
        <v>0.27100014541875006</v>
      </c>
      <c r="V74" s="115">
        <v>2016</v>
      </c>
      <c r="W74" s="113" t="s">
        <v>136</v>
      </c>
    </row>
    <row r="75" spans="1:23" s="114" customFormat="1" x14ac:dyDescent="0.2">
      <c r="A75" s="105">
        <v>316</v>
      </c>
      <c r="B75" s="106" t="s">
        <v>70</v>
      </c>
      <c r="C75" s="106" t="s">
        <v>2</v>
      </c>
      <c r="D75" s="106" t="s">
        <v>3</v>
      </c>
      <c r="E75" s="106" t="s">
        <v>75</v>
      </c>
      <c r="F75" s="106" t="s">
        <v>127</v>
      </c>
      <c r="G75" s="106" t="s">
        <v>75</v>
      </c>
      <c r="H75" s="106" t="s">
        <v>29</v>
      </c>
      <c r="I75" s="106" t="s">
        <v>38</v>
      </c>
      <c r="J75" s="107" t="s">
        <v>16</v>
      </c>
      <c r="K75" s="107" t="s">
        <v>18</v>
      </c>
      <c r="L75" s="108">
        <v>121133</v>
      </c>
      <c r="M75" s="108">
        <v>446985</v>
      </c>
      <c r="N75" s="108">
        <v>282420</v>
      </c>
      <c r="O75" s="107" t="s">
        <v>49</v>
      </c>
      <c r="P75" s="109">
        <v>0</v>
      </c>
      <c r="Q75" s="109">
        <f t="shared" si="6"/>
        <v>0</v>
      </c>
      <c r="R75" s="109">
        <f t="shared" si="7"/>
        <v>0</v>
      </c>
      <c r="S75" s="109">
        <f t="shared" si="8"/>
        <v>0</v>
      </c>
      <c r="T75" s="110">
        <f t="shared" si="9"/>
        <v>0.63183328299607366</v>
      </c>
      <c r="U75" s="111">
        <f t="shared" si="10"/>
        <v>0.27100014541875006</v>
      </c>
      <c r="V75" s="115">
        <v>2016</v>
      </c>
      <c r="W75" s="113" t="s">
        <v>136</v>
      </c>
    </row>
    <row r="76" spans="1:23" s="114" customFormat="1" x14ac:dyDescent="0.2">
      <c r="A76" s="105">
        <v>317</v>
      </c>
      <c r="B76" s="106" t="s">
        <v>70</v>
      </c>
      <c r="C76" s="106" t="s">
        <v>2</v>
      </c>
      <c r="D76" s="106" t="s">
        <v>3</v>
      </c>
      <c r="E76" s="106" t="s">
        <v>75</v>
      </c>
      <c r="F76" s="106" t="s">
        <v>127</v>
      </c>
      <c r="G76" s="106" t="s">
        <v>75</v>
      </c>
      <c r="H76" s="106" t="s">
        <v>29</v>
      </c>
      <c r="I76" s="106" t="s">
        <v>38</v>
      </c>
      <c r="J76" s="107" t="s">
        <v>16</v>
      </c>
      <c r="K76" s="107" t="s">
        <v>18</v>
      </c>
      <c r="L76" s="108">
        <v>121133</v>
      </c>
      <c r="M76" s="108">
        <v>446985</v>
      </c>
      <c r="N76" s="108">
        <v>282420</v>
      </c>
      <c r="O76" s="107" t="s">
        <v>50</v>
      </c>
      <c r="P76" s="109">
        <v>0</v>
      </c>
      <c r="Q76" s="109">
        <f t="shared" si="6"/>
        <v>0</v>
      </c>
      <c r="R76" s="109">
        <f t="shared" si="7"/>
        <v>0</v>
      </c>
      <c r="S76" s="109">
        <f t="shared" si="8"/>
        <v>0</v>
      </c>
      <c r="T76" s="110">
        <f t="shared" si="9"/>
        <v>0.63183328299607366</v>
      </c>
      <c r="U76" s="111">
        <f t="shared" si="10"/>
        <v>0.27100014541875006</v>
      </c>
      <c r="V76" s="115">
        <v>2016</v>
      </c>
      <c r="W76" s="113" t="s">
        <v>136</v>
      </c>
    </row>
    <row r="77" spans="1:23" s="114" customFormat="1" x14ac:dyDescent="0.2">
      <c r="A77" s="105">
        <v>318</v>
      </c>
      <c r="B77" s="106" t="s">
        <v>70</v>
      </c>
      <c r="C77" s="106" t="s">
        <v>2</v>
      </c>
      <c r="D77" s="106" t="s">
        <v>3</v>
      </c>
      <c r="E77" s="106" t="s">
        <v>75</v>
      </c>
      <c r="F77" s="106" t="s">
        <v>127</v>
      </c>
      <c r="G77" s="106" t="s">
        <v>75</v>
      </c>
      <c r="H77" s="106" t="s">
        <v>29</v>
      </c>
      <c r="I77" s="106" t="s">
        <v>38</v>
      </c>
      <c r="J77" s="107" t="s">
        <v>16</v>
      </c>
      <c r="K77" s="107" t="s">
        <v>18</v>
      </c>
      <c r="L77" s="108">
        <v>121133</v>
      </c>
      <c r="M77" s="108">
        <v>446985</v>
      </c>
      <c r="N77" s="108">
        <v>282420</v>
      </c>
      <c r="O77" s="107" t="s">
        <v>51</v>
      </c>
      <c r="P77" s="109">
        <v>3506876</v>
      </c>
      <c r="Q77" s="109">
        <f t="shared" si="6"/>
        <v>28.950624520155532</v>
      </c>
      <c r="R77" s="109">
        <f t="shared" si="7"/>
        <v>7.8456234549257804</v>
      </c>
      <c r="S77" s="109">
        <f t="shared" si="8"/>
        <v>12.417236739607677</v>
      </c>
      <c r="T77" s="110">
        <f t="shared" si="9"/>
        <v>0.63183328299607366</v>
      </c>
      <c r="U77" s="111">
        <f t="shared" si="10"/>
        <v>0.27100014541875006</v>
      </c>
      <c r="V77" s="115">
        <v>2016</v>
      </c>
      <c r="W77" s="113" t="s">
        <v>136</v>
      </c>
    </row>
    <row r="78" spans="1:23" s="114" customFormat="1" x14ac:dyDescent="0.2">
      <c r="A78" s="105">
        <v>319</v>
      </c>
      <c r="B78" s="106" t="s">
        <v>70</v>
      </c>
      <c r="C78" s="106" t="s">
        <v>2</v>
      </c>
      <c r="D78" s="106" t="s">
        <v>3</v>
      </c>
      <c r="E78" s="106" t="s">
        <v>75</v>
      </c>
      <c r="F78" s="106" t="s">
        <v>127</v>
      </c>
      <c r="G78" s="106" t="s">
        <v>75</v>
      </c>
      <c r="H78" s="106" t="s">
        <v>29</v>
      </c>
      <c r="I78" s="106" t="s">
        <v>38</v>
      </c>
      <c r="J78" s="107" t="s">
        <v>16</v>
      </c>
      <c r="K78" s="107" t="s">
        <v>18</v>
      </c>
      <c r="L78" s="108">
        <v>121133</v>
      </c>
      <c r="M78" s="108">
        <v>446985</v>
      </c>
      <c r="N78" s="108">
        <v>282420</v>
      </c>
      <c r="O78" s="107" t="s">
        <v>52</v>
      </c>
      <c r="P78" s="109">
        <v>0</v>
      </c>
      <c r="Q78" s="109">
        <f t="shared" si="6"/>
        <v>0</v>
      </c>
      <c r="R78" s="109">
        <f t="shared" si="7"/>
        <v>0</v>
      </c>
      <c r="S78" s="109">
        <f t="shared" si="8"/>
        <v>0</v>
      </c>
      <c r="T78" s="110">
        <f t="shared" si="9"/>
        <v>0.63183328299607366</v>
      </c>
      <c r="U78" s="111">
        <f t="shared" si="10"/>
        <v>0.27100014541875006</v>
      </c>
      <c r="V78" s="115">
        <v>2016</v>
      </c>
      <c r="W78" s="113" t="s">
        <v>136</v>
      </c>
    </row>
    <row r="79" spans="1:23" s="114" customFormat="1" x14ac:dyDescent="0.2">
      <c r="A79" s="105">
        <v>320</v>
      </c>
      <c r="B79" s="106" t="s">
        <v>70</v>
      </c>
      <c r="C79" s="106" t="s">
        <v>2</v>
      </c>
      <c r="D79" s="106" t="s">
        <v>3</v>
      </c>
      <c r="E79" s="106" t="s">
        <v>75</v>
      </c>
      <c r="F79" s="106" t="s">
        <v>127</v>
      </c>
      <c r="G79" s="106" t="s">
        <v>75</v>
      </c>
      <c r="H79" s="106" t="s">
        <v>29</v>
      </c>
      <c r="I79" s="106" t="s">
        <v>38</v>
      </c>
      <c r="J79" s="107" t="s">
        <v>16</v>
      </c>
      <c r="K79" s="107" t="s">
        <v>18</v>
      </c>
      <c r="L79" s="108">
        <v>121133</v>
      </c>
      <c r="M79" s="108">
        <v>446985</v>
      </c>
      <c r="N79" s="108">
        <v>282420</v>
      </c>
      <c r="O79" s="107" t="s">
        <v>53</v>
      </c>
      <c r="P79" s="109">
        <v>0</v>
      </c>
      <c r="Q79" s="109">
        <f t="shared" si="6"/>
        <v>0</v>
      </c>
      <c r="R79" s="109">
        <f t="shared" si="7"/>
        <v>0</v>
      </c>
      <c r="S79" s="109">
        <f t="shared" si="8"/>
        <v>0</v>
      </c>
      <c r="T79" s="110">
        <f t="shared" si="9"/>
        <v>0.63183328299607366</v>
      </c>
      <c r="U79" s="111">
        <f t="shared" si="10"/>
        <v>0.27100014541875006</v>
      </c>
      <c r="V79" s="115">
        <v>2016</v>
      </c>
      <c r="W79" s="113" t="s">
        <v>136</v>
      </c>
    </row>
    <row r="80" spans="1:23" s="114" customFormat="1" x14ac:dyDescent="0.2">
      <c r="A80" s="105">
        <v>321</v>
      </c>
      <c r="B80" s="106" t="s">
        <v>70</v>
      </c>
      <c r="C80" s="106" t="s">
        <v>2</v>
      </c>
      <c r="D80" s="106" t="s">
        <v>3</v>
      </c>
      <c r="E80" s="106" t="s">
        <v>75</v>
      </c>
      <c r="F80" s="106" t="s">
        <v>127</v>
      </c>
      <c r="G80" s="106" t="s">
        <v>75</v>
      </c>
      <c r="H80" s="106" t="s">
        <v>29</v>
      </c>
      <c r="I80" s="106" t="s">
        <v>38</v>
      </c>
      <c r="J80" s="107" t="s">
        <v>16</v>
      </c>
      <c r="K80" s="107" t="s">
        <v>18</v>
      </c>
      <c r="L80" s="108">
        <v>121133</v>
      </c>
      <c r="M80" s="108">
        <v>446985</v>
      </c>
      <c r="N80" s="108">
        <v>282420</v>
      </c>
      <c r="O80" s="107" t="s">
        <v>54</v>
      </c>
      <c r="P80" s="109">
        <v>0</v>
      </c>
      <c r="Q80" s="109">
        <f t="shared" si="6"/>
        <v>0</v>
      </c>
      <c r="R80" s="109">
        <f t="shared" si="7"/>
        <v>0</v>
      </c>
      <c r="S80" s="109">
        <f t="shared" si="8"/>
        <v>0</v>
      </c>
      <c r="T80" s="110">
        <f t="shared" si="9"/>
        <v>0.63183328299607366</v>
      </c>
      <c r="U80" s="111">
        <f t="shared" si="10"/>
        <v>0.27100014541875006</v>
      </c>
      <c r="V80" s="115">
        <v>2016</v>
      </c>
      <c r="W80" s="113" t="s">
        <v>136</v>
      </c>
    </row>
    <row r="81" spans="1:23" s="114" customFormat="1" x14ac:dyDescent="0.2">
      <c r="A81" s="105">
        <v>322</v>
      </c>
      <c r="B81" s="106" t="s">
        <v>70</v>
      </c>
      <c r="C81" s="106" t="s">
        <v>2</v>
      </c>
      <c r="D81" s="106" t="s">
        <v>3</v>
      </c>
      <c r="E81" s="106" t="s">
        <v>75</v>
      </c>
      <c r="F81" s="106" t="s">
        <v>127</v>
      </c>
      <c r="G81" s="106" t="s">
        <v>75</v>
      </c>
      <c r="H81" s="106" t="s">
        <v>29</v>
      </c>
      <c r="I81" s="106" t="s">
        <v>38</v>
      </c>
      <c r="J81" s="107" t="s">
        <v>16</v>
      </c>
      <c r="K81" s="107" t="s">
        <v>18</v>
      </c>
      <c r="L81" s="108">
        <v>121133</v>
      </c>
      <c r="M81" s="108">
        <v>446985</v>
      </c>
      <c r="N81" s="108">
        <v>282420</v>
      </c>
      <c r="O81" s="107" t="s">
        <v>55</v>
      </c>
      <c r="P81" s="109">
        <v>0</v>
      </c>
      <c r="Q81" s="109">
        <f t="shared" si="6"/>
        <v>0</v>
      </c>
      <c r="R81" s="109">
        <f t="shared" si="7"/>
        <v>0</v>
      </c>
      <c r="S81" s="109">
        <f t="shared" si="8"/>
        <v>0</v>
      </c>
      <c r="T81" s="110">
        <f t="shared" si="9"/>
        <v>0.63183328299607366</v>
      </c>
      <c r="U81" s="111">
        <f t="shared" si="10"/>
        <v>0.27100014541875006</v>
      </c>
      <c r="V81" s="115">
        <v>2016</v>
      </c>
      <c r="W81" s="113" t="s">
        <v>136</v>
      </c>
    </row>
    <row r="82" spans="1:23" s="114" customFormat="1" x14ac:dyDescent="0.2">
      <c r="A82" s="105">
        <v>323</v>
      </c>
      <c r="B82" s="106" t="s">
        <v>70</v>
      </c>
      <c r="C82" s="106" t="s">
        <v>2</v>
      </c>
      <c r="D82" s="106" t="s">
        <v>3</v>
      </c>
      <c r="E82" s="106" t="s">
        <v>75</v>
      </c>
      <c r="F82" s="106" t="s">
        <v>127</v>
      </c>
      <c r="G82" s="106" t="s">
        <v>75</v>
      </c>
      <c r="H82" s="106" t="s">
        <v>29</v>
      </c>
      <c r="I82" s="106" t="s">
        <v>38</v>
      </c>
      <c r="J82" s="107" t="s">
        <v>16</v>
      </c>
      <c r="K82" s="107" t="s">
        <v>18</v>
      </c>
      <c r="L82" s="108">
        <v>121133</v>
      </c>
      <c r="M82" s="108">
        <v>446985</v>
      </c>
      <c r="N82" s="108">
        <v>282420</v>
      </c>
      <c r="O82" s="107" t="s">
        <v>56</v>
      </c>
      <c r="P82" s="109">
        <v>0</v>
      </c>
      <c r="Q82" s="109">
        <f t="shared" si="6"/>
        <v>0</v>
      </c>
      <c r="R82" s="109">
        <f t="shared" si="7"/>
        <v>0</v>
      </c>
      <c r="S82" s="109">
        <f t="shared" si="8"/>
        <v>0</v>
      </c>
      <c r="T82" s="110">
        <f t="shared" si="9"/>
        <v>0.63183328299607366</v>
      </c>
      <c r="U82" s="111">
        <f t="shared" si="10"/>
        <v>0.27100014541875006</v>
      </c>
      <c r="V82" s="115">
        <v>2016</v>
      </c>
      <c r="W82" s="113" t="s">
        <v>136</v>
      </c>
    </row>
    <row r="83" spans="1:23" s="114" customFormat="1" x14ac:dyDescent="0.2">
      <c r="A83" s="105">
        <v>324</v>
      </c>
      <c r="B83" s="106" t="s">
        <v>70</v>
      </c>
      <c r="C83" s="106" t="s">
        <v>2</v>
      </c>
      <c r="D83" s="106" t="s">
        <v>3</v>
      </c>
      <c r="E83" s="106" t="s">
        <v>75</v>
      </c>
      <c r="F83" s="106" t="s">
        <v>127</v>
      </c>
      <c r="G83" s="106" t="s">
        <v>75</v>
      </c>
      <c r="H83" s="106" t="s">
        <v>29</v>
      </c>
      <c r="I83" s="106" t="s">
        <v>38</v>
      </c>
      <c r="J83" s="107" t="s">
        <v>16</v>
      </c>
      <c r="K83" s="107" t="s">
        <v>18</v>
      </c>
      <c r="L83" s="108">
        <v>121133</v>
      </c>
      <c r="M83" s="108">
        <v>446985</v>
      </c>
      <c r="N83" s="108">
        <v>282420</v>
      </c>
      <c r="O83" s="107" t="s">
        <v>73</v>
      </c>
      <c r="P83" s="109">
        <v>14953541</v>
      </c>
      <c r="Q83" s="109">
        <f t="shared" si="6"/>
        <v>123.44729347081308</v>
      </c>
      <c r="R83" s="109">
        <f t="shared" si="7"/>
        <v>33.454234482141459</v>
      </c>
      <c r="S83" s="109">
        <f t="shared" si="8"/>
        <v>52.947882586219109</v>
      </c>
      <c r="T83" s="110">
        <f t="shared" si="9"/>
        <v>0.63183328299607366</v>
      </c>
      <c r="U83" s="111">
        <f t="shared" si="10"/>
        <v>0.27100014541875006</v>
      </c>
      <c r="V83" s="115">
        <v>2016</v>
      </c>
      <c r="W83" s="113" t="s">
        <v>136</v>
      </c>
    </row>
    <row r="84" spans="1:23" s="114" customFormat="1" x14ac:dyDescent="0.2">
      <c r="A84" s="105">
        <v>325.00000000000102</v>
      </c>
      <c r="B84" s="106" t="s">
        <v>70</v>
      </c>
      <c r="C84" s="106" t="s">
        <v>2</v>
      </c>
      <c r="D84" s="106" t="s">
        <v>3</v>
      </c>
      <c r="E84" s="106" t="s">
        <v>75</v>
      </c>
      <c r="F84" s="106" t="s">
        <v>127</v>
      </c>
      <c r="G84" s="106" t="s">
        <v>75</v>
      </c>
      <c r="H84" s="106" t="s">
        <v>29</v>
      </c>
      <c r="I84" s="106" t="s">
        <v>38</v>
      </c>
      <c r="J84" s="107" t="s">
        <v>16</v>
      </c>
      <c r="K84" s="107" t="s">
        <v>18</v>
      </c>
      <c r="L84" s="108">
        <v>121133</v>
      </c>
      <c r="M84" s="108">
        <v>446985</v>
      </c>
      <c r="N84" s="108">
        <v>282420</v>
      </c>
      <c r="O84" s="107" t="s">
        <v>57</v>
      </c>
      <c r="P84" s="109">
        <v>10000000</v>
      </c>
      <c r="Q84" s="109">
        <f t="shared" si="6"/>
        <v>82.553887049771745</v>
      </c>
      <c r="R84" s="109">
        <f t="shared" si="7"/>
        <v>22.37211539537121</v>
      </c>
      <c r="S84" s="109">
        <f t="shared" si="8"/>
        <v>35.408257205580341</v>
      </c>
      <c r="T84" s="110">
        <f t="shared" si="9"/>
        <v>0.63183328299607366</v>
      </c>
      <c r="U84" s="111">
        <f t="shared" si="10"/>
        <v>0.27100014541875006</v>
      </c>
      <c r="V84" s="115">
        <v>2016</v>
      </c>
      <c r="W84" s="113" t="s">
        <v>136</v>
      </c>
    </row>
    <row r="85" spans="1:23" s="114" customFormat="1" x14ac:dyDescent="0.2">
      <c r="A85" s="105">
        <v>326.00000000000102</v>
      </c>
      <c r="B85" s="106" t="s">
        <v>70</v>
      </c>
      <c r="C85" s="106" t="s">
        <v>2</v>
      </c>
      <c r="D85" s="106" t="s">
        <v>3</v>
      </c>
      <c r="E85" s="106" t="s">
        <v>75</v>
      </c>
      <c r="F85" s="106" t="s">
        <v>127</v>
      </c>
      <c r="G85" s="106" t="s">
        <v>75</v>
      </c>
      <c r="H85" s="106" t="s">
        <v>29</v>
      </c>
      <c r="I85" s="106" t="s">
        <v>38</v>
      </c>
      <c r="J85" s="107" t="s">
        <v>16</v>
      </c>
      <c r="K85" s="107" t="s">
        <v>18</v>
      </c>
      <c r="L85" s="108">
        <v>121133</v>
      </c>
      <c r="M85" s="108">
        <v>446985</v>
      </c>
      <c r="N85" s="108">
        <v>282420</v>
      </c>
      <c r="O85" s="107" t="s">
        <v>58</v>
      </c>
      <c r="P85" s="109">
        <v>18000000</v>
      </c>
      <c r="Q85" s="109">
        <f t="shared" si="6"/>
        <v>148.59699668958913</v>
      </c>
      <c r="R85" s="109">
        <f t="shared" si="7"/>
        <v>40.269807711668179</v>
      </c>
      <c r="S85" s="109">
        <f t="shared" si="8"/>
        <v>63.734862970044617</v>
      </c>
      <c r="T85" s="110">
        <f t="shared" si="9"/>
        <v>0.63183328299607366</v>
      </c>
      <c r="U85" s="111">
        <f t="shared" si="10"/>
        <v>0.27100014541875006</v>
      </c>
      <c r="V85" s="115">
        <v>2016</v>
      </c>
      <c r="W85" s="113" t="s">
        <v>136</v>
      </c>
    </row>
    <row r="86" spans="1:23" s="114" customFormat="1" x14ac:dyDescent="0.2">
      <c r="A86" s="105">
        <v>327.00000000000097</v>
      </c>
      <c r="B86" s="106" t="s">
        <v>70</v>
      </c>
      <c r="C86" s="106" t="s">
        <v>2</v>
      </c>
      <c r="D86" s="106" t="s">
        <v>3</v>
      </c>
      <c r="E86" s="106" t="s">
        <v>75</v>
      </c>
      <c r="F86" s="106" t="s">
        <v>127</v>
      </c>
      <c r="G86" s="106" t="s">
        <v>75</v>
      </c>
      <c r="H86" s="106" t="s">
        <v>29</v>
      </c>
      <c r="I86" s="106" t="s">
        <v>38</v>
      </c>
      <c r="J86" s="107" t="s">
        <v>16</v>
      </c>
      <c r="K86" s="107" t="s">
        <v>18</v>
      </c>
      <c r="L86" s="108">
        <v>121133</v>
      </c>
      <c r="M86" s="108">
        <v>446985</v>
      </c>
      <c r="N86" s="108">
        <v>282420</v>
      </c>
      <c r="O86" s="107" t="s">
        <v>59</v>
      </c>
      <c r="P86" s="109">
        <v>1950000</v>
      </c>
      <c r="Q86" s="109">
        <f t="shared" si="6"/>
        <v>16.098007974705489</v>
      </c>
      <c r="R86" s="109">
        <f t="shared" si="7"/>
        <v>4.3625625020973855</v>
      </c>
      <c r="S86" s="109">
        <f t="shared" si="8"/>
        <v>6.9046101550881662</v>
      </c>
      <c r="T86" s="110">
        <f t="shared" si="9"/>
        <v>0.63183328299607366</v>
      </c>
      <c r="U86" s="111">
        <f t="shared" si="10"/>
        <v>0.27100014541875006</v>
      </c>
      <c r="V86" s="115">
        <v>2016</v>
      </c>
      <c r="W86" s="113" t="s">
        <v>136</v>
      </c>
    </row>
    <row r="87" spans="1:23" s="114" customFormat="1" x14ac:dyDescent="0.2">
      <c r="A87" s="105">
        <v>328.00000000000102</v>
      </c>
      <c r="B87" s="106" t="s">
        <v>70</v>
      </c>
      <c r="C87" s="106" t="s">
        <v>2</v>
      </c>
      <c r="D87" s="106" t="s">
        <v>3</v>
      </c>
      <c r="E87" s="106" t="s">
        <v>75</v>
      </c>
      <c r="F87" s="106" t="s">
        <v>127</v>
      </c>
      <c r="G87" s="106" t="s">
        <v>75</v>
      </c>
      <c r="H87" s="106" t="s">
        <v>29</v>
      </c>
      <c r="I87" s="106" t="s">
        <v>38</v>
      </c>
      <c r="J87" s="107" t="s">
        <v>16</v>
      </c>
      <c r="K87" s="107" t="s">
        <v>18</v>
      </c>
      <c r="L87" s="108">
        <v>121133</v>
      </c>
      <c r="M87" s="108">
        <v>446985</v>
      </c>
      <c r="N87" s="108">
        <v>282420</v>
      </c>
      <c r="O87" s="107" t="s">
        <v>60</v>
      </c>
      <c r="P87" s="109">
        <v>0</v>
      </c>
      <c r="Q87" s="109">
        <f t="shared" si="6"/>
        <v>0</v>
      </c>
      <c r="R87" s="109">
        <f t="shared" si="7"/>
        <v>0</v>
      </c>
      <c r="S87" s="109">
        <f t="shared" si="8"/>
        <v>0</v>
      </c>
      <c r="T87" s="110">
        <f t="shared" si="9"/>
        <v>0.63183328299607366</v>
      </c>
      <c r="U87" s="111">
        <f t="shared" si="10"/>
        <v>0.27100014541875006</v>
      </c>
      <c r="V87" s="115">
        <v>2016</v>
      </c>
      <c r="W87" s="113" t="s">
        <v>136</v>
      </c>
    </row>
    <row r="88" spans="1:23" s="114" customFormat="1" x14ac:dyDescent="0.2">
      <c r="A88" s="105">
        <v>329.00000000000097</v>
      </c>
      <c r="B88" s="106" t="s">
        <v>70</v>
      </c>
      <c r="C88" s="106" t="s">
        <v>2</v>
      </c>
      <c r="D88" s="106" t="s">
        <v>3</v>
      </c>
      <c r="E88" s="106" t="s">
        <v>75</v>
      </c>
      <c r="F88" s="106" t="s">
        <v>127</v>
      </c>
      <c r="G88" s="106" t="s">
        <v>75</v>
      </c>
      <c r="H88" s="106" t="s">
        <v>29</v>
      </c>
      <c r="I88" s="106" t="s">
        <v>38</v>
      </c>
      <c r="J88" s="107" t="s">
        <v>16</v>
      </c>
      <c r="K88" s="107" t="s">
        <v>18</v>
      </c>
      <c r="L88" s="108">
        <v>121133</v>
      </c>
      <c r="M88" s="108">
        <v>446985</v>
      </c>
      <c r="N88" s="108">
        <v>282420</v>
      </c>
      <c r="O88" s="107" t="s">
        <v>61</v>
      </c>
      <c r="P88" s="109">
        <v>14347888</v>
      </c>
      <c r="Q88" s="109">
        <f t="shared" si="6"/>
        <v>118.44739253547753</v>
      </c>
      <c r="R88" s="109">
        <f t="shared" si="7"/>
        <v>32.099260601586181</v>
      </c>
      <c r="S88" s="109">
        <f t="shared" si="8"/>
        <v>50.80337086608597</v>
      </c>
      <c r="T88" s="110">
        <f t="shared" si="9"/>
        <v>0.63183328299607366</v>
      </c>
      <c r="U88" s="111">
        <f t="shared" si="10"/>
        <v>0.27100014541875006</v>
      </c>
      <c r="V88" s="115">
        <v>2016</v>
      </c>
      <c r="W88" s="113" t="s">
        <v>136</v>
      </c>
    </row>
    <row r="89" spans="1:23" x14ac:dyDescent="0.2">
      <c r="A89" s="68">
        <v>401</v>
      </c>
      <c r="B89" s="69" t="s">
        <v>70</v>
      </c>
      <c r="C89" s="69" t="s">
        <v>2</v>
      </c>
      <c r="D89" s="69" t="s">
        <v>3</v>
      </c>
      <c r="E89" s="69" t="s">
        <v>37</v>
      </c>
      <c r="F89" s="69" t="s">
        <v>129</v>
      </c>
      <c r="G89" s="69" t="s">
        <v>36</v>
      </c>
      <c r="H89" s="69" t="s">
        <v>29</v>
      </c>
      <c r="I89" s="69" t="s">
        <v>38</v>
      </c>
      <c r="J89" s="70" t="s">
        <v>16</v>
      </c>
      <c r="K89" s="70" t="s">
        <v>18</v>
      </c>
      <c r="L89" s="71">
        <v>580094</v>
      </c>
      <c r="M89" s="71">
        <v>2044670</v>
      </c>
      <c r="N89" s="71">
        <v>710886</v>
      </c>
      <c r="O89" s="70" t="s">
        <v>24</v>
      </c>
      <c r="P89" s="72">
        <v>19449911</v>
      </c>
      <c r="Q89" s="72">
        <f t="shared" si="6"/>
        <v>33.528895316965873</v>
      </c>
      <c r="R89" s="72">
        <f t="shared" si="7"/>
        <v>9.5124939476785979</v>
      </c>
      <c r="S89" s="72">
        <f t="shared" si="8"/>
        <v>27.3600985249393</v>
      </c>
      <c r="T89" s="94">
        <f t="shared" si="9"/>
        <v>0.34767762034949407</v>
      </c>
      <c r="U89" s="101">
        <f t="shared" si="10"/>
        <v>0.28371032978426836</v>
      </c>
      <c r="V89" s="73">
        <v>2016</v>
      </c>
      <c r="W89" s="77" t="s">
        <v>136</v>
      </c>
    </row>
    <row r="90" spans="1:23" x14ac:dyDescent="0.2">
      <c r="A90" s="68">
        <v>401.99999999999994</v>
      </c>
      <c r="B90" s="69" t="s">
        <v>70</v>
      </c>
      <c r="C90" s="69" t="s">
        <v>2</v>
      </c>
      <c r="D90" s="69" t="s">
        <v>3</v>
      </c>
      <c r="E90" s="69" t="s">
        <v>37</v>
      </c>
      <c r="F90" s="69" t="s">
        <v>129</v>
      </c>
      <c r="G90" s="69" t="s">
        <v>36</v>
      </c>
      <c r="H90" s="69" t="s">
        <v>29</v>
      </c>
      <c r="I90" s="69" t="s">
        <v>38</v>
      </c>
      <c r="J90" s="70" t="s">
        <v>16</v>
      </c>
      <c r="K90" s="70" t="s">
        <v>18</v>
      </c>
      <c r="L90" s="71">
        <v>580094</v>
      </c>
      <c r="M90" s="71">
        <v>2044670</v>
      </c>
      <c r="N90" s="71">
        <v>710886</v>
      </c>
      <c r="O90" s="70" t="s">
        <v>44</v>
      </c>
      <c r="P90" s="72">
        <v>0</v>
      </c>
      <c r="Q90" s="72">
        <f t="shared" si="6"/>
        <v>0</v>
      </c>
      <c r="R90" s="72">
        <f t="shared" si="7"/>
        <v>0</v>
      </c>
      <c r="S90" s="72">
        <f t="shared" si="8"/>
        <v>0</v>
      </c>
      <c r="T90" s="94">
        <f t="shared" si="9"/>
        <v>0.34767762034949407</v>
      </c>
      <c r="U90" s="101">
        <f t="shared" si="10"/>
        <v>0.28371032978426836</v>
      </c>
      <c r="V90" s="73">
        <v>2016</v>
      </c>
      <c r="W90" s="77" t="s">
        <v>136</v>
      </c>
    </row>
    <row r="91" spans="1:23" x14ac:dyDescent="0.2">
      <c r="A91" s="68">
        <v>403</v>
      </c>
      <c r="B91" s="69" t="s">
        <v>70</v>
      </c>
      <c r="C91" s="69" t="s">
        <v>2</v>
      </c>
      <c r="D91" s="69" t="s">
        <v>3</v>
      </c>
      <c r="E91" s="69" t="s">
        <v>37</v>
      </c>
      <c r="F91" s="69" t="s">
        <v>129</v>
      </c>
      <c r="G91" s="69" t="s">
        <v>36</v>
      </c>
      <c r="H91" s="69" t="s">
        <v>29</v>
      </c>
      <c r="I91" s="69" t="s">
        <v>38</v>
      </c>
      <c r="J91" s="70" t="s">
        <v>16</v>
      </c>
      <c r="K91" s="70" t="s">
        <v>18</v>
      </c>
      <c r="L91" s="71">
        <v>580094</v>
      </c>
      <c r="M91" s="71">
        <v>2044670</v>
      </c>
      <c r="N91" s="71">
        <v>710886</v>
      </c>
      <c r="O91" s="70" t="s">
        <v>45</v>
      </c>
      <c r="P91" s="72">
        <v>0</v>
      </c>
      <c r="Q91" s="72">
        <f t="shared" si="6"/>
        <v>0</v>
      </c>
      <c r="R91" s="72">
        <f t="shared" si="7"/>
        <v>0</v>
      </c>
      <c r="S91" s="72">
        <f t="shared" si="8"/>
        <v>0</v>
      </c>
      <c r="T91" s="94">
        <f t="shared" si="9"/>
        <v>0.34767762034949407</v>
      </c>
      <c r="U91" s="101">
        <f t="shared" si="10"/>
        <v>0.28371032978426836</v>
      </c>
      <c r="V91" s="73">
        <v>2016</v>
      </c>
      <c r="W91" s="77" t="s">
        <v>136</v>
      </c>
    </row>
    <row r="92" spans="1:23" x14ac:dyDescent="0.2">
      <c r="A92" s="68">
        <v>404</v>
      </c>
      <c r="B92" s="69" t="s">
        <v>70</v>
      </c>
      <c r="C92" s="69" t="s">
        <v>2</v>
      </c>
      <c r="D92" s="69" t="s">
        <v>3</v>
      </c>
      <c r="E92" s="69" t="s">
        <v>37</v>
      </c>
      <c r="F92" s="69" t="s">
        <v>129</v>
      </c>
      <c r="G92" s="69" t="s">
        <v>36</v>
      </c>
      <c r="H92" s="69" t="s">
        <v>29</v>
      </c>
      <c r="I92" s="69" t="s">
        <v>38</v>
      </c>
      <c r="J92" s="70" t="s">
        <v>16</v>
      </c>
      <c r="K92" s="70" t="s">
        <v>18</v>
      </c>
      <c r="L92" s="71">
        <v>580094</v>
      </c>
      <c r="M92" s="71">
        <v>2044670</v>
      </c>
      <c r="N92" s="71">
        <v>710886</v>
      </c>
      <c r="O92" s="70" t="s">
        <v>14</v>
      </c>
      <c r="P92" s="72">
        <v>33077291</v>
      </c>
      <c r="Q92" s="72">
        <f t="shared" si="6"/>
        <v>57.020570804042102</v>
      </c>
      <c r="R92" s="72">
        <f t="shared" si="7"/>
        <v>16.177324947302008</v>
      </c>
      <c r="S92" s="72">
        <f t="shared" si="8"/>
        <v>46.529670017414887</v>
      </c>
      <c r="T92" s="94">
        <f t="shared" si="9"/>
        <v>0.34767762034949407</v>
      </c>
      <c r="U92" s="101">
        <f t="shared" si="10"/>
        <v>0.28371032978426836</v>
      </c>
      <c r="V92" s="73">
        <v>2016</v>
      </c>
      <c r="W92" s="77" t="s">
        <v>136</v>
      </c>
    </row>
    <row r="93" spans="1:23" x14ac:dyDescent="0.2">
      <c r="A93" s="68">
        <v>405</v>
      </c>
      <c r="B93" s="69" t="s">
        <v>70</v>
      </c>
      <c r="C93" s="69" t="s">
        <v>2</v>
      </c>
      <c r="D93" s="69" t="s">
        <v>3</v>
      </c>
      <c r="E93" s="69" t="s">
        <v>37</v>
      </c>
      <c r="F93" s="69" t="s">
        <v>129</v>
      </c>
      <c r="G93" s="69" t="s">
        <v>36</v>
      </c>
      <c r="H93" s="69" t="s">
        <v>29</v>
      </c>
      <c r="I93" s="69" t="s">
        <v>38</v>
      </c>
      <c r="J93" s="70" t="s">
        <v>16</v>
      </c>
      <c r="K93" s="70" t="s">
        <v>18</v>
      </c>
      <c r="L93" s="71">
        <v>580094</v>
      </c>
      <c r="M93" s="71">
        <v>2044670</v>
      </c>
      <c r="N93" s="71">
        <v>710886</v>
      </c>
      <c r="O93" s="70" t="s">
        <v>22</v>
      </c>
      <c r="P93" s="72">
        <v>33797356</v>
      </c>
      <c r="Q93" s="72">
        <f t="shared" si="6"/>
        <v>58.261861008733071</v>
      </c>
      <c r="R93" s="72">
        <f t="shared" si="7"/>
        <v>16.529491800632865</v>
      </c>
      <c r="S93" s="72">
        <f t="shared" si="8"/>
        <v>47.542582073637689</v>
      </c>
      <c r="T93" s="94">
        <f t="shared" si="9"/>
        <v>0.34767762034949407</v>
      </c>
      <c r="U93" s="101">
        <f t="shared" si="10"/>
        <v>0.28371032978426836</v>
      </c>
      <c r="V93" s="73">
        <v>2016</v>
      </c>
      <c r="W93" s="77" t="s">
        <v>136</v>
      </c>
    </row>
    <row r="94" spans="1:23" x14ac:dyDescent="0.2">
      <c r="A94" s="68">
        <v>405.99999999999994</v>
      </c>
      <c r="B94" s="69" t="s">
        <v>70</v>
      </c>
      <c r="C94" s="69" t="s">
        <v>2</v>
      </c>
      <c r="D94" s="69" t="s">
        <v>3</v>
      </c>
      <c r="E94" s="69" t="s">
        <v>37</v>
      </c>
      <c r="F94" s="69" t="s">
        <v>129</v>
      </c>
      <c r="G94" s="69" t="s">
        <v>36</v>
      </c>
      <c r="H94" s="69" t="s">
        <v>29</v>
      </c>
      <c r="I94" s="69" t="s">
        <v>38</v>
      </c>
      <c r="J94" s="70" t="s">
        <v>16</v>
      </c>
      <c r="K94" s="70" t="s">
        <v>18</v>
      </c>
      <c r="L94" s="71">
        <v>580094</v>
      </c>
      <c r="M94" s="71">
        <v>2044670</v>
      </c>
      <c r="N94" s="71">
        <v>710886</v>
      </c>
      <c r="O94" s="70" t="s">
        <v>20</v>
      </c>
      <c r="P94" s="72">
        <v>27138491</v>
      </c>
      <c r="Q94" s="72">
        <f t="shared" si="6"/>
        <v>46.782919664743993</v>
      </c>
      <c r="R94" s="72">
        <f t="shared" si="7"/>
        <v>13.27279756635545</v>
      </c>
      <c r="S94" s="72">
        <f t="shared" si="8"/>
        <v>38.175587928303557</v>
      </c>
      <c r="T94" s="94">
        <f t="shared" si="9"/>
        <v>0.34767762034949407</v>
      </c>
      <c r="U94" s="101">
        <f t="shared" si="10"/>
        <v>0.28371032978426836</v>
      </c>
      <c r="V94" s="73">
        <v>2016</v>
      </c>
      <c r="W94" s="77" t="s">
        <v>136</v>
      </c>
    </row>
    <row r="95" spans="1:23" x14ac:dyDescent="0.2">
      <c r="A95" s="68">
        <v>407</v>
      </c>
      <c r="B95" s="69" t="s">
        <v>70</v>
      </c>
      <c r="C95" s="69" t="s">
        <v>2</v>
      </c>
      <c r="D95" s="69" t="s">
        <v>3</v>
      </c>
      <c r="E95" s="69" t="s">
        <v>37</v>
      </c>
      <c r="F95" s="69" t="s">
        <v>129</v>
      </c>
      <c r="G95" s="69" t="s">
        <v>36</v>
      </c>
      <c r="H95" s="69" t="s">
        <v>29</v>
      </c>
      <c r="I95" s="69" t="s">
        <v>38</v>
      </c>
      <c r="J95" s="70" t="s">
        <v>16</v>
      </c>
      <c r="K95" s="70" t="s">
        <v>18</v>
      </c>
      <c r="L95" s="71">
        <v>580094</v>
      </c>
      <c r="M95" s="71">
        <v>2044670</v>
      </c>
      <c r="N95" s="71">
        <v>710886</v>
      </c>
      <c r="O95" s="70" t="s">
        <v>23</v>
      </c>
      <c r="P95" s="72">
        <v>23519786</v>
      </c>
      <c r="Q95" s="72">
        <f t="shared" si="6"/>
        <v>40.544784121194148</v>
      </c>
      <c r="R95" s="72">
        <f t="shared" si="7"/>
        <v>11.50297407405596</v>
      </c>
      <c r="S95" s="72">
        <f t="shared" si="8"/>
        <v>33.085172587447211</v>
      </c>
      <c r="T95" s="94">
        <f t="shared" si="9"/>
        <v>0.34767762034949407</v>
      </c>
      <c r="U95" s="101">
        <f t="shared" si="10"/>
        <v>0.28371032978426836</v>
      </c>
      <c r="V95" s="74">
        <v>2016</v>
      </c>
      <c r="W95" s="77" t="s">
        <v>136</v>
      </c>
    </row>
    <row r="96" spans="1:23" x14ac:dyDescent="0.2">
      <c r="A96" s="68">
        <v>408</v>
      </c>
      <c r="B96" s="69" t="s">
        <v>70</v>
      </c>
      <c r="C96" s="69" t="s">
        <v>2</v>
      </c>
      <c r="D96" s="69" t="s">
        <v>3</v>
      </c>
      <c r="E96" s="69" t="s">
        <v>37</v>
      </c>
      <c r="F96" s="69" t="s">
        <v>129</v>
      </c>
      <c r="G96" s="69" t="s">
        <v>36</v>
      </c>
      <c r="H96" s="69" t="s">
        <v>29</v>
      </c>
      <c r="I96" s="69" t="s">
        <v>38</v>
      </c>
      <c r="J96" s="70" t="s">
        <v>16</v>
      </c>
      <c r="K96" s="70" t="s">
        <v>18</v>
      </c>
      <c r="L96" s="71">
        <v>580094</v>
      </c>
      <c r="M96" s="71">
        <v>2044670</v>
      </c>
      <c r="N96" s="71">
        <v>710886</v>
      </c>
      <c r="O96" s="70" t="s">
        <v>43</v>
      </c>
      <c r="P96" s="72">
        <v>22532960</v>
      </c>
      <c r="Q96" s="72">
        <f t="shared" si="6"/>
        <v>38.843635686630101</v>
      </c>
      <c r="R96" s="72">
        <f t="shared" si="7"/>
        <v>11.0203406906738</v>
      </c>
      <c r="S96" s="72">
        <f t="shared" si="8"/>
        <v>31.697009084438292</v>
      </c>
      <c r="T96" s="94">
        <f t="shared" si="9"/>
        <v>0.34767762034949407</v>
      </c>
      <c r="U96" s="101">
        <f t="shared" si="10"/>
        <v>0.28371032978426836</v>
      </c>
      <c r="V96" s="74">
        <v>2016</v>
      </c>
      <c r="W96" s="77" t="s">
        <v>136</v>
      </c>
    </row>
    <row r="97" spans="1:23" x14ac:dyDescent="0.2">
      <c r="A97" s="68">
        <v>409</v>
      </c>
      <c r="B97" s="69" t="s">
        <v>70</v>
      </c>
      <c r="C97" s="69" t="s">
        <v>2</v>
      </c>
      <c r="D97" s="69" t="s">
        <v>3</v>
      </c>
      <c r="E97" s="69" t="s">
        <v>37</v>
      </c>
      <c r="F97" s="69" t="s">
        <v>129</v>
      </c>
      <c r="G97" s="69" t="s">
        <v>36</v>
      </c>
      <c r="H97" s="69" t="s">
        <v>29</v>
      </c>
      <c r="I97" s="69" t="s">
        <v>38</v>
      </c>
      <c r="J97" s="70" t="s">
        <v>16</v>
      </c>
      <c r="K97" s="70" t="s">
        <v>18</v>
      </c>
      <c r="L97" s="71">
        <v>580094</v>
      </c>
      <c r="M97" s="71">
        <v>2044670</v>
      </c>
      <c r="N97" s="71">
        <v>710886</v>
      </c>
      <c r="O97" s="70" t="s">
        <v>46</v>
      </c>
      <c r="P97" s="72">
        <v>0</v>
      </c>
      <c r="Q97" s="72">
        <f t="shared" si="6"/>
        <v>0</v>
      </c>
      <c r="R97" s="72">
        <f t="shared" si="7"/>
        <v>0</v>
      </c>
      <c r="S97" s="72">
        <f t="shared" si="8"/>
        <v>0</v>
      </c>
      <c r="T97" s="94">
        <f t="shared" si="9"/>
        <v>0.34767762034949407</v>
      </c>
      <c r="U97" s="101">
        <f t="shared" si="10"/>
        <v>0.28371032978426836</v>
      </c>
      <c r="V97" s="74">
        <v>2016</v>
      </c>
      <c r="W97" s="77" t="s">
        <v>136</v>
      </c>
    </row>
    <row r="98" spans="1:23" x14ac:dyDescent="0.2">
      <c r="A98" s="68">
        <v>409.99999999999994</v>
      </c>
      <c r="B98" s="69" t="s">
        <v>70</v>
      </c>
      <c r="C98" s="69" t="s">
        <v>2</v>
      </c>
      <c r="D98" s="69" t="s">
        <v>3</v>
      </c>
      <c r="E98" s="69" t="s">
        <v>37</v>
      </c>
      <c r="F98" s="69" t="s">
        <v>129</v>
      </c>
      <c r="G98" s="69" t="s">
        <v>36</v>
      </c>
      <c r="H98" s="69" t="s">
        <v>29</v>
      </c>
      <c r="I98" s="69" t="s">
        <v>38</v>
      </c>
      <c r="J98" s="70" t="s">
        <v>16</v>
      </c>
      <c r="K98" s="70" t="s">
        <v>18</v>
      </c>
      <c r="L98" s="71">
        <v>580094</v>
      </c>
      <c r="M98" s="71">
        <v>2044670</v>
      </c>
      <c r="N98" s="71">
        <v>710886</v>
      </c>
      <c r="O98" s="70" t="s">
        <v>34</v>
      </c>
      <c r="P98" s="72">
        <v>4878211</v>
      </c>
      <c r="Q98" s="72">
        <f t="shared" si="6"/>
        <v>8.4093457267270484</v>
      </c>
      <c r="R98" s="72">
        <f t="shared" si="7"/>
        <v>2.3858182493996587</v>
      </c>
      <c r="S98" s="72">
        <f t="shared" si="8"/>
        <v>6.8621565201734178</v>
      </c>
      <c r="T98" s="94">
        <f t="shared" si="9"/>
        <v>0.34767762034949407</v>
      </c>
      <c r="U98" s="101">
        <f t="shared" si="10"/>
        <v>0.28371032978426836</v>
      </c>
      <c r="V98" s="74">
        <v>2016</v>
      </c>
      <c r="W98" s="77" t="s">
        <v>136</v>
      </c>
    </row>
    <row r="99" spans="1:23" x14ac:dyDescent="0.2">
      <c r="A99" s="68">
        <v>411.00000000000006</v>
      </c>
      <c r="B99" s="69" t="s">
        <v>70</v>
      </c>
      <c r="C99" s="69" t="s">
        <v>2</v>
      </c>
      <c r="D99" s="69" t="s">
        <v>3</v>
      </c>
      <c r="E99" s="69" t="s">
        <v>37</v>
      </c>
      <c r="F99" s="69" t="s">
        <v>129</v>
      </c>
      <c r="G99" s="69" t="s">
        <v>36</v>
      </c>
      <c r="H99" s="69" t="s">
        <v>29</v>
      </c>
      <c r="I99" s="69" t="s">
        <v>38</v>
      </c>
      <c r="J99" s="70" t="s">
        <v>16</v>
      </c>
      <c r="K99" s="70" t="s">
        <v>18</v>
      </c>
      <c r="L99" s="71">
        <v>580094</v>
      </c>
      <c r="M99" s="71">
        <v>2044670</v>
      </c>
      <c r="N99" s="71">
        <v>710886</v>
      </c>
      <c r="O99" s="70" t="s">
        <v>26</v>
      </c>
      <c r="P99" s="72">
        <v>112094638</v>
      </c>
      <c r="Q99" s="72">
        <f t="shared" si="6"/>
        <v>193.23529979623993</v>
      </c>
      <c r="R99" s="72">
        <f t="shared" si="7"/>
        <v>54.822850631153194</v>
      </c>
      <c r="S99" s="72">
        <f t="shared" si="8"/>
        <v>157.68300121257136</v>
      </c>
      <c r="T99" s="94">
        <f t="shared" si="9"/>
        <v>0.34767762034949407</v>
      </c>
      <c r="U99" s="101">
        <f t="shared" si="10"/>
        <v>0.28371032978426836</v>
      </c>
      <c r="V99" s="74">
        <v>2016</v>
      </c>
      <c r="W99" s="77" t="s">
        <v>136</v>
      </c>
    </row>
    <row r="100" spans="1:23" x14ac:dyDescent="0.2">
      <c r="A100" s="68">
        <v>412</v>
      </c>
      <c r="B100" s="69" t="s">
        <v>70</v>
      </c>
      <c r="C100" s="69" t="s">
        <v>2</v>
      </c>
      <c r="D100" s="69" t="s">
        <v>3</v>
      </c>
      <c r="E100" s="69" t="s">
        <v>37</v>
      </c>
      <c r="F100" s="69" t="s">
        <v>129</v>
      </c>
      <c r="G100" s="69" t="s">
        <v>36</v>
      </c>
      <c r="H100" s="69" t="s">
        <v>29</v>
      </c>
      <c r="I100" s="69" t="s">
        <v>38</v>
      </c>
      <c r="J100" s="70" t="s">
        <v>16</v>
      </c>
      <c r="K100" s="70" t="s">
        <v>18</v>
      </c>
      <c r="L100" s="71">
        <v>580094</v>
      </c>
      <c r="M100" s="71">
        <v>2044670</v>
      </c>
      <c r="N100" s="71">
        <v>710886</v>
      </c>
      <c r="O100" s="70" t="s">
        <v>28</v>
      </c>
      <c r="P100" s="72">
        <v>13398795</v>
      </c>
      <c r="Q100" s="72">
        <f t="shared" si="6"/>
        <v>23.097627281095821</v>
      </c>
      <c r="R100" s="72">
        <f t="shared" si="7"/>
        <v>6.55303545315381</v>
      </c>
      <c r="S100" s="72">
        <f t="shared" si="8"/>
        <v>18.84802204572885</v>
      </c>
      <c r="T100" s="94">
        <f t="shared" si="9"/>
        <v>0.34767762034949407</v>
      </c>
      <c r="U100" s="101">
        <f t="shared" si="10"/>
        <v>0.28371032978426836</v>
      </c>
      <c r="V100" s="74">
        <v>2016</v>
      </c>
      <c r="W100" s="77" t="s">
        <v>136</v>
      </c>
    </row>
    <row r="101" spans="1:23" x14ac:dyDescent="0.2">
      <c r="A101" s="68">
        <v>413</v>
      </c>
      <c r="B101" s="69" t="s">
        <v>70</v>
      </c>
      <c r="C101" s="69" t="s">
        <v>2</v>
      </c>
      <c r="D101" s="69" t="s">
        <v>3</v>
      </c>
      <c r="E101" s="69" t="s">
        <v>37</v>
      </c>
      <c r="F101" s="69" t="s">
        <v>129</v>
      </c>
      <c r="G101" s="69" t="s">
        <v>36</v>
      </c>
      <c r="H101" s="69" t="s">
        <v>29</v>
      </c>
      <c r="I101" s="69" t="s">
        <v>38</v>
      </c>
      <c r="J101" s="70" t="s">
        <v>16</v>
      </c>
      <c r="K101" s="70" t="s">
        <v>18</v>
      </c>
      <c r="L101" s="71">
        <v>580094</v>
      </c>
      <c r="M101" s="71">
        <v>2044670</v>
      </c>
      <c r="N101" s="71">
        <v>710886</v>
      </c>
      <c r="O101" s="70" t="s">
        <v>47</v>
      </c>
      <c r="P101" s="72">
        <v>0</v>
      </c>
      <c r="Q101" s="72">
        <f t="shared" si="6"/>
        <v>0</v>
      </c>
      <c r="R101" s="72">
        <f t="shared" si="7"/>
        <v>0</v>
      </c>
      <c r="S101" s="72">
        <f t="shared" si="8"/>
        <v>0</v>
      </c>
      <c r="T101" s="94">
        <f t="shared" si="9"/>
        <v>0.34767762034949407</v>
      </c>
      <c r="U101" s="101">
        <f t="shared" si="10"/>
        <v>0.28371032978426836</v>
      </c>
      <c r="V101" s="73">
        <v>2016</v>
      </c>
      <c r="W101" s="77" t="s">
        <v>136</v>
      </c>
    </row>
    <row r="102" spans="1:23" x14ac:dyDescent="0.2">
      <c r="A102" s="68">
        <v>413.99999999999994</v>
      </c>
      <c r="B102" s="69" t="s">
        <v>70</v>
      </c>
      <c r="C102" s="69" t="s">
        <v>2</v>
      </c>
      <c r="D102" s="69" t="s">
        <v>3</v>
      </c>
      <c r="E102" s="69" t="s">
        <v>37</v>
      </c>
      <c r="F102" s="69" t="s">
        <v>129</v>
      </c>
      <c r="G102" s="69" t="s">
        <v>36</v>
      </c>
      <c r="H102" s="69" t="s">
        <v>29</v>
      </c>
      <c r="I102" s="69" t="s">
        <v>38</v>
      </c>
      <c r="J102" s="70" t="s">
        <v>16</v>
      </c>
      <c r="K102" s="70" t="s">
        <v>18</v>
      </c>
      <c r="L102" s="71">
        <v>580094</v>
      </c>
      <c r="M102" s="71">
        <v>2044670</v>
      </c>
      <c r="N102" s="71">
        <v>710886</v>
      </c>
      <c r="O102" s="70" t="s">
        <v>27</v>
      </c>
      <c r="P102" s="72">
        <v>17874792</v>
      </c>
      <c r="Q102" s="72">
        <f t="shared" si="6"/>
        <v>30.813612966174446</v>
      </c>
      <c r="R102" s="72">
        <f t="shared" si="7"/>
        <v>8.7421402964781603</v>
      </c>
      <c r="S102" s="72">
        <f t="shared" si="8"/>
        <v>25.144386019699361</v>
      </c>
      <c r="T102" s="94">
        <f t="shared" si="9"/>
        <v>0.34767762034949407</v>
      </c>
      <c r="U102" s="101">
        <f t="shared" si="10"/>
        <v>0.28371032978426836</v>
      </c>
      <c r="V102" s="74">
        <v>2016</v>
      </c>
      <c r="W102" s="77" t="s">
        <v>136</v>
      </c>
    </row>
    <row r="103" spans="1:23" x14ac:dyDescent="0.2">
      <c r="A103" s="68">
        <v>415.00000000000006</v>
      </c>
      <c r="B103" s="69" t="s">
        <v>70</v>
      </c>
      <c r="C103" s="69" t="s">
        <v>2</v>
      </c>
      <c r="D103" s="69" t="s">
        <v>3</v>
      </c>
      <c r="E103" s="69" t="s">
        <v>37</v>
      </c>
      <c r="F103" s="69" t="s">
        <v>129</v>
      </c>
      <c r="G103" s="69" t="s">
        <v>36</v>
      </c>
      <c r="H103" s="69" t="s">
        <v>29</v>
      </c>
      <c r="I103" s="69" t="s">
        <v>38</v>
      </c>
      <c r="J103" s="70" t="s">
        <v>16</v>
      </c>
      <c r="K103" s="70" t="s">
        <v>18</v>
      </c>
      <c r="L103" s="71">
        <v>580094</v>
      </c>
      <c r="M103" s="71">
        <v>2044670</v>
      </c>
      <c r="N103" s="71">
        <v>710886</v>
      </c>
      <c r="O103" s="70" t="s">
        <v>48</v>
      </c>
      <c r="P103" s="72">
        <v>0</v>
      </c>
      <c r="Q103" s="72">
        <f t="shared" si="6"/>
        <v>0</v>
      </c>
      <c r="R103" s="72">
        <f t="shared" si="7"/>
        <v>0</v>
      </c>
      <c r="S103" s="72">
        <f t="shared" si="8"/>
        <v>0</v>
      </c>
      <c r="T103" s="94">
        <f t="shared" si="9"/>
        <v>0.34767762034949407</v>
      </c>
      <c r="U103" s="101">
        <f t="shared" si="10"/>
        <v>0.28371032978426836</v>
      </c>
      <c r="V103" s="74">
        <v>2016</v>
      </c>
      <c r="W103" s="77" t="s">
        <v>136</v>
      </c>
    </row>
    <row r="104" spans="1:23" x14ac:dyDescent="0.2">
      <c r="A104" s="68">
        <v>416</v>
      </c>
      <c r="B104" s="69" t="s">
        <v>70</v>
      </c>
      <c r="C104" s="69" t="s">
        <v>2</v>
      </c>
      <c r="D104" s="69" t="s">
        <v>3</v>
      </c>
      <c r="E104" s="69" t="s">
        <v>37</v>
      </c>
      <c r="F104" s="69" t="s">
        <v>129</v>
      </c>
      <c r="G104" s="69" t="s">
        <v>36</v>
      </c>
      <c r="H104" s="69" t="s">
        <v>29</v>
      </c>
      <c r="I104" s="69" t="s">
        <v>38</v>
      </c>
      <c r="J104" s="70" t="s">
        <v>16</v>
      </c>
      <c r="K104" s="70" t="s">
        <v>18</v>
      </c>
      <c r="L104" s="71">
        <v>580094</v>
      </c>
      <c r="M104" s="71">
        <v>2044670</v>
      </c>
      <c r="N104" s="71">
        <v>710886</v>
      </c>
      <c r="O104" s="70" t="s">
        <v>49</v>
      </c>
      <c r="P104" s="72">
        <v>0</v>
      </c>
      <c r="Q104" s="72">
        <f t="shared" si="6"/>
        <v>0</v>
      </c>
      <c r="R104" s="72">
        <f t="shared" si="7"/>
        <v>0</v>
      </c>
      <c r="S104" s="72">
        <f t="shared" si="8"/>
        <v>0</v>
      </c>
      <c r="T104" s="94">
        <f t="shared" si="9"/>
        <v>0.34767762034949407</v>
      </c>
      <c r="U104" s="101">
        <f t="shared" si="10"/>
        <v>0.28371032978426836</v>
      </c>
      <c r="V104" s="74">
        <v>2016</v>
      </c>
      <c r="W104" s="77" t="s">
        <v>136</v>
      </c>
    </row>
    <row r="105" spans="1:23" x14ac:dyDescent="0.2">
      <c r="A105" s="68">
        <v>417</v>
      </c>
      <c r="B105" s="69" t="s">
        <v>70</v>
      </c>
      <c r="C105" s="69" t="s">
        <v>2</v>
      </c>
      <c r="D105" s="69" t="s">
        <v>3</v>
      </c>
      <c r="E105" s="69" t="s">
        <v>37</v>
      </c>
      <c r="F105" s="69" t="s">
        <v>129</v>
      </c>
      <c r="G105" s="69" t="s">
        <v>36</v>
      </c>
      <c r="H105" s="69" t="s">
        <v>29</v>
      </c>
      <c r="I105" s="69" t="s">
        <v>38</v>
      </c>
      <c r="J105" s="70" t="s">
        <v>16</v>
      </c>
      <c r="K105" s="70" t="s">
        <v>18</v>
      </c>
      <c r="L105" s="71">
        <v>580094</v>
      </c>
      <c r="M105" s="71">
        <v>2044670</v>
      </c>
      <c r="N105" s="71">
        <v>710886</v>
      </c>
      <c r="O105" s="70" t="s">
        <v>50</v>
      </c>
      <c r="P105" s="72">
        <v>0</v>
      </c>
      <c r="Q105" s="72">
        <f t="shared" si="6"/>
        <v>0</v>
      </c>
      <c r="R105" s="72">
        <f t="shared" si="7"/>
        <v>0</v>
      </c>
      <c r="S105" s="72">
        <f t="shared" si="8"/>
        <v>0</v>
      </c>
      <c r="T105" s="94">
        <f t="shared" si="9"/>
        <v>0.34767762034949407</v>
      </c>
      <c r="U105" s="101">
        <f t="shared" si="10"/>
        <v>0.28371032978426836</v>
      </c>
      <c r="V105" s="74">
        <v>2016</v>
      </c>
      <c r="W105" s="77" t="s">
        <v>136</v>
      </c>
    </row>
    <row r="106" spans="1:23" x14ac:dyDescent="0.2">
      <c r="A106" s="68">
        <v>418</v>
      </c>
      <c r="B106" s="69" t="s">
        <v>70</v>
      </c>
      <c r="C106" s="69" t="s">
        <v>2</v>
      </c>
      <c r="D106" s="69" t="s">
        <v>3</v>
      </c>
      <c r="E106" s="69" t="s">
        <v>37</v>
      </c>
      <c r="F106" s="69" t="s">
        <v>129</v>
      </c>
      <c r="G106" s="69" t="s">
        <v>36</v>
      </c>
      <c r="H106" s="69" t="s">
        <v>29</v>
      </c>
      <c r="I106" s="69" t="s">
        <v>38</v>
      </c>
      <c r="J106" s="70" t="s">
        <v>16</v>
      </c>
      <c r="K106" s="70" t="s">
        <v>18</v>
      </c>
      <c r="L106" s="71">
        <v>580094</v>
      </c>
      <c r="M106" s="71">
        <v>2044670</v>
      </c>
      <c r="N106" s="71">
        <v>710886</v>
      </c>
      <c r="O106" s="70" t="s">
        <v>51</v>
      </c>
      <c r="P106" s="72">
        <v>0</v>
      </c>
      <c r="Q106" s="72">
        <f t="shared" si="6"/>
        <v>0</v>
      </c>
      <c r="R106" s="72">
        <f t="shared" si="7"/>
        <v>0</v>
      </c>
      <c r="S106" s="72">
        <f t="shared" si="8"/>
        <v>0</v>
      </c>
      <c r="T106" s="94">
        <f t="shared" si="9"/>
        <v>0.34767762034949407</v>
      </c>
      <c r="U106" s="101">
        <f t="shared" si="10"/>
        <v>0.28371032978426836</v>
      </c>
      <c r="V106" s="74">
        <v>2016</v>
      </c>
      <c r="W106" s="77" t="s">
        <v>136</v>
      </c>
    </row>
    <row r="107" spans="1:23" x14ac:dyDescent="0.2">
      <c r="A107" s="68">
        <v>419.00000000000006</v>
      </c>
      <c r="B107" s="69" t="s">
        <v>70</v>
      </c>
      <c r="C107" s="69" t="s">
        <v>2</v>
      </c>
      <c r="D107" s="69" t="s">
        <v>3</v>
      </c>
      <c r="E107" s="69" t="s">
        <v>37</v>
      </c>
      <c r="F107" s="69" t="s">
        <v>129</v>
      </c>
      <c r="G107" s="69" t="s">
        <v>36</v>
      </c>
      <c r="H107" s="69" t="s">
        <v>29</v>
      </c>
      <c r="I107" s="69" t="s">
        <v>38</v>
      </c>
      <c r="J107" s="70" t="s">
        <v>16</v>
      </c>
      <c r="K107" s="70" t="s">
        <v>18</v>
      </c>
      <c r="L107" s="71">
        <v>580094</v>
      </c>
      <c r="M107" s="71">
        <v>2044670</v>
      </c>
      <c r="N107" s="71">
        <v>710886</v>
      </c>
      <c r="O107" s="70" t="s">
        <v>52</v>
      </c>
      <c r="P107" s="72">
        <v>0</v>
      </c>
      <c r="Q107" s="72">
        <f t="shared" si="6"/>
        <v>0</v>
      </c>
      <c r="R107" s="72">
        <f t="shared" si="7"/>
        <v>0</v>
      </c>
      <c r="S107" s="72">
        <f t="shared" si="8"/>
        <v>0</v>
      </c>
      <c r="T107" s="94">
        <f t="shared" si="9"/>
        <v>0.34767762034949407</v>
      </c>
      <c r="U107" s="101">
        <f t="shared" si="10"/>
        <v>0.28371032978426836</v>
      </c>
      <c r="V107" s="74">
        <v>2016</v>
      </c>
      <c r="W107" s="77" t="s">
        <v>136</v>
      </c>
    </row>
    <row r="108" spans="1:23" x14ac:dyDescent="0.2">
      <c r="A108" s="68">
        <v>420</v>
      </c>
      <c r="B108" s="69" t="s">
        <v>70</v>
      </c>
      <c r="C108" s="69" t="s">
        <v>2</v>
      </c>
      <c r="D108" s="69" t="s">
        <v>3</v>
      </c>
      <c r="E108" s="69" t="s">
        <v>37</v>
      </c>
      <c r="F108" s="69" t="s">
        <v>129</v>
      </c>
      <c r="G108" s="69" t="s">
        <v>36</v>
      </c>
      <c r="H108" s="69" t="s">
        <v>29</v>
      </c>
      <c r="I108" s="69" t="s">
        <v>38</v>
      </c>
      <c r="J108" s="70" t="s">
        <v>16</v>
      </c>
      <c r="K108" s="70" t="s">
        <v>18</v>
      </c>
      <c r="L108" s="71">
        <v>580094</v>
      </c>
      <c r="M108" s="71">
        <v>2044670</v>
      </c>
      <c r="N108" s="71">
        <v>710886</v>
      </c>
      <c r="O108" s="70" t="s">
        <v>53</v>
      </c>
      <c r="P108" s="72">
        <v>0</v>
      </c>
      <c r="Q108" s="72">
        <f t="shared" si="6"/>
        <v>0</v>
      </c>
      <c r="R108" s="72">
        <f t="shared" si="7"/>
        <v>0</v>
      </c>
      <c r="S108" s="72">
        <f t="shared" si="8"/>
        <v>0</v>
      </c>
      <c r="T108" s="94">
        <f t="shared" si="9"/>
        <v>0.34767762034949407</v>
      </c>
      <c r="U108" s="101">
        <f t="shared" si="10"/>
        <v>0.28371032978426836</v>
      </c>
      <c r="V108" s="74">
        <v>2016</v>
      </c>
      <c r="W108" s="77" t="s">
        <v>136</v>
      </c>
    </row>
    <row r="109" spans="1:23" x14ac:dyDescent="0.2">
      <c r="A109" s="68">
        <v>421</v>
      </c>
      <c r="B109" s="69" t="s">
        <v>70</v>
      </c>
      <c r="C109" s="69" t="s">
        <v>2</v>
      </c>
      <c r="D109" s="69" t="s">
        <v>3</v>
      </c>
      <c r="E109" s="69" t="s">
        <v>37</v>
      </c>
      <c r="F109" s="69" t="s">
        <v>129</v>
      </c>
      <c r="G109" s="69" t="s">
        <v>36</v>
      </c>
      <c r="H109" s="69" t="s">
        <v>29</v>
      </c>
      <c r="I109" s="69" t="s">
        <v>38</v>
      </c>
      <c r="J109" s="70" t="s">
        <v>16</v>
      </c>
      <c r="K109" s="70" t="s">
        <v>18</v>
      </c>
      <c r="L109" s="71">
        <v>580094</v>
      </c>
      <c r="M109" s="71">
        <v>2044670</v>
      </c>
      <c r="N109" s="71">
        <v>710886</v>
      </c>
      <c r="O109" s="70" t="s">
        <v>54</v>
      </c>
      <c r="P109" s="72">
        <v>0</v>
      </c>
      <c r="Q109" s="72">
        <f t="shared" si="6"/>
        <v>0</v>
      </c>
      <c r="R109" s="72">
        <f t="shared" si="7"/>
        <v>0</v>
      </c>
      <c r="S109" s="72">
        <f t="shared" si="8"/>
        <v>0</v>
      </c>
      <c r="T109" s="94">
        <f t="shared" si="9"/>
        <v>0.34767762034949407</v>
      </c>
      <c r="U109" s="101">
        <f t="shared" si="10"/>
        <v>0.28371032978426836</v>
      </c>
      <c r="V109" s="74">
        <v>2016</v>
      </c>
      <c r="W109" s="77" t="s">
        <v>136</v>
      </c>
    </row>
    <row r="110" spans="1:23" x14ac:dyDescent="0.2">
      <c r="A110" s="68">
        <v>422</v>
      </c>
      <c r="B110" s="69" t="s">
        <v>70</v>
      </c>
      <c r="C110" s="69" t="s">
        <v>2</v>
      </c>
      <c r="D110" s="69" t="s">
        <v>3</v>
      </c>
      <c r="E110" s="69" t="s">
        <v>37</v>
      </c>
      <c r="F110" s="69" t="s">
        <v>129</v>
      </c>
      <c r="G110" s="69" t="s">
        <v>36</v>
      </c>
      <c r="H110" s="69" t="s">
        <v>29</v>
      </c>
      <c r="I110" s="69" t="s">
        <v>38</v>
      </c>
      <c r="J110" s="70" t="s">
        <v>16</v>
      </c>
      <c r="K110" s="70" t="s">
        <v>18</v>
      </c>
      <c r="L110" s="71">
        <v>580094</v>
      </c>
      <c r="M110" s="71">
        <v>2044670</v>
      </c>
      <c r="N110" s="71">
        <v>710886</v>
      </c>
      <c r="O110" s="70" t="s">
        <v>55</v>
      </c>
      <c r="P110" s="72">
        <v>0</v>
      </c>
      <c r="Q110" s="72">
        <f t="shared" si="6"/>
        <v>0</v>
      </c>
      <c r="R110" s="72">
        <f t="shared" si="7"/>
        <v>0</v>
      </c>
      <c r="S110" s="72">
        <f t="shared" si="8"/>
        <v>0</v>
      </c>
      <c r="T110" s="94">
        <f t="shared" si="9"/>
        <v>0.34767762034949407</v>
      </c>
      <c r="U110" s="101">
        <f t="shared" si="10"/>
        <v>0.28371032978426836</v>
      </c>
      <c r="V110" s="74">
        <v>2016</v>
      </c>
      <c r="W110" s="77" t="s">
        <v>136</v>
      </c>
    </row>
    <row r="111" spans="1:23" x14ac:dyDescent="0.2">
      <c r="A111" s="68">
        <v>423.00000000000006</v>
      </c>
      <c r="B111" s="69" t="s">
        <v>70</v>
      </c>
      <c r="C111" s="69" t="s">
        <v>2</v>
      </c>
      <c r="D111" s="69" t="s">
        <v>3</v>
      </c>
      <c r="E111" s="69" t="s">
        <v>37</v>
      </c>
      <c r="F111" s="69" t="s">
        <v>129</v>
      </c>
      <c r="G111" s="69" t="s">
        <v>36</v>
      </c>
      <c r="H111" s="69" t="s">
        <v>29</v>
      </c>
      <c r="I111" s="69" t="s">
        <v>38</v>
      </c>
      <c r="J111" s="70" t="s">
        <v>16</v>
      </c>
      <c r="K111" s="70" t="s">
        <v>18</v>
      </c>
      <c r="L111" s="71">
        <v>580094</v>
      </c>
      <c r="M111" s="71">
        <v>2044670</v>
      </c>
      <c r="N111" s="71">
        <v>710886</v>
      </c>
      <c r="O111" s="70" t="s">
        <v>56</v>
      </c>
      <c r="P111" s="72">
        <v>0</v>
      </c>
      <c r="Q111" s="72">
        <f t="shared" si="6"/>
        <v>0</v>
      </c>
      <c r="R111" s="72">
        <f t="shared" si="7"/>
        <v>0</v>
      </c>
      <c r="S111" s="72">
        <f t="shared" si="8"/>
        <v>0</v>
      </c>
      <c r="T111" s="94">
        <f t="shared" si="9"/>
        <v>0.34767762034949407</v>
      </c>
      <c r="U111" s="101">
        <f t="shared" si="10"/>
        <v>0.28371032978426836</v>
      </c>
      <c r="V111" s="74">
        <v>2016</v>
      </c>
      <c r="W111" s="77" t="s">
        <v>136</v>
      </c>
    </row>
    <row r="112" spans="1:23" x14ac:dyDescent="0.2">
      <c r="A112" s="68">
        <v>423.99999999999903</v>
      </c>
      <c r="B112" s="69" t="s">
        <v>70</v>
      </c>
      <c r="C112" s="69" t="s">
        <v>2</v>
      </c>
      <c r="D112" s="69" t="s">
        <v>3</v>
      </c>
      <c r="E112" s="69" t="s">
        <v>37</v>
      </c>
      <c r="F112" s="69" t="s">
        <v>129</v>
      </c>
      <c r="G112" s="69" t="s">
        <v>36</v>
      </c>
      <c r="H112" s="69" t="s">
        <v>29</v>
      </c>
      <c r="I112" s="69" t="s">
        <v>38</v>
      </c>
      <c r="J112" s="70" t="s">
        <v>16</v>
      </c>
      <c r="K112" s="70" t="s">
        <v>18</v>
      </c>
      <c r="L112" s="71">
        <v>580094</v>
      </c>
      <c r="M112" s="71">
        <v>2044670</v>
      </c>
      <c r="N112" s="71">
        <v>710886</v>
      </c>
      <c r="O112" s="70" t="s">
        <v>73</v>
      </c>
      <c r="P112" s="72">
        <v>65810805</v>
      </c>
      <c r="Q112" s="72">
        <f t="shared" si="6"/>
        <v>113.4485186883505</v>
      </c>
      <c r="R112" s="72">
        <f t="shared" si="7"/>
        <v>32.186516650608652</v>
      </c>
      <c r="S112" s="72">
        <f t="shared" si="8"/>
        <v>92.575750542281042</v>
      </c>
      <c r="T112" s="94">
        <f t="shared" si="9"/>
        <v>0.34767762034949407</v>
      </c>
      <c r="U112" s="101">
        <f t="shared" si="10"/>
        <v>0.28371032978426836</v>
      </c>
      <c r="V112" s="74">
        <v>2016</v>
      </c>
      <c r="W112" s="77" t="s">
        <v>136</v>
      </c>
    </row>
    <row r="113" spans="1:23" x14ac:dyDescent="0.2">
      <c r="A113" s="68">
        <v>424.99999999999903</v>
      </c>
      <c r="B113" s="69" t="s">
        <v>70</v>
      </c>
      <c r="C113" s="69" t="s">
        <v>2</v>
      </c>
      <c r="D113" s="69" t="s">
        <v>3</v>
      </c>
      <c r="E113" s="69" t="s">
        <v>37</v>
      </c>
      <c r="F113" s="69" t="s">
        <v>129</v>
      </c>
      <c r="G113" s="69" t="s">
        <v>36</v>
      </c>
      <c r="H113" s="69" t="s">
        <v>29</v>
      </c>
      <c r="I113" s="69" t="s">
        <v>38</v>
      </c>
      <c r="J113" s="70" t="s">
        <v>16</v>
      </c>
      <c r="K113" s="70" t="s">
        <v>18</v>
      </c>
      <c r="L113" s="71">
        <v>580094</v>
      </c>
      <c r="M113" s="71">
        <v>2044670</v>
      </c>
      <c r="N113" s="71">
        <v>710886</v>
      </c>
      <c r="O113" s="70" t="s">
        <v>57</v>
      </c>
      <c r="P113" s="72">
        <v>75000000</v>
      </c>
      <c r="Q113" s="72">
        <f t="shared" si="6"/>
        <v>129.28939102972967</v>
      </c>
      <c r="R113" s="72">
        <f t="shared" si="7"/>
        <v>36.680735766651829</v>
      </c>
      <c r="S113" s="72">
        <f t="shared" si="8"/>
        <v>105.50214802373377</v>
      </c>
      <c r="T113" s="94">
        <f t="shared" si="9"/>
        <v>0.34767762034949407</v>
      </c>
      <c r="U113" s="101">
        <f t="shared" si="10"/>
        <v>0.28371032978426836</v>
      </c>
      <c r="V113" s="74">
        <v>2016</v>
      </c>
      <c r="W113" s="77" t="s">
        <v>136</v>
      </c>
    </row>
    <row r="114" spans="1:23" x14ac:dyDescent="0.2">
      <c r="A114" s="68">
        <v>425.99999999999898</v>
      </c>
      <c r="B114" s="69" t="s">
        <v>70</v>
      </c>
      <c r="C114" s="69" t="s">
        <v>2</v>
      </c>
      <c r="D114" s="69" t="s">
        <v>3</v>
      </c>
      <c r="E114" s="69" t="s">
        <v>37</v>
      </c>
      <c r="F114" s="69" t="s">
        <v>129</v>
      </c>
      <c r="G114" s="69" t="s">
        <v>36</v>
      </c>
      <c r="H114" s="69" t="s">
        <v>29</v>
      </c>
      <c r="I114" s="69" t="s">
        <v>38</v>
      </c>
      <c r="J114" s="70" t="s">
        <v>16</v>
      </c>
      <c r="K114" s="70" t="s">
        <v>18</v>
      </c>
      <c r="L114" s="71">
        <v>580094</v>
      </c>
      <c r="M114" s="71">
        <v>2044670</v>
      </c>
      <c r="N114" s="71">
        <v>710886</v>
      </c>
      <c r="O114" s="70" t="s">
        <v>58</v>
      </c>
      <c r="P114" s="72">
        <v>45000000</v>
      </c>
      <c r="Q114" s="72">
        <f t="shared" si="6"/>
        <v>77.573634617837797</v>
      </c>
      <c r="R114" s="72">
        <f t="shared" si="7"/>
        <v>22.008441459991097</v>
      </c>
      <c r="S114" s="72">
        <f t="shared" si="8"/>
        <v>63.301288814240259</v>
      </c>
      <c r="T114" s="94">
        <f t="shared" si="9"/>
        <v>0.34767762034949407</v>
      </c>
      <c r="U114" s="101">
        <f t="shared" si="10"/>
        <v>0.28371032978426836</v>
      </c>
      <c r="V114" s="74">
        <v>2016</v>
      </c>
      <c r="W114" s="77" t="s">
        <v>136</v>
      </c>
    </row>
    <row r="115" spans="1:23" x14ac:dyDescent="0.2">
      <c r="A115" s="68">
        <v>426.99999999999898</v>
      </c>
      <c r="B115" s="69" t="s">
        <v>70</v>
      </c>
      <c r="C115" s="69" t="s">
        <v>2</v>
      </c>
      <c r="D115" s="69" t="s">
        <v>3</v>
      </c>
      <c r="E115" s="69" t="s">
        <v>37</v>
      </c>
      <c r="F115" s="69" t="s">
        <v>129</v>
      </c>
      <c r="G115" s="69" t="s">
        <v>36</v>
      </c>
      <c r="H115" s="69" t="s">
        <v>29</v>
      </c>
      <c r="I115" s="69" t="s">
        <v>38</v>
      </c>
      <c r="J115" s="70" t="s">
        <v>16</v>
      </c>
      <c r="K115" s="70" t="s">
        <v>18</v>
      </c>
      <c r="L115" s="71">
        <v>580094</v>
      </c>
      <c r="M115" s="71">
        <v>2044670</v>
      </c>
      <c r="N115" s="71">
        <v>710886</v>
      </c>
      <c r="O115" s="70" t="s">
        <v>59</v>
      </c>
      <c r="P115" s="72">
        <v>39576008</v>
      </c>
      <c r="Q115" s="72">
        <f t="shared" si="6"/>
        <v>68.223439649436131</v>
      </c>
      <c r="R115" s="72">
        <f t="shared" si="7"/>
        <v>19.355694561958654</v>
      </c>
      <c r="S115" s="72">
        <f t="shared" si="8"/>
        <v>55.671384722726287</v>
      </c>
      <c r="T115" s="94">
        <f t="shared" si="9"/>
        <v>0.34767762034949407</v>
      </c>
      <c r="U115" s="101">
        <f t="shared" si="10"/>
        <v>0.28371032978426836</v>
      </c>
      <c r="V115" s="74">
        <v>2016</v>
      </c>
      <c r="W115" s="77" t="s">
        <v>136</v>
      </c>
    </row>
    <row r="116" spans="1:23" x14ac:dyDescent="0.2">
      <c r="A116" s="68">
        <v>427.99999999999898</v>
      </c>
      <c r="B116" s="69" t="s">
        <v>70</v>
      </c>
      <c r="C116" s="69" t="s">
        <v>2</v>
      </c>
      <c r="D116" s="69" t="s">
        <v>3</v>
      </c>
      <c r="E116" s="69" t="s">
        <v>37</v>
      </c>
      <c r="F116" s="69" t="s">
        <v>129</v>
      </c>
      <c r="G116" s="69" t="s">
        <v>36</v>
      </c>
      <c r="H116" s="69" t="s">
        <v>29</v>
      </c>
      <c r="I116" s="69" t="s">
        <v>38</v>
      </c>
      <c r="J116" s="70" t="s">
        <v>16</v>
      </c>
      <c r="K116" s="70" t="s">
        <v>18</v>
      </c>
      <c r="L116" s="71">
        <v>580094</v>
      </c>
      <c r="M116" s="71">
        <v>2044670</v>
      </c>
      <c r="N116" s="71">
        <v>710886</v>
      </c>
      <c r="O116" s="70" t="s">
        <v>60</v>
      </c>
      <c r="P116" s="72">
        <v>0</v>
      </c>
      <c r="Q116" s="72">
        <f t="shared" si="6"/>
        <v>0</v>
      </c>
      <c r="R116" s="72">
        <f t="shared" si="7"/>
        <v>0</v>
      </c>
      <c r="S116" s="72">
        <f t="shared" si="8"/>
        <v>0</v>
      </c>
      <c r="T116" s="94">
        <f t="shared" si="9"/>
        <v>0.34767762034949407</v>
      </c>
      <c r="U116" s="101">
        <f t="shared" si="10"/>
        <v>0.28371032978426836</v>
      </c>
      <c r="V116" s="74">
        <v>2016</v>
      </c>
      <c r="W116" s="77" t="s">
        <v>136</v>
      </c>
    </row>
    <row r="117" spans="1:23" x14ac:dyDescent="0.2">
      <c r="A117" s="68">
        <v>428.99999999999903</v>
      </c>
      <c r="B117" s="69" t="s">
        <v>70</v>
      </c>
      <c r="C117" s="69" t="s">
        <v>2</v>
      </c>
      <c r="D117" s="69" t="s">
        <v>3</v>
      </c>
      <c r="E117" s="69" t="s">
        <v>37</v>
      </c>
      <c r="F117" s="69" t="s">
        <v>129</v>
      </c>
      <c r="G117" s="69" t="s">
        <v>36</v>
      </c>
      <c r="H117" s="69" t="s">
        <v>29</v>
      </c>
      <c r="I117" s="69" t="s">
        <v>38</v>
      </c>
      <c r="J117" s="70" t="s">
        <v>16</v>
      </c>
      <c r="K117" s="70" t="s">
        <v>18</v>
      </c>
      <c r="L117" s="71">
        <v>580094</v>
      </c>
      <c r="M117" s="71">
        <v>2044670</v>
      </c>
      <c r="N117" s="71">
        <v>710886</v>
      </c>
      <c r="O117" s="70" t="s">
        <v>61</v>
      </c>
      <c r="P117" s="72">
        <v>51727097</v>
      </c>
      <c r="Q117" s="72">
        <f t="shared" si="6"/>
        <v>89.17019827821008</v>
      </c>
      <c r="R117" s="72">
        <f t="shared" si="7"/>
        <v>25.298506360439582</v>
      </c>
      <c r="S117" s="72">
        <f t="shared" si="8"/>
        <v>72.764264593760458</v>
      </c>
      <c r="T117" s="94">
        <f t="shared" si="9"/>
        <v>0.34767762034949407</v>
      </c>
      <c r="U117" s="101">
        <f t="shared" si="10"/>
        <v>0.28371032978426836</v>
      </c>
      <c r="V117" s="74">
        <v>2016</v>
      </c>
      <c r="W117" s="77" t="s">
        <v>136</v>
      </c>
    </row>
    <row r="118" spans="1:23" s="114" customFormat="1" x14ac:dyDescent="0.2">
      <c r="A118" s="105">
        <v>501</v>
      </c>
      <c r="B118" s="106" t="s">
        <v>70</v>
      </c>
      <c r="C118" s="106" t="s">
        <v>2</v>
      </c>
      <c r="D118" s="106" t="s">
        <v>3</v>
      </c>
      <c r="E118" s="106" t="s">
        <v>37</v>
      </c>
      <c r="F118" s="106" t="s">
        <v>128</v>
      </c>
      <c r="G118" s="106" t="s">
        <v>74</v>
      </c>
      <c r="H118" s="106" t="s">
        <v>29</v>
      </c>
      <c r="I118" s="106" t="s">
        <v>38</v>
      </c>
      <c r="J118" s="107" t="s">
        <v>16</v>
      </c>
      <c r="K118" s="107" t="s">
        <v>18</v>
      </c>
      <c r="L118" s="108">
        <v>362564</v>
      </c>
      <c r="M118" s="108">
        <v>830616</v>
      </c>
      <c r="N118" s="108">
        <v>230390</v>
      </c>
      <c r="O118" s="107" t="s">
        <v>24</v>
      </c>
      <c r="P118" s="109">
        <v>40271257</v>
      </c>
      <c r="Q118" s="109">
        <f t="shared" si="6"/>
        <v>111.07351253847597</v>
      </c>
      <c r="R118" s="109">
        <f t="shared" si="7"/>
        <v>48.483603735059283</v>
      </c>
      <c r="S118" s="109">
        <f t="shared" si="8"/>
        <v>174.79602847345805</v>
      </c>
      <c r="T118" s="110">
        <f t="shared" si="9"/>
        <v>0.27737245610486677</v>
      </c>
      <c r="U118" s="111">
        <f t="shared" si="10"/>
        <v>0.43650013965538831</v>
      </c>
      <c r="V118" s="112">
        <v>2016</v>
      </c>
      <c r="W118" s="113" t="s">
        <v>136</v>
      </c>
    </row>
    <row r="119" spans="1:23" s="114" customFormat="1" x14ac:dyDescent="0.2">
      <c r="A119" s="105">
        <v>501.99999999999994</v>
      </c>
      <c r="B119" s="106" t="s">
        <v>70</v>
      </c>
      <c r="C119" s="106" t="s">
        <v>2</v>
      </c>
      <c r="D119" s="106" t="s">
        <v>3</v>
      </c>
      <c r="E119" s="106" t="s">
        <v>37</v>
      </c>
      <c r="F119" s="106" t="s">
        <v>128</v>
      </c>
      <c r="G119" s="106" t="s">
        <v>74</v>
      </c>
      <c r="H119" s="106" t="s">
        <v>29</v>
      </c>
      <c r="I119" s="106" t="s">
        <v>38</v>
      </c>
      <c r="J119" s="107" t="s">
        <v>16</v>
      </c>
      <c r="K119" s="107" t="s">
        <v>18</v>
      </c>
      <c r="L119" s="108">
        <v>362564</v>
      </c>
      <c r="M119" s="108">
        <v>830616</v>
      </c>
      <c r="N119" s="108">
        <v>230390</v>
      </c>
      <c r="O119" s="107" t="s">
        <v>44</v>
      </c>
      <c r="P119" s="109">
        <v>0</v>
      </c>
      <c r="Q119" s="109">
        <f t="shared" si="6"/>
        <v>0</v>
      </c>
      <c r="R119" s="109">
        <f t="shared" si="7"/>
        <v>0</v>
      </c>
      <c r="S119" s="109">
        <f t="shared" si="8"/>
        <v>0</v>
      </c>
      <c r="T119" s="110">
        <f t="shared" si="9"/>
        <v>0.27737245610486677</v>
      </c>
      <c r="U119" s="111">
        <f t="shared" si="10"/>
        <v>0.43650013965538831</v>
      </c>
      <c r="V119" s="112">
        <v>2016</v>
      </c>
      <c r="W119" s="113" t="s">
        <v>136</v>
      </c>
    </row>
    <row r="120" spans="1:23" s="114" customFormat="1" x14ac:dyDescent="0.2">
      <c r="A120" s="105">
        <v>503</v>
      </c>
      <c r="B120" s="106" t="s">
        <v>70</v>
      </c>
      <c r="C120" s="106" t="s">
        <v>2</v>
      </c>
      <c r="D120" s="106" t="s">
        <v>3</v>
      </c>
      <c r="E120" s="106" t="s">
        <v>37</v>
      </c>
      <c r="F120" s="106" t="s">
        <v>128</v>
      </c>
      <c r="G120" s="106" t="s">
        <v>74</v>
      </c>
      <c r="H120" s="106" t="s">
        <v>29</v>
      </c>
      <c r="I120" s="106" t="s">
        <v>38</v>
      </c>
      <c r="J120" s="107" t="s">
        <v>16</v>
      </c>
      <c r="K120" s="107" t="s">
        <v>18</v>
      </c>
      <c r="L120" s="108">
        <v>362564</v>
      </c>
      <c r="M120" s="108">
        <v>830616</v>
      </c>
      <c r="N120" s="108">
        <v>230390</v>
      </c>
      <c r="O120" s="107" t="s">
        <v>45</v>
      </c>
      <c r="P120" s="109">
        <v>0</v>
      </c>
      <c r="Q120" s="109">
        <f t="shared" si="6"/>
        <v>0</v>
      </c>
      <c r="R120" s="109">
        <f t="shared" si="7"/>
        <v>0</v>
      </c>
      <c r="S120" s="109">
        <f t="shared" si="8"/>
        <v>0</v>
      </c>
      <c r="T120" s="110">
        <f t="shared" si="9"/>
        <v>0.27737245610486677</v>
      </c>
      <c r="U120" s="111">
        <f t="shared" si="10"/>
        <v>0.43650013965538831</v>
      </c>
      <c r="V120" s="112">
        <v>2016</v>
      </c>
      <c r="W120" s="113" t="s">
        <v>136</v>
      </c>
    </row>
    <row r="121" spans="1:23" s="114" customFormat="1" x14ac:dyDescent="0.2">
      <c r="A121" s="105">
        <v>504</v>
      </c>
      <c r="B121" s="106" t="s">
        <v>70</v>
      </c>
      <c r="C121" s="106" t="s">
        <v>2</v>
      </c>
      <c r="D121" s="106" t="s">
        <v>3</v>
      </c>
      <c r="E121" s="106" t="s">
        <v>37</v>
      </c>
      <c r="F121" s="106" t="s">
        <v>128</v>
      </c>
      <c r="G121" s="106" t="s">
        <v>74</v>
      </c>
      <c r="H121" s="106" t="s">
        <v>29</v>
      </c>
      <c r="I121" s="106" t="s">
        <v>38</v>
      </c>
      <c r="J121" s="107" t="s">
        <v>16</v>
      </c>
      <c r="K121" s="107" t="s">
        <v>18</v>
      </c>
      <c r="L121" s="108">
        <v>362564</v>
      </c>
      <c r="M121" s="108">
        <v>830616</v>
      </c>
      <c r="N121" s="108">
        <v>230390</v>
      </c>
      <c r="O121" s="107" t="s">
        <v>14</v>
      </c>
      <c r="P121" s="109">
        <v>12725794</v>
      </c>
      <c r="Q121" s="109">
        <f t="shared" si="6"/>
        <v>35.099441753731753</v>
      </c>
      <c r="R121" s="109">
        <f t="shared" si="7"/>
        <v>15.320911227330077</v>
      </c>
      <c r="S121" s="109">
        <f t="shared" si="8"/>
        <v>55.235878293328703</v>
      </c>
      <c r="T121" s="110">
        <f t="shared" si="9"/>
        <v>0.27737245610486677</v>
      </c>
      <c r="U121" s="111">
        <f t="shared" si="10"/>
        <v>0.43650013965538831</v>
      </c>
      <c r="V121" s="112">
        <v>2016</v>
      </c>
      <c r="W121" s="113" t="s">
        <v>136</v>
      </c>
    </row>
    <row r="122" spans="1:23" s="114" customFormat="1" x14ac:dyDescent="0.2">
      <c r="A122" s="105">
        <v>505</v>
      </c>
      <c r="B122" s="106" t="s">
        <v>70</v>
      </c>
      <c r="C122" s="106" t="s">
        <v>2</v>
      </c>
      <c r="D122" s="106" t="s">
        <v>3</v>
      </c>
      <c r="E122" s="106" t="s">
        <v>37</v>
      </c>
      <c r="F122" s="106" t="s">
        <v>128</v>
      </c>
      <c r="G122" s="106" t="s">
        <v>74</v>
      </c>
      <c r="H122" s="106" t="s">
        <v>29</v>
      </c>
      <c r="I122" s="106" t="s">
        <v>38</v>
      </c>
      <c r="J122" s="107" t="s">
        <v>16</v>
      </c>
      <c r="K122" s="107" t="s">
        <v>18</v>
      </c>
      <c r="L122" s="108">
        <v>362564</v>
      </c>
      <c r="M122" s="108">
        <v>830616</v>
      </c>
      <c r="N122" s="108">
        <v>230390</v>
      </c>
      <c r="O122" s="107" t="s">
        <v>22</v>
      </c>
      <c r="P122" s="109">
        <v>30688575</v>
      </c>
      <c r="Q122" s="109">
        <f t="shared" si="6"/>
        <v>84.643194029192088</v>
      </c>
      <c r="R122" s="109">
        <f t="shared" si="7"/>
        <v>36.946766014620472</v>
      </c>
      <c r="S122" s="109">
        <f t="shared" si="8"/>
        <v>133.20272147228613</v>
      </c>
      <c r="T122" s="110">
        <f t="shared" si="9"/>
        <v>0.27737245610486677</v>
      </c>
      <c r="U122" s="111">
        <f t="shared" si="10"/>
        <v>0.43650013965538831</v>
      </c>
      <c r="V122" s="112">
        <v>2016</v>
      </c>
      <c r="W122" s="113" t="s">
        <v>136</v>
      </c>
    </row>
    <row r="123" spans="1:23" s="114" customFormat="1" x14ac:dyDescent="0.2">
      <c r="A123" s="105">
        <v>505.99999999999994</v>
      </c>
      <c r="B123" s="106" t="s">
        <v>70</v>
      </c>
      <c r="C123" s="106" t="s">
        <v>2</v>
      </c>
      <c r="D123" s="106" t="s">
        <v>3</v>
      </c>
      <c r="E123" s="106" t="s">
        <v>37</v>
      </c>
      <c r="F123" s="106" t="s">
        <v>128</v>
      </c>
      <c r="G123" s="106" t="s">
        <v>74</v>
      </c>
      <c r="H123" s="106" t="s">
        <v>29</v>
      </c>
      <c r="I123" s="106" t="s">
        <v>38</v>
      </c>
      <c r="J123" s="107" t="s">
        <v>16</v>
      </c>
      <c r="K123" s="107" t="s">
        <v>18</v>
      </c>
      <c r="L123" s="108">
        <v>362564</v>
      </c>
      <c r="M123" s="108">
        <v>830616</v>
      </c>
      <c r="N123" s="108">
        <v>230390</v>
      </c>
      <c r="O123" s="107" t="s">
        <v>20</v>
      </c>
      <c r="P123" s="109">
        <v>26997114</v>
      </c>
      <c r="Q123" s="109">
        <f t="shared" si="6"/>
        <v>74.461650908529251</v>
      </c>
      <c r="R123" s="109">
        <f t="shared" si="7"/>
        <v>32.502521020543789</v>
      </c>
      <c r="S123" s="109">
        <f t="shared" si="8"/>
        <v>117.18005989843309</v>
      </c>
      <c r="T123" s="110">
        <f t="shared" si="9"/>
        <v>0.27737245610486677</v>
      </c>
      <c r="U123" s="111">
        <f t="shared" si="10"/>
        <v>0.43650013965538831</v>
      </c>
      <c r="V123" s="112">
        <v>2016</v>
      </c>
      <c r="W123" s="113" t="s">
        <v>136</v>
      </c>
    </row>
    <row r="124" spans="1:23" s="114" customFormat="1" x14ac:dyDescent="0.2">
      <c r="A124" s="105">
        <v>507</v>
      </c>
      <c r="B124" s="106" t="s">
        <v>70</v>
      </c>
      <c r="C124" s="106" t="s">
        <v>2</v>
      </c>
      <c r="D124" s="106" t="s">
        <v>3</v>
      </c>
      <c r="E124" s="106" t="s">
        <v>37</v>
      </c>
      <c r="F124" s="106" t="s">
        <v>128</v>
      </c>
      <c r="G124" s="106" t="s">
        <v>74</v>
      </c>
      <c r="H124" s="106" t="s">
        <v>29</v>
      </c>
      <c r="I124" s="106" t="s">
        <v>38</v>
      </c>
      <c r="J124" s="107" t="s">
        <v>16</v>
      </c>
      <c r="K124" s="107" t="s">
        <v>18</v>
      </c>
      <c r="L124" s="108">
        <v>362564</v>
      </c>
      <c r="M124" s="108">
        <v>830616</v>
      </c>
      <c r="N124" s="108">
        <v>230390</v>
      </c>
      <c r="O124" s="107" t="s">
        <v>23</v>
      </c>
      <c r="P124" s="109">
        <v>25316052</v>
      </c>
      <c r="Q124" s="109">
        <f t="shared" si="6"/>
        <v>69.825057093368343</v>
      </c>
      <c r="R124" s="109">
        <f t="shared" si="7"/>
        <v>30.478647172700743</v>
      </c>
      <c r="S124" s="109">
        <f t="shared" si="8"/>
        <v>109.88346716437346</v>
      </c>
      <c r="T124" s="110">
        <f t="shared" si="9"/>
        <v>0.27737245610486677</v>
      </c>
      <c r="U124" s="111">
        <f t="shared" si="10"/>
        <v>0.43650013965538831</v>
      </c>
      <c r="V124" s="115">
        <v>2016</v>
      </c>
      <c r="W124" s="113" t="s">
        <v>136</v>
      </c>
    </row>
    <row r="125" spans="1:23" s="114" customFormat="1" x14ac:dyDescent="0.2">
      <c r="A125" s="105">
        <v>508</v>
      </c>
      <c r="B125" s="106" t="s">
        <v>70</v>
      </c>
      <c r="C125" s="106" t="s">
        <v>2</v>
      </c>
      <c r="D125" s="106" t="s">
        <v>3</v>
      </c>
      <c r="E125" s="106" t="s">
        <v>37</v>
      </c>
      <c r="F125" s="106" t="s">
        <v>128</v>
      </c>
      <c r="G125" s="106" t="s">
        <v>74</v>
      </c>
      <c r="H125" s="106" t="s">
        <v>29</v>
      </c>
      <c r="I125" s="106" t="s">
        <v>38</v>
      </c>
      <c r="J125" s="107" t="s">
        <v>16</v>
      </c>
      <c r="K125" s="107" t="s">
        <v>18</v>
      </c>
      <c r="L125" s="108">
        <v>362564</v>
      </c>
      <c r="M125" s="108">
        <v>830616</v>
      </c>
      <c r="N125" s="108">
        <v>230390</v>
      </c>
      <c r="O125" s="107" t="s">
        <v>43</v>
      </c>
      <c r="P125" s="109">
        <v>26781419</v>
      </c>
      <c r="Q125" s="109">
        <f t="shared" si="6"/>
        <v>73.866735252258906</v>
      </c>
      <c r="R125" s="109">
        <f t="shared" si="7"/>
        <v>32.242840253498606</v>
      </c>
      <c r="S125" s="109">
        <f t="shared" si="8"/>
        <v>116.24384304874343</v>
      </c>
      <c r="T125" s="110">
        <f t="shared" si="9"/>
        <v>0.27737245610486677</v>
      </c>
      <c r="U125" s="111">
        <f t="shared" si="10"/>
        <v>0.43650013965538831</v>
      </c>
      <c r="V125" s="115">
        <v>2016</v>
      </c>
      <c r="W125" s="113" t="s">
        <v>136</v>
      </c>
    </row>
    <row r="126" spans="1:23" s="114" customFormat="1" x14ac:dyDescent="0.2">
      <c r="A126" s="105">
        <v>509</v>
      </c>
      <c r="B126" s="106" t="s">
        <v>70</v>
      </c>
      <c r="C126" s="106" t="s">
        <v>2</v>
      </c>
      <c r="D126" s="106" t="s">
        <v>3</v>
      </c>
      <c r="E126" s="106" t="s">
        <v>37</v>
      </c>
      <c r="F126" s="106" t="s">
        <v>128</v>
      </c>
      <c r="G126" s="106" t="s">
        <v>74</v>
      </c>
      <c r="H126" s="106" t="s">
        <v>29</v>
      </c>
      <c r="I126" s="106" t="s">
        <v>38</v>
      </c>
      <c r="J126" s="107" t="s">
        <v>16</v>
      </c>
      <c r="K126" s="107" t="s">
        <v>18</v>
      </c>
      <c r="L126" s="108">
        <v>362564</v>
      </c>
      <c r="M126" s="108">
        <v>830616</v>
      </c>
      <c r="N126" s="108">
        <v>230390</v>
      </c>
      <c r="O126" s="107" t="s">
        <v>46</v>
      </c>
      <c r="P126" s="109">
        <v>0</v>
      </c>
      <c r="Q126" s="109">
        <f t="shared" si="6"/>
        <v>0</v>
      </c>
      <c r="R126" s="109">
        <f t="shared" si="7"/>
        <v>0</v>
      </c>
      <c r="S126" s="109">
        <f t="shared" si="8"/>
        <v>0</v>
      </c>
      <c r="T126" s="110">
        <f t="shared" si="9"/>
        <v>0.27737245610486677</v>
      </c>
      <c r="U126" s="111">
        <f t="shared" si="10"/>
        <v>0.43650013965538831</v>
      </c>
      <c r="V126" s="115">
        <v>2016</v>
      </c>
      <c r="W126" s="113" t="s">
        <v>136</v>
      </c>
    </row>
    <row r="127" spans="1:23" s="114" customFormat="1" x14ac:dyDescent="0.2">
      <c r="A127" s="105">
        <v>509.99999999999994</v>
      </c>
      <c r="B127" s="106" t="s">
        <v>70</v>
      </c>
      <c r="C127" s="106" t="s">
        <v>2</v>
      </c>
      <c r="D127" s="106" t="s">
        <v>3</v>
      </c>
      <c r="E127" s="106" t="s">
        <v>37</v>
      </c>
      <c r="F127" s="106" t="s">
        <v>128</v>
      </c>
      <c r="G127" s="106" t="s">
        <v>74</v>
      </c>
      <c r="H127" s="106" t="s">
        <v>29</v>
      </c>
      <c r="I127" s="106" t="s">
        <v>38</v>
      </c>
      <c r="J127" s="107" t="s">
        <v>16</v>
      </c>
      <c r="K127" s="107" t="s">
        <v>18</v>
      </c>
      <c r="L127" s="108">
        <v>362564</v>
      </c>
      <c r="M127" s="108">
        <v>830616</v>
      </c>
      <c r="N127" s="108">
        <v>230390</v>
      </c>
      <c r="O127" s="107" t="s">
        <v>34</v>
      </c>
      <c r="P127" s="109">
        <v>7571767</v>
      </c>
      <c r="Q127" s="109">
        <f t="shared" si="6"/>
        <v>20.883946006773975</v>
      </c>
      <c r="R127" s="109">
        <f t="shared" si="7"/>
        <v>9.1158453485124298</v>
      </c>
      <c r="S127" s="109">
        <f t="shared" si="8"/>
        <v>32.864998480836839</v>
      </c>
      <c r="T127" s="110">
        <f t="shared" si="9"/>
        <v>0.27737245610486677</v>
      </c>
      <c r="U127" s="111">
        <f t="shared" si="10"/>
        <v>0.43650013965538831</v>
      </c>
      <c r="V127" s="115">
        <v>2016</v>
      </c>
      <c r="W127" s="113" t="s">
        <v>136</v>
      </c>
    </row>
    <row r="128" spans="1:23" s="114" customFormat="1" x14ac:dyDescent="0.2">
      <c r="A128" s="105">
        <v>511.00000000000006</v>
      </c>
      <c r="B128" s="106" t="s">
        <v>70</v>
      </c>
      <c r="C128" s="106" t="s">
        <v>2</v>
      </c>
      <c r="D128" s="106" t="s">
        <v>3</v>
      </c>
      <c r="E128" s="106" t="s">
        <v>37</v>
      </c>
      <c r="F128" s="106" t="s">
        <v>128</v>
      </c>
      <c r="G128" s="106" t="s">
        <v>74</v>
      </c>
      <c r="H128" s="106" t="s">
        <v>29</v>
      </c>
      <c r="I128" s="106" t="s">
        <v>38</v>
      </c>
      <c r="J128" s="107" t="s">
        <v>16</v>
      </c>
      <c r="K128" s="107" t="s">
        <v>18</v>
      </c>
      <c r="L128" s="108">
        <v>362564</v>
      </c>
      <c r="M128" s="108">
        <v>830616</v>
      </c>
      <c r="N128" s="108">
        <v>230390</v>
      </c>
      <c r="O128" s="107" t="s">
        <v>26</v>
      </c>
      <c r="P128" s="109">
        <v>79549870</v>
      </c>
      <c r="Q128" s="109">
        <f t="shared" si="6"/>
        <v>219.40918017232821</v>
      </c>
      <c r="R128" s="109">
        <f t="shared" si="7"/>
        <v>95.772137786895513</v>
      </c>
      <c r="S128" s="109">
        <f t="shared" si="8"/>
        <v>345.28351924996747</v>
      </c>
      <c r="T128" s="110">
        <f t="shared" si="9"/>
        <v>0.27737245610486677</v>
      </c>
      <c r="U128" s="111">
        <f t="shared" si="10"/>
        <v>0.43650013965538831</v>
      </c>
      <c r="V128" s="115">
        <v>2016</v>
      </c>
      <c r="W128" s="113" t="s">
        <v>136</v>
      </c>
    </row>
    <row r="129" spans="1:23" s="114" customFormat="1" x14ac:dyDescent="0.2">
      <c r="A129" s="105">
        <v>512</v>
      </c>
      <c r="B129" s="106" t="s">
        <v>70</v>
      </c>
      <c r="C129" s="106" t="s">
        <v>2</v>
      </c>
      <c r="D129" s="106" t="s">
        <v>3</v>
      </c>
      <c r="E129" s="106" t="s">
        <v>37</v>
      </c>
      <c r="F129" s="106" t="s">
        <v>128</v>
      </c>
      <c r="G129" s="106" t="s">
        <v>74</v>
      </c>
      <c r="H129" s="106" t="s">
        <v>29</v>
      </c>
      <c r="I129" s="106" t="s">
        <v>38</v>
      </c>
      <c r="J129" s="107" t="s">
        <v>16</v>
      </c>
      <c r="K129" s="107" t="s">
        <v>18</v>
      </c>
      <c r="L129" s="108">
        <v>362564</v>
      </c>
      <c r="M129" s="108">
        <v>830616</v>
      </c>
      <c r="N129" s="108">
        <v>230390</v>
      </c>
      <c r="O129" s="107" t="s">
        <v>28</v>
      </c>
      <c r="P129" s="109">
        <v>13192103</v>
      </c>
      <c r="Q129" s="109">
        <f t="shared" si="6"/>
        <v>36.385584338213391</v>
      </c>
      <c r="R129" s="109">
        <f t="shared" si="7"/>
        <v>15.882312645073053</v>
      </c>
      <c r="S129" s="109">
        <f t="shared" si="8"/>
        <v>57.259876730760887</v>
      </c>
      <c r="T129" s="110">
        <f t="shared" si="9"/>
        <v>0.27737245610486677</v>
      </c>
      <c r="U129" s="111">
        <f t="shared" si="10"/>
        <v>0.43650013965538831</v>
      </c>
      <c r="V129" s="115">
        <v>2016</v>
      </c>
      <c r="W129" s="113" t="s">
        <v>136</v>
      </c>
    </row>
    <row r="130" spans="1:23" s="114" customFormat="1" x14ac:dyDescent="0.2">
      <c r="A130" s="105">
        <v>513</v>
      </c>
      <c r="B130" s="106" t="s">
        <v>70</v>
      </c>
      <c r="C130" s="106" t="s">
        <v>2</v>
      </c>
      <c r="D130" s="106" t="s">
        <v>3</v>
      </c>
      <c r="E130" s="106" t="s">
        <v>37</v>
      </c>
      <c r="F130" s="106" t="s">
        <v>128</v>
      </c>
      <c r="G130" s="106" t="s">
        <v>74</v>
      </c>
      <c r="H130" s="106" t="s">
        <v>29</v>
      </c>
      <c r="I130" s="106" t="s">
        <v>38</v>
      </c>
      <c r="J130" s="107" t="s">
        <v>16</v>
      </c>
      <c r="K130" s="107" t="s">
        <v>18</v>
      </c>
      <c r="L130" s="108">
        <v>362564</v>
      </c>
      <c r="M130" s="108">
        <v>830616</v>
      </c>
      <c r="N130" s="108">
        <v>230390</v>
      </c>
      <c r="O130" s="107" t="s">
        <v>47</v>
      </c>
      <c r="P130" s="109">
        <v>2298374</v>
      </c>
      <c r="Q130" s="109">
        <f t="shared" si="6"/>
        <v>6.3392228682384353</v>
      </c>
      <c r="R130" s="109">
        <f t="shared" si="7"/>
        <v>2.7670716672927083</v>
      </c>
      <c r="S130" s="109">
        <f t="shared" si="8"/>
        <v>9.9760145839663181</v>
      </c>
      <c r="T130" s="110">
        <f t="shared" si="9"/>
        <v>0.27737245610486677</v>
      </c>
      <c r="U130" s="111">
        <f t="shared" si="10"/>
        <v>0.43650013965538831</v>
      </c>
      <c r="V130" s="112">
        <v>2016</v>
      </c>
      <c r="W130" s="113" t="s">
        <v>136</v>
      </c>
    </row>
    <row r="131" spans="1:23" s="114" customFormat="1" x14ac:dyDescent="0.2">
      <c r="A131" s="105">
        <v>514</v>
      </c>
      <c r="B131" s="106" t="s">
        <v>70</v>
      </c>
      <c r="C131" s="106" t="s">
        <v>2</v>
      </c>
      <c r="D131" s="106" t="s">
        <v>3</v>
      </c>
      <c r="E131" s="106" t="s">
        <v>37</v>
      </c>
      <c r="F131" s="106" t="s">
        <v>128</v>
      </c>
      <c r="G131" s="106" t="s">
        <v>74</v>
      </c>
      <c r="H131" s="106" t="s">
        <v>29</v>
      </c>
      <c r="I131" s="106" t="s">
        <v>38</v>
      </c>
      <c r="J131" s="107" t="s">
        <v>16</v>
      </c>
      <c r="K131" s="107" t="s">
        <v>18</v>
      </c>
      <c r="L131" s="108">
        <v>362564</v>
      </c>
      <c r="M131" s="108">
        <v>830616</v>
      </c>
      <c r="N131" s="108">
        <v>230390</v>
      </c>
      <c r="O131" s="107" t="s">
        <v>27</v>
      </c>
      <c r="P131" s="109">
        <v>6484521</v>
      </c>
      <c r="Q131" s="109">
        <f t="shared" ref="Q131:Q194" si="11">$P131/L131</f>
        <v>17.885176134420405</v>
      </c>
      <c r="R131" s="109">
        <f t="shared" ref="R131:R194" si="12">$P131/M131</f>
        <v>7.806881880435725</v>
      </c>
      <c r="S131" s="109">
        <f t="shared" ref="S131:S194" si="13">$P131/N131</f>
        <v>28.14584400364599</v>
      </c>
      <c r="T131" s="110">
        <f t="shared" ref="T131:T194" si="14">N131/M131</f>
        <v>0.27737245610486677</v>
      </c>
      <c r="U131" s="111">
        <f t="shared" ref="U131:U194" si="15">L131/M131</f>
        <v>0.43650013965538831</v>
      </c>
      <c r="V131" s="115">
        <v>2016</v>
      </c>
      <c r="W131" s="113" t="s">
        <v>136</v>
      </c>
    </row>
    <row r="132" spans="1:23" s="114" customFormat="1" x14ac:dyDescent="0.2">
      <c r="A132" s="105">
        <v>515</v>
      </c>
      <c r="B132" s="106" t="s">
        <v>70</v>
      </c>
      <c r="C132" s="106" t="s">
        <v>2</v>
      </c>
      <c r="D132" s="106" t="s">
        <v>3</v>
      </c>
      <c r="E132" s="106" t="s">
        <v>37</v>
      </c>
      <c r="F132" s="106" t="s">
        <v>128</v>
      </c>
      <c r="G132" s="106" t="s">
        <v>74</v>
      </c>
      <c r="H132" s="106" t="s">
        <v>29</v>
      </c>
      <c r="I132" s="106" t="s">
        <v>38</v>
      </c>
      <c r="J132" s="107" t="s">
        <v>16</v>
      </c>
      <c r="K132" s="107" t="s">
        <v>18</v>
      </c>
      <c r="L132" s="108">
        <v>362564</v>
      </c>
      <c r="M132" s="108">
        <v>830616</v>
      </c>
      <c r="N132" s="108">
        <v>230390</v>
      </c>
      <c r="O132" s="107" t="s">
        <v>48</v>
      </c>
      <c r="P132" s="109">
        <v>0</v>
      </c>
      <c r="Q132" s="109">
        <f t="shared" si="11"/>
        <v>0</v>
      </c>
      <c r="R132" s="109">
        <f t="shared" si="12"/>
        <v>0</v>
      </c>
      <c r="S132" s="109">
        <f t="shared" si="13"/>
        <v>0</v>
      </c>
      <c r="T132" s="110">
        <f t="shared" si="14"/>
        <v>0.27737245610486677</v>
      </c>
      <c r="U132" s="111">
        <f t="shared" si="15"/>
        <v>0.43650013965538831</v>
      </c>
      <c r="V132" s="115">
        <v>2016</v>
      </c>
      <c r="W132" s="113" t="s">
        <v>136</v>
      </c>
    </row>
    <row r="133" spans="1:23" s="114" customFormat="1" x14ac:dyDescent="0.2">
      <c r="A133" s="105">
        <v>516</v>
      </c>
      <c r="B133" s="106" t="s">
        <v>70</v>
      </c>
      <c r="C133" s="106" t="s">
        <v>2</v>
      </c>
      <c r="D133" s="106" t="s">
        <v>3</v>
      </c>
      <c r="E133" s="106" t="s">
        <v>37</v>
      </c>
      <c r="F133" s="106" t="s">
        <v>128</v>
      </c>
      <c r="G133" s="106" t="s">
        <v>74</v>
      </c>
      <c r="H133" s="106" t="s">
        <v>29</v>
      </c>
      <c r="I133" s="106" t="s">
        <v>38</v>
      </c>
      <c r="J133" s="107" t="s">
        <v>16</v>
      </c>
      <c r="K133" s="107" t="s">
        <v>18</v>
      </c>
      <c r="L133" s="108">
        <v>362564</v>
      </c>
      <c r="M133" s="108">
        <v>830616</v>
      </c>
      <c r="N133" s="108">
        <v>230390</v>
      </c>
      <c r="O133" s="107" t="s">
        <v>49</v>
      </c>
      <c r="P133" s="109">
        <v>0</v>
      </c>
      <c r="Q133" s="109">
        <f t="shared" si="11"/>
        <v>0</v>
      </c>
      <c r="R133" s="109">
        <f t="shared" si="12"/>
        <v>0</v>
      </c>
      <c r="S133" s="109">
        <f t="shared" si="13"/>
        <v>0</v>
      </c>
      <c r="T133" s="110">
        <f t="shared" si="14"/>
        <v>0.27737245610486677</v>
      </c>
      <c r="U133" s="111">
        <f t="shared" si="15"/>
        <v>0.43650013965538831</v>
      </c>
      <c r="V133" s="115">
        <v>2016</v>
      </c>
      <c r="W133" s="113" t="s">
        <v>136</v>
      </c>
    </row>
    <row r="134" spans="1:23" s="114" customFormat="1" x14ac:dyDescent="0.2">
      <c r="A134" s="105">
        <v>517</v>
      </c>
      <c r="B134" s="106" t="s">
        <v>70</v>
      </c>
      <c r="C134" s="106" t="s">
        <v>2</v>
      </c>
      <c r="D134" s="106" t="s">
        <v>3</v>
      </c>
      <c r="E134" s="106" t="s">
        <v>37</v>
      </c>
      <c r="F134" s="106" t="s">
        <v>128</v>
      </c>
      <c r="G134" s="106" t="s">
        <v>74</v>
      </c>
      <c r="H134" s="106" t="s">
        <v>29</v>
      </c>
      <c r="I134" s="106" t="s">
        <v>38</v>
      </c>
      <c r="J134" s="107" t="s">
        <v>16</v>
      </c>
      <c r="K134" s="107" t="s">
        <v>18</v>
      </c>
      <c r="L134" s="108">
        <v>362564</v>
      </c>
      <c r="M134" s="108">
        <v>830616</v>
      </c>
      <c r="N134" s="108">
        <v>230390</v>
      </c>
      <c r="O134" s="107" t="s">
        <v>50</v>
      </c>
      <c r="P134" s="109">
        <v>0</v>
      </c>
      <c r="Q134" s="109">
        <f t="shared" si="11"/>
        <v>0</v>
      </c>
      <c r="R134" s="109">
        <f t="shared" si="12"/>
        <v>0</v>
      </c>
      <c r="S134" s="109">
        <f t="shared" si="13"/>
        <v>0</v>
      </c>
      <c r="T134" s="110">
        <f t="shared" si="14"/>
        <v>0.27737245610486677</v>
      </c>
      <c r="U134" s="111">
        <f t="shared" si="15"/>
        <v>0.43650013965538831</v>
      </c>
      <c r="V134" s="115">
        <v>2016</v>
      </c>
      <c r="W134" s="113" t="s">
        <v>136</v>
      </c>
    </row>
    <row r="135" spans="1:23" s="114" customFormat="1" x14ac:dyDescent="0.2">
      <c r="A135" s="105">
        <v>518</v>
      </c>
      <c r="B135" s="106" t="s">
        <v>70</v>
      </c>
      <c r="C135" s="106" t="s">
        <v>2</v>
      </c>
      <c r="D135" s="106" t="s">
        <v>3</v>
      </c>
      <c r="E135" s="106" t="s">
        <v>37</v>
      </c>
      <c r="F135" s="106" t="s">
        <v>128</v>
      </c>
      <c r="G135" s="106" t="s">
        <v>74</v>
      </c>
      <c r="H135" s="106" t="s">
        <v>29</v>
      </c>
      <c r="I135" s="106" t="s">
        <v>38</v>
      </c>
      <c r="J135" s="107" t="s">
        <v>16</v>
      </c>
      <c r="K135" s="107" t="s">
        <v>18</v>
      </c>
      <c r="L135" s="108">
        <v>362564</v>
      </c>
      <c r="M135" s="108">
        <v>830616</v>
      </c>
      <c r="N135" s="108">
        <v>230390</v>
      </c>
      <c r="O135" s="107" t="s">
        <v>51</v>
      </c>
      <c r="P135" s="109">
        <v>14574097</v>
      </c>
      <c r="Q135" s="109">
        <f t="shared" si="11"/>
        <v>40.197308613100034</v>
      </c>
      <c r="R135" s="109">
        <f t="shared" si="12"/>
        <v>17.546130823388907</v>
      </c>
      <c r="S135" s="109">
        <f t="shared" si="13"/>
        <v>63.258374929467422</v>
      </c>
      <c r="T135" s="110">
        <f t="shared" si="14"/>
        <v>0.27737245610486677</v>
      </c>
      <c r="U135" s="111">
        <f t="shared" si="15"/>
        <v>0.43650013965538831</v>
      </c>
      <c r="V135" s="115">
        <v>2016</v>
      </c>
      <c r="W135" s="113" t="s">
        <v>136</v>
      </c>
    </row>
    <row r="136" spans="1:23" s="114" customFormat="1" x14ac:dyDescent="0.2">
      <c r="A136" s="105">
        <v>519</v>
      </c>
      <c r="B136" s="106" t="s">
        <v>70</v>
      </c>
      <c r="C136" s="106" t="s">
        <v>2</v>
      </c>
      <c r="D136" s="106" t="s">
        <v>3</v>
      </c>
      <c r="E136" s="106" t="s">
        <v>37</v>
      </c>
      <c r="F136" s="106" t="s">
        <v>128</v>
      </c>
      <c r="G136" s="106" t="s">
        <v>74</v>
      </c>
      <c r="H136" s="106" t="s">
        <v>29</v>
      </c>
      <c r="I136" s="106" t="s">
        <v>38</v>
      </c>
      <c r="J136" s="107" t="s">
        <v>16</v>
      </c>
      <c r="K136" s="107" t="s">
        <v>18</v>
      </c>
      <c r="L136" s="108">
        <v>362564</v>
      </c>
      <c r="M136" s="108">
        <v>830616</v>
      </c>
      <c r="N136" s="108">
        <v>230390</v>
      </c>
      <c r="O136" s="107" t="s">
        <v>52</v>
      </c>
      <c r="P136" s="109">
        <v>11973767</v>
      </c>
      <c r="Q136" s="109">
        <f t="shared" si="11"/>
        <v>33.025250714356638</v>
      </c>
      <c r="R136" s="109">
        <f t="shared" si="12"/>
        <v>14.415526548970885</v>
      </c>
      <c r="S136" s="109">
        <f t="shared" si="13"/>
        <v>51.97173054386041</v>
      </c>
      <c r="T136" s="110">
        <f t="shared" si="14"/>
        <v>0.27737245610486677</v>
      </c>
      <c r="U136" s="111">
        <f t="shared" si="15"/>
        <v>0.43650013965538831</v>
      </c>
      <c r="V136" s="115">
        <v>2016</v>
      </c>
      <c r="W136" s="113" t="s">
        <v>136</v>
      </c>
    </row>
    <row r="137" spans="1:23" s="114" customFormat="1" x14ac:dyDescent="0.2">
      <c r="A137" s="105">
        <v>520</v>
      </c>
      <c r="B137" s="106" t="s">
        <v>70</v>
      </c>
      <c r="C137" s="106" t="s">
        <v>2</v>
      </c>
      <c r="D137" s="106" t="s">
        <v>3</v>
      </c>
      <c r="E137" s="106" t="s">
        <v>37</v>
      </c>
      <c r="F137" s="106" t="s">
        <v>128</v>
      </c>
      <c r="G137" s="106" t="s">
        <v>74</v>
      </c>
      <c r="H137" s="106" t="s">
        <v>29</v>
      </c>
      <c r="I137" s="106" t="s">
        <v>38</v>
      </c>
      <c r="J137" s="107" t="s">
        <v>16</v>
      </c>
      <c r="K137" s="107" t="s">
        <v>18</v>
      </c>
      <c r="L137" s="108">
        <v>362564</v>
      </c>
      <c r="M137" s="108">
        <v>830616</v>
      </c>
      <c r="N137" s="108">
        <v>230390</v>
      </c>
      <c r="O137" s="107" t="s">
        <v>53</v>
      </c>
      <c r="P137" s="109">
        <v>0</v>
      </c>
      <c r="Q137" s="109">
        <f t="shared" si="11"/>
        <v>0</v>
      </c>
      <c r="R137" s="109">
        <f t="shared" si="12"/>
        <v>0</v>
      </c>
      <c r="S137" s="109">
        <f t="shared" si="13"/>
        <v>0</v>
      </c>
      <c r="T137" s="110">
        <f t="shared" si="14"/>
        <v>0.27737245610486677</v>
      </c>
      <c r="U137" s="111">
        <f t="shared" si="15"/>
        <v>0.43650013965538831</v>
      </c>
      <c r="V137" s="115">
        <v>2016</v>
      </c>
      <c r="W137" s="113" t="s">
        <v>136</v>
      </c>
    </row>
    <row r="138" spans="1:23" s="114" customFormat="1" x14ac:dyDescent="0.2">
      <c r="A138" s="105">
        <v>521</v>
      </c>
      <c r="B138" s="106" t="s">
        <v>70</v>
      </c>
      <c r="C138" s="106" t="s">
        <v>2</v>
      </c>
      <c r="D138" s="106" t="s">
        <v>3</v>
      </c>
      <c r="E138" s="106" t="s">
        <v>37</v>
      </c>
      <c r="F138" s="106" t="s">
        <v>128</v>
      </c>
      <c r="G138" s="106" t="s">
        <v>74</v>
      </c>
      <c r="H138" s="106" t="s">
        <v>29</v>
      </c>
      <c r="I138" s="106" t="s">
        <v>38</v>
      </c>
      <c r="J138" s="107" t="s">
        <v>16</v>
      </c>
      <c r="K138" s="107" t="s">
        <v>18</v>
      </c>
      <c r="L138" s="108">
        <v>362564</v>
      </c>
      <c r="M138" s="108">
        <v>830616</v>
      </c>
      <c r="N138" s="108">
        <v>230390</v>
      </c>
      <c r="O138" s="107" t="s">
        <v>54</v>
      </c>
      <c r="P138" s="109">
        <v>0</v>
      </c>
      <c r="Q138" s="109">
        <f t="shared" si="11"/>
        <v>0</v>
      </c>
      <c r="R138" s="109">
        <f t="shared" si="12"/>
        <v>0</v>
      </c>
      <c r="S138" s="109">
        <f t="shared" si="13"/>
        <v>0</v>
      </c>
      <c r="T138" s="110">
        <f t="shared" si="14"/>
        <v>0.27737245610486677</v>
      </c>
      <c r="U138" s="111">
        <f t="shared" si="15"/>
        <v>0.43650013965538831</v>
      </c>
      <c r="V138" s="115">
        <v>2016</v>
      </c>
      <c r="W138" s="113" t="s">
        <v>136</v>
      </c>
    </row>
    <row r="139" spans="1:23" s="114" customFormat="1" x14ac:dyDescent="0.2">
      <c r="A139" s="105">
        <v>522</v>
      </c>
      <c r="B139" s="106" t="s">
        <v>70</v>
      </c>
      <c r="C139" s="106" t="s">
        <v>2</v>
      </c>
      <c r="D139" s="106" t="s">
        <v>3</v>
      </c>
      <c r="E139" s="106" t="s">
        <v>37</v>
      </c>
      <c r="F139" s="106" t="s">
        <v>128</v>
      </c>
      <c r="G139" s="106" t="s">
        <v>74</v>
      </c>
      <c r="H139" s="106" t="s">
        <v>29</v>
      </c>
      <c r="I139" s="106" t="s">
        <v>38</v>
      </c>
      <c r="J139" s="107" t="s">
        <v>16</v>
      </c>
      <c r="K139" s="107" t="s">
        <v>18</v>
      </c>
      <c r="L139" s="108">
        <v>362564</v>
      </c>
      <c r="M139" s="108">
        <v>830616</v>
      </c>
      <c r="N139" s="108">
        <v>230390</v>
      </c>
      <c r="O139" s="107" t="s">
        <v>55</v>
      </c>
      <c r="P139" s="109">
        <v>0</v>
      </c>
      <c r="Q139" s="109">
        <f t="shared" si="11"/>
        <v>0</v>
      </c>
      <c r="R139" s="109">
        <f t="shared" si="12"/>
        <v>0</v>
      </c>
      <c r="S139" s="109">
        <f t="shared" si="13"/>
        <v>0</v>
      </c>
      <c r="T139" s="110">
        <f t="shared" si="14"/>
        <v>0.27737245610486677</v>
      </c>
      <c r="U139" s="111">
        <f t="shared" si="15"/>
        <v>0.43650013965538831</v>
      </c>
      <c r="V139" s="115">
        <v>2016</v>
      </c>
      <c r="W139" s="113" t="s">
        <v>136</v>
      </c>
    </row>
    <row r="140" spans="1:23" s="114" customFormat="1" x14ac:dyDescent="0.2">
      <c r="A140" s="105">
        <v>523</v>
      </c>
      <c r="B140" s="106" t="s">
        <v>70</v>
      </c>
      <c r="C140" s="106" t="s">
        <v>2</v>
      </c>
      <c r="D140" s="106" t="s">
        <v>3</v>
      </c>
      <c r="E140" s="106" t="s">
        <v>37</v>
      </c>
      <c r="F140" s="106" t="s">
        <v>128</v>
      </c>
      <c r="G140" s="106" t="s">
        <v>74</v>
      </c>
      <c r="H140" s="106" t="s">
        <v>29</v>
      </c>
      <c r="I140" s="106" t="s">
        <v>38</v>
      </c>
      <c r="J140" s="107" t="s">
        <v>16</v>
      </c>
      <c r="K140" s="107" t="s">
        <v>18</v>
      </c>
      <c r="L140" s="108">
        <v>362564</v>
      </c>
      <c r="M140" s="108">
        <v>830616</v>
      </c>
      <c r="N140" s="108">
        <v>230390</v>
      </c>
      <c r="O140" s="107" t="s">
        <v>56</v>
      </c>
      <c r="P140" s="109">
        <v>0</v>
      </c>
      <c r="Q140" s="109">
        <f t="shared" si="11"/>
        <v>0</v>
      </c>
      <c r="R140" s="109">
        <f t="shared" si="12"/>
        <v>0</v>
      </c>
      <c r="S140" s="109">
        <f t="shared" si="13"/>
        <v>0</v>
      </c>
      <c r="T140" s="110">
        <f t="shared" si="14"/>
        <v>0.27737245610486677</v>
      </c>
      <c r="U140" s="111">
        <f t="shared" si="15"/>
        <v>0.43650013965538831</v>
      </c>
      <c r="V140" s="115">
        <v>2016</v>
      </c>
      <c r="W140" s="113" t="s">
        <v>136</v>
      </c>
    </row>
    <row r="141" spans="1:23" s="114" customFormat="1" x14ac:dyDescent="0.2">
      <c r="A141" s="105">
        <v>523.99999999999909</v>
      </c>
      <c r="B141" s="106" t="s">
        <v>70</v>
      </c>
      <c r="C141" s="106" t="s">
        <v>2</v>
      </c>
      <c r="D141" s="106" t="s">
        <v>3</v>
      </c>
      <c r="E141" s="106" t="s">
        <v>37</v>
      </c>
      <c r="F141" s="106" t="s">
        <v>128</v>
      </c>
      <c r="G141" s="106" t="s">
        <v>74</v>
      </c>
      <c r="H141" s="106" t="s">
        <v>29</v>
      </c>
      <c r="I141" s="106" t="s">
        <v>38</v>
      </c>
      <c r="J141" s="107" t="s">
        <v>16</v>
      </c>
      <c r="K141" s="107" t="s">
        <v>18</v>
      </c>
      <c r="L141" s="108">
        <v>362564</v>
      </c>
      <c r="M141" s="108">
        <v>830616</v>
      </c>
      <c r="N141" s="108">
        <v>230390</v>
      </c>
      <c r="O141" s="107" t="s">
        <v>73</v>
      </c>
      <c r="P141" s="109">
        <v>30325365</v>
      </c>
      <c r="Q141" s="109">
        <f t="shared" si="11"/>
        <v>83.641412274798384</v>
      </c>
      <c r="R141" s="109">
        <f t="shared" si="12"/>
        <v>36.509488138923402</v>
      </c>
      <c r="S141" s="109">
        <f t="shared" si="13"/>
        <v>131.62622075610921</v>
      </c>
      <c r="T141" s="110">
        <f t="shared" si="14"/>
        <v>0.27737245610486677</v>
      </c>
      <c r="U141" s="111">
        <f t="shared" si="15"/>
        <v>0.43650013965538831</v>
      </c>
      <c r="V141" s="115">
        <v>2016</v>
      </c>
      <c r="W141" s="113" t="s">
        <v>136</v>
      </c>
    </row>
    <row r="142" spans="1:23" s="114" customFormat="1" x14ac:dyDescent="0.2">
      <c r="A142" s="105">
        <v>524.99999999999898</v>
      </c>
      <c r="B142" s="106" t="s">
        <v>70</v>
      </c>
      <c r="C142" s="106" t="s">
        <v>2</v>
      </c>
      <c r="D142" s="106" t="s">
        <v>3</v>
      </c>
      <c r="E142" s="106" t="s">
        <v>37</v>
      </c>
      <c r="F142" s="106" t="s">
        <v>128</v>
      </c>
      <c r="G142" s="106" t="s">
        <v>74</v>
      </c>
      <c r="H142" s="106" t="s">
        <v>29</v>
      </c>
      <c r="I142" s="106" t="s">
        <v>38</v>
      </c>
      <c r="J142" s="107" t="s">
        <v>16</v>
      </c>
      <c r="K142" s="107" t="s">
        <v>18</v>
      </c>
      <c r="L142" s="108">
        <v>362564</v>
      </c>
      <c r="M142" s="108">
        <v>830616</v>
      </c>
      <c r="N142" s="108">
        <v>230390</v>
      </c>
      <c r="O142" s="107" t="s">
        <v>57</v>
      </c>
      <c r="P142" s="109">
        <v>36000000</v>
      </c>
      <c r="Q142" s="109">
        <f t="shared" si="11"/>
        <v>99.292814509989967</v>
      </c>
      <c r="R142" s="109">
        <f t="shared" si="12"/>
        <v>43.341327400387179</v>
      </c>
      <c r="S142" s="109">
        <f t="shared" si="13"/>
        <v>156.25678197838448</v>
      </c>
      <c r="T142" s="110">
        <f t="shared" si="14"/>
        <v>0.27737245610486677</v>
      </c>
      <c r="U142" s="111">
        <f t="shared" si="15"/>
        <v>0.43650013965538831</v>
      </c>
      <c r="V142" s="115">
        <v>2016</v>
      </c>
      <c r="W142" s="113" t="s">
        <v>136</v>
      </c>
    </row>
    <row r="143" spans="1:23" s="114" customFormat="1" x14ac:dyDescent="0.2">
      <c r="A143" s="105">
        <v>525.99999999999898</v>
      </c>
      <c r="B143" s="106" t="s">
        <v>70</v>
      </c>
      <c r="C143" s="106" t="s">
        <v>2</v>
      </c>
      <c r="D143" s="106" t="s">
        <v>3</v>
      </c>
      <c r="E143" s="106" t="s">
        <v>37</v>
      </c>
      <c r="F143" s="106" t="s">
        <v>128</v>
      </c>
      <c r="G143" s="106" t="s">
        <v>74</v>
      </c>
      <c r="H143" s="106" t="s">
        <v>29</v>
      </c>
      <c r="I143" s="106" t="s">
        <v>38</v>
      </c>
      <c r="J143" s="107" t="s">
        <v>16</v>
      </c>
      <c r="K143" s="107" t="s">
        <v>18</v>
      </c>
      <c r="L143" s="108">
        <v>362564</v>
      </c>
      <c r="M143" s="108">
        <v>830616</v>
      </c>
      <c r="N143" s="108">
        <v>230390</v>
      </c>
      <c r="O143" s="107" t="s">
        <v>58</v>
      </c>
      <c r="P143" s="109">
        <v>25276983</v>
      </c>
      <c r="Q143" s="109">
        <f t="shared" si="11"/>
        <v>69.717299566421374</v>
      </c>
      <c r="R143" s="109">
        <f t="shared" si="12"/>
        <v>30.431610997139472</v>
      </c>
      <c r="S143" s="109">
        <f t="shared" si="13"/>
        <v>109.71388949173141</v>
      </c>
      <c r="T143" s="110">
        <f t="shared" si="14"/>
        <v>0.27737245610486677</v>
      </c>
      <c r="U143" s="111">
        <f t="shared" si="15"/>
        <v>0.43650013965538831</v>
      </c>
      <c r="V143" s="115">
        <v>2016</v>
      </c>
      <c r="W143" s="113" t="s">
        <v>136</v>
      </c>
    </row>
    <row r="144" spans="1:23" s="114" customFormat="1" x14ac:dyDescent="0.2">
      <c r="A144" s="105">
        <v>526.99999999999898</v>
      </c>
      <c r="B144" s="106" t="s">
        <v>70</v>
      </c>
      <c r="C144" s="106" t="s">
        <v>2</v>
      </c>
      <c r="D144" s="106" t="s">
        <v>3</v>
      </c>
      <c r="E144" s="106" t="s">
        <v>37</v>
      </c>
      <c r="F144" s="106" t="s">
        <v>128</v>
      </c>
      <c r="G144" s="106" t="s">
        <v>74</v>
      </c>
      <c r="H144" s="106" t="s">
        <v>29</v>
      </c>
      <c r="I144" s="106" t="s">
        <v>38</v>
      </c>
      <c r="J144" s="107" t="s">
        <v>16</v>
      </c>
      <c r="K144" s="107" t="s">
        <v>18</v>
      </c>
      <c r="L144" s="108">
        <v>362564</v>
      </c>
      <c r="M144" s="108">
        <v>830616</v>
      </c>
      <c r="N144" s="108">
        <v>230390</v>
      </c>
      <c r="O144" s="107" t="s">
        <v>59</v>
      </c>
      <c r="P144" s="109">
        <v>12000000</v>
      </c>
      <c r="Q144" s="109">
        <f t="shared" si="11"/>
        <v>33.097604836663322</v>
      </c>
      <c r="R144" s="109">
        <f t="shared" si="12"/>
        <v>14.447109133462394</v>
      </c>
      <c r="S144" s="109">
        <f t="shared" si="13"/>
        <v>52.085593992794827</v>
      </c>
      <c r="T144" s="110">
        <f t="shared" si="14"/>
        <v>0.27737245610486677</v>
      </c>
      <c r="U144" s="111">
        <f t="shared" si="15"/>
        <v>0.43650013965538831</v>
      </c>
      <c r="V144" s="115">
        <v>2016</v>
      </c>
      <c r="W144" s="113" t="s">
        <v>136</v>
      </c>
    </row>
    <row r="145" spans="1:23" s="114" customFormat="1" x14ac:dyDescent="0.2">
      <c r="A145" s="105">
        <v>527.99999999999898</v>
      </c>
      <c r="B145" s="106" t="s">
        <v>70</v>
      </c>
      <c r="C145" s="106" t="s">
        <v>2</v>
      </c>
      <c r="D145" s="106" t="s">
        <v>3</v>
      </c>
      <c r="E145" s="106" t="s">
        <v>37</v>
      </c>
      <c r="F145" s="106" t="s">
        <v>128</v>
      </c>
      <c r="G145" s="106" t="s">
        <v>74</v>
      </c>
      <c r="H145" s="106" t="s">
        <v>29</v>
      </c>
      <c r="I145" s="106" t="s">
        <v>38</v>
      </c>
      <c r="J145" s="107" t="s">
        <v>16</v>
      </c>
      <c r="K145" s="107" t="s">
        <v>18</v>
      </c>
      <c r="L145" s="108">
        <v>362564</v>
      </c>
      <c r="M145" s="108">
        <v>830616</v>
      </c>
      <c r="N145" s="108">
        <v>230390</v>
      </c>
      <c r="O145" s="107" t="s">
        <v>60</v>
      </c>
      <c r="P145" s="109">
        <v>11126209</v>
      </c>
      <c r="Q145" s="109">
        <f t="shared" si="11"/>
        <v>30.687572401010581</v>
      </c>
      <c r="R145" s="109">
        <f t="shared" si="12"/>
        <v>13.395129638725958</v>
      </c>
      <c r="S145" s="109">
        <f t="shared" si="13"/>
        <v>48.292933721081646</v>
      </c>
      <c r="T145" s="110">
        <f t="shared" si="14"/>
        <v>0.27737245610486677</v>
      </c>
      <c r="U145" s="111">
        <f t="shared" si="15"/>
        <v>0.43650013965538831</v>
      </c>
      <c r="V145" s="115">
        <v>2016</v>
      </c>
      <c r="W145" s="113" t="s">
        <v>136</v>
      </c>
    </row>
    <row r="146" spans="1:23" s="114" customFormat="1" x14ac:dyDescent="0.2">
      <c r="A146" s="105">
        <v>528.99999999999898</v>
      </c>
      <c r="B146" s="106" t="s">
        <v>70</v>
      </c>
      <c r="C146" s="106" t="s">
        <v>2</v>
      </c>
      <c r="D146" s="106" t="s">
        <v>3</v>
      </c>
      <c r="E146" s="106" t="s">
        <v>37</v>
      </c>
      <c r="F146" s="106" t="s">
        <v>128</v>
      </c>
      <c r="G146" s="106" t="s">
        <v>74</v>
      </c>
      <c r="H146" s="106" t="s">
        <v>29</v>
      </c>
      <c r="I146" s="106" t="s">
        <v>38</v>
      </c>
      <c r="J146" s="107" t="s">
        <v>16</v>
      </c>
      <c r="K146" s="107" t="s">
        <v>18</v>
      </c>
      <c r="L146" s="108">
        <v>362564</v>
      </c>
      <c r="M146" s="108">
        <v>830616</v>
      </c>
      <c r="N146" s="108">
        <v>230390</v>
      </c>
      <c r="O146" s="107" t="s">
        <v>61</v>
      </c>
      <c r="P146" s="109">
        <v>0</v>
      </c>
      <c r="Q146" s="109">
        <f t="shared" si="11"/>
        <v>0</v>
      </c>
      <c r="R146" s="109">
        <f t="shared" si="12"/>
        <v>0</v>
      </c>
      <c r="S146" s="109">
        <f t="shared" si="13"/>
        <v>0</v>
      </c>
      <c r="T146" s="110">
        <f t="shared" si="14"/>
        <v>0.27737245610486677</v>
      </c>
      <c r="U146" s="111">
        <f t="shared" si="15"/>
        <v>0.43650013965538831</v>
      </c>
      <c r="V146" s="115">
        <v>2016</v>
      </c>
      <c r="W146" s="113" t="s">
        <v>136</v>
      </c>
    </row>
    <row r="147" spans="1:23" x14ac:dyDescent="0.2">
      <c r="A147" s="68">
        <v>601</v>
      </c>
      <c r="B147" s="69" t="s">
        <v>70</v>
      </c>
      <c r="C147" s="69" t="s">
        <v>2</v>
      </c>
      <c r="D147" s="69" t="s">
        <v>3</v>
      </c>
      <c r="E147" s="69" t="s">
        <v>13</v>
      </c>
      <c r="F147" s="69" t="s">
        <v>130</v>
      </c>
      <c r="G147" s="69" t="s">
        <v>31</v>
      </c>
      <c r="H147" s="69" t="s">
        <v>6</v>
      </c>
      <c r="I147" s="69" t="s">
        <v>78</v>
      </c>
      <c r="J147" s="70" t="s">
        <v>16</v>
      </c>
      <c r="K147" s="70" t="s">
        <v>18</v>
      </c>
      <c r="L147" s="71">
        <v>157951</v>
      </c>
      <c r="M147" s="71">
        <v>557289</v>
      </c>
      <c r="N147" s="71">
        <v>119039</v>
      </c>
      <c r="O147" s="70" t="s">
        <v>24</v>
      </c>
      <c r="P147" s="72">
        <v>10071141</v>
      </c>
      <c r="Q147" s="72">
        <f t="shared" si="11"/>
        <v>63.761172768770059</v>
      </c>
      <c r="R147" s="72">
        <f t="shared" si="12"/>
        <v>18.071666585918617</v>
      </c>
      <c r="S147" s="72">
        <f t="shared" si="13"/>
        <v>84.603709708582898</v>
      </c>
      <c r="T147" s="94">
        <f t="shared" si="14"/>
        <v>0.21360371369253656</v>
      </c>
      <c r="U147" s="101">
        <f t="shared" si="15"/>
        <v>0.28342744967153488</v>
      </c>
      <c r="V147" s="73">
        <v>2019</v>
      </c>
      <c r="W147" s="77" t="s">
        <v>137</v>
      </c>
    </row>
    <row r="148" spans="1:23" x14ac:dyDescent="0.2">
      <c r="A148" s="68">
        <v>602</v>
      </c>
      <c r="B148" s="69" t="s">
        <v>70</v>
      </c>
      <c r="C148" s="69" t="s">
        <v>2</v>
      </c>
      <c r="D148" s="69" t="s">
        <v>3</v>
      </c>
      <c r="E148" s="69" t="s">
        <v>13</v>
      </c>
      <c r="F148" s="69" t="s">
        <v>130</v>
      </c>
      <c r="G148" s="69" t="s">
        <v>31</v>
      </c>
      <c r="H148" s="69" t="s">
        <v>6</v>
      </c>
      <c r="I148" s="69" t="s">
        <v>78</v>
      </c>
      <c r="J148" s="70" t="s">
        <v>16</v>
      </c>
      <c r="K148" s="70" t="s">
        <v>18</v>
      </c>
      <c r="L148" s="71">
        <v>157951</v>
      </c>
      <c r="M148" s="71">
        <v>557289</v>
      </c>
      <c r="N148" s="71">
        <v>119039</v>
      </c>
      <c r="O148" s="70" t="s">
        <v>44</v>
      </c>
      <c r="P148" s="72">
        <v>0</v>
      </c>
      <c r="Q148" s="72">
        <f t="shared" si="11"/>
        <v>0</v>
      </c>
      <c r="R148" s="72">
        <f t="shared" si="12"/>
        <v>0</v>
      </c>
      <c r="S148" s="72">
        <f t="shared" si="13"/>
        <v>0</v>
      </c>
      <c r="T148" s="94">
        <f t="shared" si="14"/>
        <v>0.21360371369253656</v>
      </c>
      <c r="U148" s="101">
        <f t="shared" si="15"/>
        <v>0.28342744967153488</v>
      </c>
      <c r="V148" s="73">
        <v>2019</v>
      </c>
      <c r="W148" s="77" t="s">
        <v>137</v>
      </c>
    </row>
    <row r="149" spans="1:23" x14ac:dyDescent="0.2">
      <c r="A149" s="68">
        <v>603</v>
      </c>
      <c r="B149" s="69" t="s">
        <v>70</v>
      </c>
      <c r="C149" s="69" t="s">
        <v>2</v>
      </c>
      <c r="D149" s="69" t="s">
        <v>3</v>
      </c>
      <c r="E149" s="69" t="s">
        <v>13</v>
      </c>
      <c r="F149" s="69" t="s">
        <v>130</v>
      </c>
      <c r="G149" s="69" t="s">
        <v>31</v>
      </c>
      <c r="H149" s="69" t="s">
        <v>6</v>
      </c>
      <c r="I149" s="69" t="s">
        <v>78</v>
      </c>
      <c r="J149" s="70" t="s">
        <v>16</v>
      </c>
      <c r="K149" s="70" t="s">
        <v>18</v>
      </c>
      <c r="L149" s="71">
        <v>157951</v>
      </c>
      <c r="M149" s="71">
        <v>557289</v>
      </c>
      <c r="N149" s="71">
        <v>119039</v>
      </c>
      <c r="O149" s="70" t="s">
        <v>45</v>
      </c>
      <c r="P149" s="72">
        <v>2581835</v>
      </c>
      <c r="Q149" s="72">
        <f t="shared" si="11"/>
        <v>16.345797114294939</v>
      </c>
      <c r="R149" s="72">
        <f t="shared" si="12"/>
        <v>4.6328475889529486</v>
      </c>
      <c r="S149" s="72">
        <f t="shared" si="13"/>
        <v>21.688984282462052</v>
      </c>
      <c r="T149" s="94">
        <f t="shared" si="14"/>
        <v>0.21360371369253656</v>
      </c>
      <c r="U149" s="101">
        <f t="shared" si="15"/>
        <v>0.28342744967153488</v>
      </c>
      <c r="V149" s="73">
        <v>2019</v>
      </c>
      <c r="W149" s="77" t="s">
        <v>137</v>
      </c>
    </row>
    <row r="150" spans="1:23" x14ac:dyDescent="0.2">
      <c r="A150" s="68">
        <v>604</v>
      </c>
      <c r="B150" s="69" t="s">
        <v>70</v>
      </c>
      <c r="C150" s="69" t="s">
        <v>2</v>
      </c>
      <c r="D150" s="69" t="s">
        <v>3</v>
      </c>
      <c r="E150" s="69" t="s">
        <v>13</v>
      </c>
      <c r="F150" s="69" t="s">
        <v>130</v>
      </c>
      <c r="G150" s="69" t="s">
        <v>31</v>
      </c>
      <c r="H150" s="69" t="s">
        <v>6</v>
      </c>
      <c r="I150" s="69" t="s">
        <v>78</v>
      </c>
      <c r="J150" s="70" t="s">
        <v>16</v>
      </c>
      <c r="K150" s="70" t="s">
        <v>18</v>
      </c>
      <c r="L150" s="71">
        <v>157951</v>
      </c>
      <c r="M150" s="71">
        <v>557289</v>
      </c>
      <c r="N150" s="71">
        <v>119039</v>
      </c>
      <c r="O150" s="70" t="s">
        <v>14</v>
      </c>
      <c r="P150" s="72">
        <v>3059046</v>
      </c>
      <c r="Q150" s="72">
        <f t="shared" si="11"/>
        <v>19.36705687206792</v>
      </c>
      <c r="R150" s="72">
        <f t="shared" si="12"/>
        <v>5.4891555368937839</v>
      </c>
      <c r="S150" s="72">
        <f t="shared" si="13"/>
        <v>25.697846924117307</v>
      </c>
      <c r="T150" s="94">
        <f t="shared" si="14"/>
        <v>0.21360371369253656</v>
      </c>
      <c r="U150" s="101">
        <f t="shared" si="15"/>
        <v>0.28342744967153488</v>
      </c>
      <c r="V150" s="73">
        <v>2019</v>
      </c>
      <c r="W150" s="77" t="s">
        <v>137</v>
      </c>
    </row>
    <row r="151" spans="1:23" x14ac:dyDescent="0.2">
      <c r="A151" s="68">
        <v>605</v>
      </c>
      <c r="B151" s="69" t="s">
        <v>70</v>
      </c>
      <c r="C151" s="69" t="s">
        <v>2</v>
      </c>
      <c r="D151" s="69" t="s">
        <v>3</v>
      </c>
      <c r="E151" s="69" t="s">
        <v>13</v>
      </c>
      <c r="F151" s="69" t="s">
        <v>130</v>
      </c>
      <c r="G151" s="69" t="s">
        <v>31</v>
      </c>
      <c r="H151" s="69" t="s">
        <v>6</v>
      </c>
      <c r="I151" s="69" t="s">
        <v>78</v>
      </c>
      <c r="J151" s="70" t="s">
        <v>16</v>
      </c>
      <c r="K151" s="70" t="s">
        <v>18</v>
      </c>
      <c r="L151" s="71">
        <v>157951</v>
      </c>
      <c r="M151" s="71">
        <v>557289</v>
      </c>
      <c r="N151" s="71">
        <v>119039</v>
      </c>
      <c r="O151" s="70" t="s">
        <v>22</v>
      </c>
      <c r="P151" s="72">
        <v>10577574</v>
      </c>
      <c r="Q151" s="72">
        <f t="shared" si="11"/>
        <v>66.967439269140428</v>
      </c>
      <c r="R151" s="72">
        <f t="shared" si="12"/>
        <v>18.980410523085869</v>
      </c>
      <c r="S151" s="72">
        <f t="shared" si="13"/>
        <v>88.858054923176439</v>
      </c>
      <c r="T151" s="94">
        <f t="shared" si="14"/>
        <v>0.21360371369253656</v>
      </c>
      <c r="U151" s="101">
        <f t="shared" si="15"/>
        <v>0.28342744967153488</v>
      </c>
      <c r="V151" s="73">
        <v>2019</v>
      </c>
      <c r="W151" s="77" t="s">
        <v>137</v>
      </c>
    </row>
    <row r="152" spans="1:23" x14ac:dyDescent="0.2">
      <c r="A152" s="68">
        <v>606</v>
      </c>
      <c r="B152" s="69" t="s">
        <v>70</v>
      </c>
      <c r="C152" s="69" t="s">
        <v>2</v>
      </c>
      <c r="D152" s="69" t="s">
        <v>3</v>
      </c>
      <c r="E152" s="69" t="s">
        <v>13</v>
      </c>
      <c r="F152" s="69" t="s">
        <v>130</v>
      </c>
      <c r="G152" s="69" t="s">
        <v>31</v>
      </c>
      <c r="H152" s="69" t="s">
        <v>6</v>
      </c>
      <c r="I152" s="69" t="s">
        <v>78</v>
      </c>
      <c r="J152" s="70" t="s">
        <v>16</v>
      </c>
      <c r="K152" s="70" t="s">
        <v>18</v>
      </c>
      <c r="L152" s="71">
        <v>157951</v>
      </c>
      <c r="M152" s="71">
        <v>557289</v>
      </c>
      <c r="N152" s="71">
        <v>119039</v>
      </c>
      <c r="O152" s="70" t="s">
        <v>20</v>
      </c>
      <c r="P152" s="72">
        <v>12917468</v>
      </c>
      <c r="Q152" s="72">
        <f t="shared" si="11"/>
        <v>81.78148919601648</v>
      </c>
      <c r="R152" s="72">
        <f t="shared" si="12"/>
        <v>23.179118913167137</v>
      </c>
      <c r="S152" s="72">
        <f t="shared" si="13"/>
        <v>108.5145876561463</v>
      </c>
      <c r="T152" s="94">
        <f t="shared" si="14"/>
        <v>0.21360371369253656</v>
      </c>
      <c r="U152" s="101">
        <f t="shared" si="15"/>
        <v>0.28342744967153488</v>
      </c>
      <c r="V152" s="73">
        <v>2019</v>
      </c>
      <c r="W152" s="77" t="s">
        <v>137</v>
      </c>
    </row>
    <row r="153" spans="1:23" x14ac:dyDescent="0.2">
      <c r="A153" s="68">
        <v>607</v>
      </c>
      <c r="B153" s="69" t="s">
        <v>70</v>
      </c>
      <c r="C153" s="69" t="s">
        <v>2</v>
      </c>
      <c r="D153" s="69" t="s">
        <v>3</v>
      </c>
      <c r="E153" s="69" t="s">
        <v>13</v>
      </c>
      <c r="F153" s="69" t="s">
        <v>130</v>
      </c>
      <c r="G153" s="69" t="s">
        <v>31</v>
      </c>
      <c r="H153" s="69" t="s">
        <v>6</v>
      </c>
      <c r="I153" s="69" t="s">
        <v>78</v>
      </c>
      <c r="J153" s="70" t="s">
        <v>16</v>
      </c>
      <c r="K153" s="70" t="s">
        <v>18</v>
      </c>
      <c r="L153" s="71">
        <v>157951</v>
      </c>
      <c r="M153" s="71">
        <v>557289</v>
      </c>
      <c r="N153" s="71">
        <v>119039</v>
      </c>
      <c r="O153" s="70" t="s">
        <v>23</v>
      </c>
      <c r="P153" s="72">
        <v>15670126</v>
      </c>
      <c r="Q153" s="72">
        <f t="shared" si="11"/>
        <v>99.20877993808206</v>
      </c>
      <c r="R153" s="72">
        <f t="shared" si="12"/>
        <v>28.118491482875132</v>
      </c>
      <c r="S153" s="72">
        <f t="shared" si="13"/>
        <v>131.63858903384605</v>
      </c>
      <c r="T153" s="94">
        <f t="shared" si="14"/>
        <v>0.21360371369253656</v>
      </c>
      <c r="U153" s="101">
        <f t="shared" si="15"/>
        <v>0.28342744967153488</v>
      </c>
      <c r="V153" s="73">
        <v>2019</v>
      </c>
      <c r="W153" s="77" t="s">
        <v>137</v>
      </c>
    </row>
    <row r="154" spans="1:23" x14ac:dyDescent="0.2">
      <c r="A154" s="68">
        <v>608</v>
      </c>
      <c r="B154" s="69" t="s">
        <v>70</v>
      </c>
      <c r="C154" s="69" t="s">
        <v>2</v>
      </c>
      <c r="D154" s="69" t="s">
        <v>3</v>
      </c>
      <c r="E154" s="69" t="s">
        <v>13</v>
      </c>
      <c r="F154" s="69" t="s">
        <v>130</v>
      </c>
      <c r="G154" s="69" t="s">
        <v>31</v>
      </c>
      <c r="H154" s="69" t="s">
        <v>6</v>
      </c>
      <c r="I154" s="69" t="s">
        <v>78</v>
      </c>
      <c r="J154" s="70" t="s">
        <v>16</v>
      </c>
      <c r="K154" s="70" t="s">
        <v>18</v>
      </c>
      <c r="L154" s="71">
        <v>157951</v>
      </c>
      <c r="M154" s="71">
        <v>557289</v>
      </c>
      <c r="N154" s="71">
        <v>119039</v>
      </c>
      <c r="O154" s="70" t="s">
        <v>25</v>
      </c>
      <c r="P154" s="72">
        <v>3297474</v>
      </c>
      <c r="Q154" s="72">
        <f t="shared" si="11"/>
        <v>20.876562984723112</v>
      </c>
      <c r="R154" s="72">
        <f t="shared" si="12"/>
        <v>5.9169910046672376</v>
      </c>
      <c r="S154" s="72">
        <f t="shared" si="13"/>
        <v>27.700787136988719</v>
      </c>
      <c r="T154" s="94">
        <f t="shared" si="14"/>
        <v>0.21360371369253656</v>
      </c>
      <c r="U154" s="101">
        <f t="shared" si="15"/>
        <v>0.28342744967153488</v>
      </c>
      <c r="V154" s="73">
        <v>2019</v>
      </c>
      <c r="W154" s="77" t="s">
        <v>137</v>
      </c>
    </row>
    <row r="155" spans="1:23" x14ac:dyDescent="0.2">
      <c r="A155" s="68">
        <v>609</v>
      </c>
      <c r="B155" s="69" t="s">
        <v>70</v>
      </c>
      <c r="C155" s="69" t="s">
        <v>2</v>
      </c>
      <c r="D155" s="69" t="s">
        <v>3</v>
      </c>
      <c r="E155" s="69" t="s">
        <v>13</v>
      </c>
      <c r="F155" s="69" t="s">
        <v>130</v>
      </c>
      <c r="G155" s="69" t="s">
        <v>31</v>
      </c>
      <c r="H155" s="69" t="s">
        <v>6</v>
      </c>
      <c r="I155" s="69" t="s">
        <v>78</v>
      </c>
      <c r="J155" s="70" t="s">
        <v>16</v>
      </c>
      <c r="K155" s="70" t="s">
        <v>18</v>
      </c>
      <c r="L155" s="71">
        <v>157951</v>
      </c>
      <c r="M155" s="71">
        <v>557289</v>
      </c>
      <c r="N155" s="71">
        <v>119039</v>
      </c>
      <c r="O155" s="70" t="s">
        <v>46</v>
      </c>
      <c r="P155" s="72">
        <v>0</v>
      </c>
      <c r="Q155" s="72">
        <f t="shared" si="11"/>
        <v>0</v>
      </c>
      <c r="R155" s="72">
        <f t="shared" si="12"/>
        <v>0</v>
      </c>
      <c r="S155" s="72">
        <f t="shared" si="13"/>
        <v>0</v>
      </c>
      <c r="T155" s="94">
        <f t="shared" si="14"/>
        <v>0.21360371369253656</v>
      </c>
      <c r="U155" s="101">
        <f t="shared" si="15"/>
        <v>0.28342744967153488</v>
      </c>
      <c r="V155" s="73">
        <v>2019</v>
      </c>
      <c r="W155" s="77" t="s">
        <v>137</v>
      </c>
    </row>
    <row r="156" spans="1:23" x14ac:dyDescent="0.2">
      <c r="A156" s="68">
        <v>610</v>
      </c>
      <c r="B156" s="69" t="s">
        <v>70</v>
      </c>
      <c r="C156" s="69" t="s">
        <v>2</v>
      </c>
      <c r="D156" s="69" t="s">
        <v>3</v>
      </c>
      <c r="E156" s="69" t="s">
        <v>13</v>
      </c>
      <c r="F156" s="69" t="s">
        <v>130</v>
      </c>
      <c r="G156" s="69" t="s">
        <v>31</v>
      </c>
      <c r="H156" s="69" t="s">
        <v>6</v>
      </c>
      <c r="I156" s="69" t="s">
        <v>78</v>
      </c>
      <c r="J156" s="70" t="s">
        <v>16</v>
      </c>
      <c r="K156" s="70" t="s">
        <v>18</v>
      </c>
      <c r="L156" s="71">
        <v>157951</v>
      </c>
      <c r="M156" s="71">
        <v>557289</v>
      </c>
      <c r="N156" s="71">
        <v>119039</v>
      </c>
      <c r="O156" s="70" t="s">
        <v>34</v>
      </c>
      <c r="P156" s="72">
        <v>0</v>
      </c>
      <c r="Q156" s="72">
        <f t="shared" si="11"/>
        <v>0</v>
      </c>
      <c r="R156" s="72">
        <f t="shared" si="12"/>
        <v>0</v>
      </c>
      <c r="S156" s="72">
        <f t="shared" si="13"/>
        <v>0</v>
      </c>
      <c r="T156" s="94">
        <f t="shared" si="14"/>
        <v>0.21360371369253656</v>
      </c>
      <c r="U156" s="101">
        <f t="shared" si="15"/>
        <v>0.28342744967153488</v>
      </c>
      <c r="V156" s="73">
        <v>2019</v>
      </c>
      <c r="W156" s="77" t="s">
        <v>137</v>
      </c>
    </row>
    <row r="157" spans="1:23" x14ac:dyDescent="0.2">
      <c r="A157" s="68">
        <v>611</v>
      </c>
      <c r="B157" s="69" t="s">
        <v>70</v>
      </c>
      <c r="C157" s="69" t="s">
        <v>2</v>
      </c>
      <c r="D157" s="69" t="s">
        <v>3</v>
      </c>
      <c r="E157" s="69" t="s">
        <v>13</v>
      </c>
      <c r="F157" s="69" t="s">
        <v>130</v>
      </c>
      <c r="G157" s="69" t="s">
        <v>31</v>
      </c>
      <c r="H157" s="69" t="s">
        <v>6</v>
      </c>
      <c r="I157" s="69" t="s">
        <v>78</v>
      </c>
      <c r="J157" s="70" t="s">
        <v>16</v>
      </c>
      <c r="K157" s="70" t="s">
        <v>18</v>
      </c>
      <c r="L157" s="71">
        <v>157951</v>
      </c>
      <c r="M157" s="71">
        <v>557289</v>
      </c>
      <c r="N157" s="71">
        <v>119039</v>
      </c>
      <c r="O157" s="70" t="s">
        <v>26</v>
      </c>
      <c r="P157" s="72">
        <v>14960687</v>
      </c>
      <c r="Q157" s="72">
        <f t="shared" si="11"/>
        <v>94.71726674728238</v>
      </c>
      <c r="R157" s="72">
        <f t="shared" si="12"/>
        <v>26.84547335404072</v>
      </c>
      <c r="S157" s="72">
        <f t="shared" si="13"/>
        <v>125.67886995018439</v>
      </c>
      <c r="T157" s="94">
        <f t="shared" si="14"/>
        <v>0.21360371369253656</v>
      </c>
      <c r="U157" s="101">
        <f t="shared" si="15"/>
        <v>0.28342744967153488</v>
      </c>
      <c r="V157" s="73">
        <v>2019</v>
      </c>
      <c r="W157" s="77" t="s">
        <v>137</v>
      </c>
    </row>
    <row r="158" spans="1:23" x14ac:dyDescent="0.2">
      <c r="A158" s="68">
        <v>612</v>
      </c>
      <c r="B158" s="69" t="s">
        <v>70</v>
      </c>
      <c r="C158" s="69" t="s">
        <v>2</v>
      </c>
      <c r="D158" s="69" t="s">
        <v>3</v>
      </c>
      <c r="E158" s="69" t="s">
        <v>13</v>
      </c>
      <c r="F158" s="69" t="s">
        <v>130</v>
      </c>
      <c r="G158" s="69" t="s">
        <v>31</v>
      </c>
      <c r="H158" s="69" t="s">
        <v>6</v>
      </c>
      <c r="I158" s="69" t="s">
        <v>78</v>
      </c>
      <c r="J158" s="70" t="s">
        <v>16</v>
      </c>
      <c r="K158" s="70" t="s">
        <v>18</v>
      </c>
      <c r="L158" s="71">
        <v>157951</v>
      </c>
      <c r="M158" s="71">
        <v>557289</v>
      </c>
      <c r="N158" s="71">
        <v>119039</v>
      </c>
      <c r="O158" s="70" t="s">
        <v>28</v>
      </c>
      <c r="P158" s="72">
        <v>4329380</v>
      </c>
      <c r="Q158" s="72">
        <f t="shared" si="11"/>
        <v>27.409639698387476</v>
      </c>
      <c r="R158" s="72">
        <f t="shared" si="12"/>
        <v>7.7686442761296206</v>
      </c>
      <c r="S158" s="72">
        <f t="shared" si="13"/>
        <v>36.3694251463806</v>
      </c>
      <c r="T158" s="94">
        <f t="shared" si="14"/>
        <v>0.21360371369253656</v>
      </c>
      <c r="U158" s="101">
        <f t="shared" si="15"/>
        <v>0.28342744967153488</v>
      </c>
      <c r="V158" s="73">
        <v>2019</v>
      </c>
      <c r="W158" s="77" t="s">
        <v>137</v>
      </c>
    </row>
    <row r="159" spans="1:23" x14ac:dyDescent="0.2">
      <c r="A159" s="68">
        <v>613</v>
      </c>
      <c r="B159" s="69" t="s">
        <v>70</v>
      </c>
      <c r="C159" s="69" t="s">
        <v>2</v>
      </c>
      <c r="D159" s="69" t="s">
        <v>3</v>
      </c>
      <c r="E159" s="69" t="s">
        <v>13</v>
      </c>
      <c r="F159" s="69" t="s">
        <v>130</v>
      </c>
      <c r="G159" s="69" t="s">
        <v>31</v>
      </c>
      <c r="H159" s="69" t="s">
        <v>6</v>
      </c>
      <c r="I159" s="69" t="s">
        <v>78</v>
      </c>
      <c r="J159" s="70" t="s">
        <v>16</v>
      </c>
      <c r="K159" s="70" t="s">
        <v>18</v>
      </c>
      <c r="L159" s="71">
        <v>157951</v>
      </c>
      <c r="M159" s="71">
        <v>557289</v>
      </c>
      <c r="N159" s="71">
        <v>119039</v>
      </c>
      <c r="O159" s="70" t="s">
        <v>47</v>
      </c>
      <c r="P159" s="72">
        <v>0</v>
      </c>
      <c r="Q159" s="72">
        <f t="shared" si="11"/>
        <v>0</v>
      </c>
      <c r="R159" s="72">
        <f t="shared" si="12"/>
        <v>0</v>
      </c>
      <c r="S159" s="72">
        <f t="shared" si="13"/>
        <v>0</v>
      </c>
      <c r="T159" s="94">
        <f t="shared" si="14"/>
        <v>0.21360371369253656</v>
      </c>
      <c r="U159" s="101">
        <f t="shared" si="15"/>
        <v>0.28342744967153488</v>
      </c>
      <c r="V159" s="73">
        <v>2019</v>
      </c>
      <c r="W159" s="77" t="s">
        <v>137</v>
      </c>
    </row>
    <row r="160" spans="1:23" x14ac:dyDescent="0.2">
      <c r="A160" s="68">
        <v>614</v>
      </c>
      <c r="B160" s="69" t="s">
        <v>70</v>
      </c>
      <c r="C160" s="69" t="s">
        <v>2</v>
      </c>
      <c r="D160" s="69" t="s">
        <v>3</v>
      </c>
      <c r="E160" s="69" t="s">
        <v>13</v>
      </c>
      <c r="F160" s="69" t="s">
        <v>130</v>
      </c>
      <c r="G160" s="69" t="s">
        <v>31</v>
      </c>
      <c r="H160" s="69" t="s">
        <v>6</v>
      </c>
      <c r="I160" s="69" t="s">
        <v>78</v>
      </c>
      <c r="J160" s="70" t="s">
        <v>16</v>
      </c>
      <c r="K160" s="70" t="s">
        <v>18</v>
      </c>
      <c r="L160" s="71">
        <v>157951</v>
      </c>
      <c r="M160" s="71">
        <v>557289</v>
      </c>
      <c r="N160" s="71">
        <v>119039</v>
      </c>
      <c r="O160" s="70" t="s">
        <v>27</v>
      </c>
      <c r="P160" s="72">
        <v>4319911</v>
      </c>
      <c r="Q160" s="72">
        <f t="shared" si="11"/>
        <v>27.349690726870993</v>
      </c>
      <c r="R160" s="72">
        <f t="shared" si="12"/>
        <v>7.7516530920222717</v>
      </c>
      <c r="S160" s="72">
        <f t="shared" si="13"/>
        <v>36.289879787296599</v>
      </c>
      <c r="T160" s="94">
        <f t="shared" si="14"/>
        <v>0.21360371369253656</v>
      </c>
      <c r="U160" s="101">
        <f t="shared" si="15"/>
        <v>0.28342744967153488</v>
      </c>
      <c r="V160" s="73">
        <v>2019</v>
      </c>
      <c r="W160" s="77" t="s">
        <v>137</v>
      </c>
    </row>
    <row r="161" spans="1:23" x14ac:dyDescent="0.2">
      <c r="A161" s="68">
        <v>615</v>
      </c>
      <c r="B161" s="69" t="s">
        <v>70</v>
      </c>
      <c r="C161" s="69" t="s">
        <v>2</v>
      </c>
      <c r="D161" s="69" t="s">
        <v>3</v>
      </c>
      <c r="E161" s="69" t="s">
        <v>13</v>
      </c>
      <c r="F161" s="69" t="s">
        <v>130</v>
      </c>
      <c r="G161" s="69" t="s">
        <v>31</v>
      </c>
      <c r="H161" s="69" t="s">
        <v>6</v>
      </c>
      <c r="I161" s="69" t="s">
        <v>78</v>
      </c>
      <c r="J161" s="70" t="s">
        <v>16</v>
      </c>
      <c r="K161" s="70" t="s">
        <v>18</v>
      </c>
      <c r="L161" s="71">
        <v>157951</v>
      </c>
      <c r="M161" s="71">
        <v>557289</v>
      </c>
      <c r="N161" s="71">
        <v>119039</v>
      </c>
      <c r="O161" s="70" t="s">
        <v>48</v>
      </c>
      <c r="P161" s="72">
        <v>0</v>
      </c>
      <c r="Q161" s="72">
        <f t="shared" si="11"/>
        <v>0</v>
      </c>
      <c r="R161" s="72">
        <f t="shared" si="12"/>
        <v>0</v>
      </c>
      <c r="S161" s="72">
        <f t="shared" si="13"/>
        <v>0</v>
      </c>
      <c r="T161" s="94">
        <f t="shared" si="14"/>
        <v>0.21360371369253656</v>
      </c>
      <c r="U161" s="101">
        <f t="shared" si="15"/>
        <v>0.28342744967153488</v>
      </c>
      <c r="V161" s="73">
        <v>2019</v>
      </c>
      <c r="W161" s="77" t="s">
        <v>137</v>
      </c>
    </row>
    <row r="162" spans="1:23" x14ac:dyDescent="0.2">
      <c r="A162" s="68">
        <v>616</v>
      </c>
      <c r="B162" s="69" t="s">
        <v>70</v>
      </c>
      <c r="C162" s="69" t="s">
        <v>2</v>
      </c>
      <c r="D162" s="69" t="s">
        <v>3</v>
      </c>
      <c r="E162" s="69" t="s">
        <v>13</v>
      </c>
      <c r="F162" s="69" t="s">
        <v>130</v>
      </c>
      <c r="G162" s="69" t="s">
        <v>31</v>
      </c>
      <c r="H162" s="69" t="s">
        <v>6</v>
      </c>
      <c r="I162" s="69" t="s">
        <v>78</v>
      </c>
      <c r="J162" s="70" t="s">
        <v>16</v>
      </c>
      <c r="K162" s="70" t="s">
        <v>18</v>
      </c>
      <c r="L162" s="71">
        <v>157951</v>
      </c>
      <c r="M162" s="71">
        <v>557289</v>
      </c>
      <c r="N162" s="71">
        <v>119039</v>
      </c>
      <c r="O162" s="70" t="s">
        <v>49</v>
      </c>
      <c r="P162" s="72">
        <v>14770038</v>
      </c>
      <c r="Q162" s="72">
        <f t="shared" si="11"/>
        <v>93.510253179783604</v>
      </c>
      <c r="R162" s="72">
        <f t="shared" si="12"/>
        <v>26.503372576885603</v>
      </c>
      <c r="S162" s="72">
        <f t="shared" si="13"/>
        <v>124.07730239669353</v>
      </c>
      <c r="T162" s="94">
        <f t="shared" si="14"/>
        <v>0.21360371369253656</v>
      </c>
      <c r="U162" s="101">
        <f t="shared" si="15"/>
        <v>0.28342744967153488</v>
      </c>
      <c r="V162" s="73">
        <v>2019</v>
      </c>
      <c r="W162" s="77" t="s">
        <v>137</v>
      </c>
    </row>
    <row r="163" spans="1:23" x14ac:dyDescent="0.2">
      <c r="A163" s="68">
        <v>617</v>
      </c>
      <c r="B163" s="69" t="s">
        <v>70</v>
      </c>
      <c r="C163" s="69" t="s">
        <v>2</v>
      </c>
      <c r="D163" s="69" t="s">
        <v>3</v>
      </c>
      <c r="E163" s="69" t="s">
        <v>13</v>
      </c>
      <c r="F163" s="69" t="s">
        <v>130</v>
      </c>
      <c r="G163" s="69" t="s">
        <v>31</v>
      </c>
      <c r="H163" s="69" t="s">
        <v>6</v>
      </c>
      <c r="I163" s="69" t="s">
        <v>78</v>
      </c>
      <c r="J163" s="70" t="s">
        <v>16</v>
      </c>
      <c r="K163" s="70" t="s">
        <v>18</v>
      </c>
      <c r="L163" s="71">
        <v>157951</v>
      </c>
      <c r="M163" s="71">
        <v>557289</v>
      </c>
      <c r="N163" s="71">
        <v>119039</v>
      </c>
      <c r="O163" s="70" t="s">
        <v>50</v>
      </c>
      <c r="P163" s="72">
        <v>3900000</v>
      </c>
      <c r="Q163" s="72">
        <f t="shared" si="11"/>
        <v>24.691201701793595</v>
      </c>
      <c r="R163" s="72">
        <f t="shared" si="12"/>
        <v>6.9981643276648207</v>
      </c>
      <c r="S163" s="72">
        <f t="shared" si="13"/>
        <v>32.762371995732494</v>
      </c>
      <c r="T163" s="94">
        <f t="shared" si="14"/>
        <v>0.21360371369253656</v>
      </c>
      <c r="U163" s="101">
        <f t="shared" si="15"/>
        <v>0.28342744967153488</v>
      </c>
      <c r="V163" s="73">
        <v>2019</v>
      </c>
      <c r="W163" s="77" t="s">
        <v>137</v>
      </c>
    </row>
    <row r="164" spans="1:23" x14ac:dyDescent="0.2">
      <c r="A164" s="68">
        <v>618</v>
      </c>
      <c r="B164" s="69" t="s">
        <v>70</v>
      </c>
      <c r="C164" s="69" t="s">
        <v>2</v>
      </c>
      <c r="D164" s="69" t="s">
        <v>3</v>
      </c>
      <c r="E164" s="69" t="s">
        <v>13</v>
      </c>
      <c r="F164" s="69" t="s">
        <v>130</v>
      </c>
      <c r="G164" s="69" t="s">
        <v>31</v>
      </c>
      <c r="H164" s="69" t="s">
        <v>6</v>
      </c>
      <c r="I164" s="69" t="s">
        <v>78</v>
      </c>
      <c r="J164" s="70" t="s">
        <v>16</v>
      </c>
      <c r="K164" s="70" t="s">
        <v>18</v>
      </c>
      <c r="L164" s="71">
        <v>157951</v>
      </c>
      <c r="M164" s="71">
        <v>557289</v>
      </c>
      <c r="N164" s="71">
        <v>119039</v>
      </c>
      <c r="O164" s="70" t="s">
        <v>51</v>
      </c>
      <c r="P164" s="72">
        <v>2700000</v>
      </c>
      <c r="Q164" s="72">
        <f t="shared" si="11"/>
        <v>17.09390887047249</v>
      </c>
      <c r="R164" s="72">
        <f t="shared" si="12"/>
        <v>4.8448829960756452</v>
      </c>
      <c r="S164" s="72">
        <f t="shared" si="13"/>
        <v>22.681642150891726</v>
      </c>
      <c r="T164" s="94">
        <f t="shared" si="14"/>
        <v>0.21360371369253656</v>
      </c>
      <c r="U164" s="101">
        <f t="shared" si="15"/>
        <v>0.28342744967153488</v>
      </c>
      <c r="V164" s="73">
        <v>2019</v>
      </c>
      <c r="W164" s="77" t="s">
        <v>137</v>
      </c>
    </row>
    <row r="165" spans="1:23" x14ac:dyDescent="0.2">
      <c r="A165" s="68">
        <v>619</v>
      </c>
      <c r="B165" s="69" t="s">
        <v>70</v>
      </c>
      <c r="C165" s="69" t="s">
        <v>2</v>
      </c>
      <c r="D165" s="69" t="s">
        <v>3</v>
      </c>
      <c r="E165" s="69" t="s">
        <v>13</v>
      </c>
      <c r="F165" s="69" t="s">
        <v>130</v>
      </c>
      <c r="G165" s="69" t="s">
        <v>31</v>
      </c>
      <c r="H165" s="69" t="s">
        <v>6</v>
      </c>
      <c r="I165" s="69" t="s">
        <v>78</v>
      </c>
      <c r="J165" s="70" t="s">
        <v>16</v>
      </c>
      <c r="K165" s="70" t="s">
        <v>18</v>
      </c>
      <c r="L165" s="71">
        <v>157951</v>
      </c>
      <c r="M165" s="71">
        <v>557289</v>
      </c>
      <c r="N165" s="71">
        <v>119039</v>
      </c>
      <c r="O165" s="70" t="s">
        <v>52</v>
      </c>
      <c r="P165" s="72">
        <v>0</v>
      </c>
      <c r="Q165" s="72">
        <f t="shared" si="11"/>
        <v>0</v>
      </c>
      <c r="R165" s="72">
        <f t="shared" si="12"/>
        <v>0</v>
      </c>
      <c r="S165" s="72">
        <f t="shared" si="13"/>
        <v>0</v>
      </c>
      <c r="T165" s="94">
        <f t="shared" si="14"/>
        <v>0.21360371369253656</v>
      </c>
      <c r="U165" s="101">
        <f t="shared" si="15"/>
        <v>0.28342744967153488</v>
      </c>
      <c r="V165" s="73">
        <v>2019</v>
      </c>
      <c r="W165" s="77" t="s">
        <v>137</v>
      </c>
    </row>
    <row r="166" spans="1:23" x14ac:dyDescent="0.2">
      <c r="A166" s="68">
        <v>620</v>
      </c>
      <c r="B166" s="69" t="s">
        <v>70</v>
      </c>
      <c r="C166" s="69" t="s">
        <v>2</v>
      </c>
      <c r="D166" s="69" t="s">
        <v>3</v>
      </c>
      <c r="E166" s="69" t="s">
        <v>13</v>
      </c>
      <c r="F166" s="69" t="s">
        <v>130</v>
      </c>
      <c r="G166" s="69" t="s">
        <v>31</v>
      </c>
      <c r="H166" s="69" t="s">
        <v>6</v>
      </c>
      <c r="I166" s="69" t="s">
        <v>78</v>
      </c>
      <c r="J166" s="70" t="s">
        <v>16</v>
      </c>
      <c r="K166" s="70" t="s">
        <v>18</v>
      </c>
      <c r="L166" s="71">
        <v>157951</v>
      </c>
      <c r="M166" s="71">
        <v>557289</v>
      </c>
      <c r="N166" s="71">
        <v>119039</v>
      </c>
      <c r="O166" s="70" t="s">
        <v>53</v>
      </c>
      <c r="P166" s="72">
        <v>0</v>
      </c>
      <c r="Q166" s="72">
        <f t="shared" si="11"/>
        <v>0</v>
      </c>
      <c r="R166" s="72">
        <f t="shared" si="12"/>
        <v>0</v>
      </c>
      <c r="S166" s="72">
        <f t="shared" si="13"/>
        <v>0</v>
      </c>
      <c r="T166" s="94">
        <f t="shared" si="14"/>
        <v>0.21360371369253656</v>
      </c>
      <c r="U166" s="101">
        <f t="shared" si="15"/>
        <v>0.28342744967153488</v>
      </c>
      <c r="V166" s="73">
        <v>2019</v>
      </c>
      <c r="W166" s="77" t="s">
        <v>137</v>
      </c>
    </row>
    <row r="167" spans="1:23" x14ac:dyDescent="0.2">
      <c r="A167" s="68">
        <v>621</v>
      </c>
      <c r="B167" s="69" t="s">
        <v>70</v>
      </c>
      <c r="C167" s="69" t="s">
        <v>2</v>
      </c>
      <c r="D167" s="69" t="s">
        <v>3</v>
      </c>
      <c r="E167" s="69" t="s">
        <v>13</v>
      </c>
      <c r="F167" s="69" t="s">
        <v>130</v>
      </c>
      <c r="G167" s="69" t="s">
        <v>31</v>
      </c>
      <c r="H167" s="69" t="s">
        <v>6</v>
      </c>
      <c r="I167" s="69" t="s">
        <v>78</v>
      </c>
      <c r="J167" s="70" t="s">
        <v>16</v>
      </c>
      <c r="K167" s="70" t="s">
        <v>18</v>
      </c>
      <c r="L167" s="71">
        <v>157951</v>
      </c>
      <c r="M167" s="71">
        <v>557289</v>
      </c>
      <c r="N167" s="71">
        <v>119039</v>
      </c>
      <c r="O167" s="70" t="s">
        <v>55</v>
      </c>
      <c r="P167" s="72">
        <v>0</v>
      </c>
      <c r="Q167" s="72">
        <f t="shared" si="11"/>
        <v>0</v>
      </c>
      <c r="R167" s="72">
        <f t="shared" si="12"/>
        <v>0</v>
      </c>
      <c r="S167" s="72">
        <f t="shared" si="13"/>
        <v>0</v>
      </c>
      <c r="T167" s="94">
        <f t="shared" si="14"/>
        <v>0.21360371369253656</v>
      </c>
      <c r="U167" s="101">
        <f t="shared" si="15"/>
        <v>0.28342744967153488</v>
      </c>
      <c r="V167" s="73">
        <v>2019</v>
      </c>
      <c r="W167" s="77" t="s">
        <v>137</v>
      </c>
    </row>
    <row r="168" spans="1:23" x14ac:dyDescent="0.2">
      <c r="A168" s="68">
        <v>622</v>
      </c>
      <c r="B168" s="69" t="s">
        <v>70</v>
      </c>
      <c r="C168" s="69" t="s">
        <v>2</v>
      </c>
      <c r="D168" s="69" t="s">
        <v>3</v>
      </c>
      <c r="E168" s="69" t="s">
        <v>13</v>
      </c>
      <c r="F168" s="69" t="s">
        <v>130</v>
      </c>
      <c r="G168" s="69" t="s">
        <v>31</v>
      </c>
      <c r="H168" s="69" t="s">
        <v>6</v>
      </c>
      <c r="I168" s="69" t="s">
        <v>78</v>
      </c>
      <c r="J168" s="70" t="s">
        <v>16</v>
      </c>
      <c r="K168" s="70" t="s">
        <v>18</v>
      </c>
      <c r="L168" s="71">
        <v>157951</v>
      </c>
      <c r="M168" s="71">
        <v>557289</v>
      </c>
      <c r="N168" s="71">
        <v>119039</v>
      </c>
      <c r="O168" s="70" t="s">
        <v>54</v>
      </c>
      <c r="P168" s="72">
        <v>9438518</v>
      </c>
      <c r="Q168" s="72">
        <f t="shared" si="11"/>
        <v>59.755987616412682</v>
      </c>
      <c r="R168" s="72">
        <f t="shared" si="12"/>
        <v>16.936487172723666</v>
      </c>
      <c r="S168" s="72">
        <f t="shared" si="13"/>
        <v>79.28929174472232</v>
      </c>
      <c r="T168" s="94">
        <f t="shared" si="14"/>
        <v>0.21360371369253656</v>
      </c>
      <c r="U168" s="101">
        <f t="shared" si="15"/>
        <v>0.28342744967153488</v>
      </c>
      <c r="V168" s="73">
        <v>2019</v>
      </c>
      <c r="W168" s="77" t="s">
        <v>137</v>
      </c>
    </row>
    <row r="169" spans="1:23" x14ac:dyDescent="0.2">
      <c r="A169" s="68">
        <v>623</v>
      </c>
      <c r="B169" s="69" t="s">
        <v>70</v>
      </c>
      <c r="C169" s="69" t="s">
        <v>2</v>
      </c>
      <c r="D169" s="69" t="s">
        <v>3</v>
      </c>
      <c r="E169" s="69" t="s">
        <v>13</v>
      </c>
      <c r="F169" s="69" t="s">
        <v>130</v>
      </c>
      <c r="G169" s="69" t="s">
        <v>31</v>
      </c>
      <c r="H169" s="69" t="s">
        <v>6</v>
      </c>
      <c r="I169" s="69" t="s">
        <v>78</v>
      </c>
      <c r="J169" s="70" t="s">
        <v>16</v>
      </c>
      <c r="K169" s="70" t="s">
        <v>18</v>
      </c>
      <c r="L169" s="71">
        <v>157951</v>
      </c>
      <c r="M169" s="71">
        <v>557289</v>
      </c>
      <c r="N169" s="71">
        <v>119039</v>
      </c>
      <c r="O169" s="70" t="s">
        <v>56</v>
      </c>
      <c r="P169" s="72">
        <v>0</v>
      </c>
      <c r="Q169" s="72">
        <f t="shared" si="11"/>
        <v>0</v>
      </c>
      <c r="R169" s="72">
        <f t="shared" si="12"/>
        <v>0</v>
      </c>
      <c r="S169" s="72">
        <f t="shared" si="13"/>
        <v>0</v>
      </c>
      <c r="T169" s="94">
        <f t="shared" si="14"/>
        <v>0.21360371369253656</v>
      </c>
      <c r="U169" s="101">
        <f t="shared" si="15"/>
        <v>0.28342744967153488</v>
      </c>
      <c r="V169" s="73">
        <v>2019</v>
      </c>
      <c r="W169" s="77" t="s">
        <v>137</v>
      </c>
    </row>
    <row r="170" spans="1:23" x14ac:dyDescent="0.2">
      <c r="A170" s="68">
        <v>623.99999999999909</v>
      </c>
      <c r="B170" s="69" t="s">
        <v>70</v>
      </c>
      <c r="C170" s="69" t="s">
        <v>2</v>
      </c>
      <c r="D170" s="69" t="s">
        <v>3</v>
      </c>
      <c r="E170" s="69" t="s">
        <v>13</v>
      </c>
      <c r="F170" s="69" t="s">
        <v>130</v>
      </c>
      <c r="G170" s="69" t="s">
        <v>31</v>
      </c>
      <c r="H170" s="69" t="s">
        <v>6</v>
      </c>
      <c r="I170" s="69" t="s">
        <v>78</v>
      </c>
      <c r="J170" s="70" t="s">
        <v>16</v>
      </c>
      <c r="K170" s="70" t="s">
        <v>18</v>
      </c>
      <c r="L170" s="71">
        <v>157951</v>
      </c>
      <c r="M170" s="71">
        <v>557289</v>
      </c>
      <c r="N170" s="71">
        <v>119039</v>
      </c>
      <c r="O170" s="70" t="s">
        <v>73</v>
      </c>
      <c r="P170" s="72">
        <v>8852560</v>
      </c>
      <c r="Q170" s="72">
        <f t="shared" si="11"/>
        <v>56.046242189033308</v>
      </c>
      <c r="R170" s="72">
        <f t="shared" si="12"/>
        <v>15.885043487310893</v>
      </c>
      <c r="S170" s="72">
        <f t="shared" si="13"/>
        <v>74.366888162702978</v>
      </c>
      <c r="T170" s="94">
        <f t="shared" si="14"/>
        <v>0.21360371369253656</v>
      </c>
      <c r="U170" s="101">
        <f t="shared" si="15"/>
        <v>0.28342744967153488</v>
      </c>
      <c r="V170" s="73">
        <v>2019</v>
      </c>
      <c r="W170" s="77" t="s">
        <v>137</v>
      </c>
    </row>
    <row r="171" spans="1:23" x14ac:dyDescent="0.2">
      <c r="A171" s="68">
        <v>624.99999999999898</v>
      </c>
      <c r="B171" s="69" t="s">
        <v>70</v>
      </c>
      <c r="C171" s="69" t="s">
        <v>2</v>
      </c>
      <c r="D171" s="69" t="s">
        <v>3</v>
      </c>
      <c r="E171" s="69" t="s">
        <v>13</v>
      </c>
      <c r="F171" s="69" t="s">
        <v>130</v>
      </c>
      <c r="G171" s="69" t="s">
        <v>31</v>
      </c>
      <c r="H171" s="69" t="s">
        <v>6</v>
      </c>
      <c r="I171" s="69" t="s">
        <v>78</v>
      </c>
      <c r="J171" s="70" t="s">
        <v>16</v>
      </c>
      <c r="K171" s="70" t="s">
        <v>18</v>
      </c>
      <c r="L171" s="71">
        <v>157951</v>
      </c>
      <c r="M171" s="71">
        <v>557289</v>
      </c>
      <c r="N171" s="71">
        <v>119039</v>
      </c>
      <c r="O171" s="70" t="s">
        <v>57</v>
      </c>
      <c r="P171" s="72">
        <v>30334415</v>
      </c>
      <c r="Q171" s="72">
        <f t="shared" si="11"/>
        <v>192.04952801818285</v>
      </c>
      <c r="R171" s="72">
        <f t="shared" si="12"/>
        <v>54.432107936815548</v>
      </c>
      <c r="S171" s="72">
        <f t="shared" si="13"/>
        <v>254.82753551357118</v>
      </c>
      <c r="T171" s="94">
        <f t="shared" si="14"/>
        <v>0.21360371369253656</v>
      </c>
      <c r="U171" s="101">
        <f t="shared" si="15"/>
        <v>0.28342744967153488</v>
      </c>
      <c r="V171" s="73">
        <v>2019</v>
      </c>
      <c r="W171" s="77" t="s">
        <v>137</v>
      </c>
    </row>
    <row r="172" spans="1:23" x14ac:dyDescent="0.2">
      <c r="A172" s="68">
        <v>625.99999999999898</v>
      </c>
      <c r="B172" s="69" t="s">
        <v>70</v>
      </c>
      <c r="C172" s="69" t="s">
        <v>2</v>
      </c>
      <c r="D172" s="69" t="s">
        <v>3</v>
      </c>
      <c r="E172" s="69" t="s">
        <v>13</v>
      </c>
      <c r="F172" s="69" t="s">
        <v>130</v>
      </c>
      <c r="G172" s="69" t="s">
        <v>31</v>
      </c>
      <c r="H172" s="69" t="s">
        <v>6</v>
      </c>
      <c r="I172" s="69" t="s">
        <v>78</v>
      </c>
      <c r="J172" s="70" t="s">
        <v>65</v>
      </c>
      <c r="K172" s="70" t="s">
        <v>18</v>
      </c>
      <c r="L172" s="71">
        <v>157951</v>
      </c>
      <c r="M172" s="71">
        <v>557289</v>
      </c>
      <c r="N172" s="71">
        <v>119039</v>
      </c>
      <c r="O172" s="70" t="s">
        <v>58</v>
      </c>
      <c r="P172" s="72">
        <v>18545787</v>
      </c>
      <c r="Q172" s="72">
        <f t="shared" si="11"/>
        <v>117.41481218859013</v>
      </c>
      <c r="R172" s="72">
        <f t="shared" si="12"/>
        <v>33.278580772274353</v>
      </c>
      <c r="S172" s="72">
        <f t="shared" si="13"/>
        <v>155.79589042246658</v>
      </c>
      <c r="T172" s="94">
        <f t="shared" si="14"/>
        <v>0.21360371369253656</v>
      </c>
      <c r="U172" s="101">
        <f t="shared" si="15"/>
        <v>0.28342744967153488</v>
      </c>
      <c r="V172" s="73">
        <v>2019</v>
      </c>
      <c r="W172" s="77" t="s">
        <v>137</v>
      </c>
    </row>
    <row r="173" spans="1:23" x14ac:dyDescent="0.2">
      <c r="A173" s="68">
        <v>626.99999999999898</v>
      </c>
      <c r="B173" s="69" t="s">
        <v>70</v>
      </c>
      <c r="C173" s="69" t="s">
        <v>2</v>
      </c>
      <c r="D173" s="69" t="s">
        <v>3</v>
      </c>
      <c r="E173" s="69" t="s">
        <v>13</v>
      </c>
      <c r="F173" s="69" t="s">
        <v>130</v>
      </c>
      <c r="G173" s="69" t="s">
        <v>31</v>
      </c>
      <c r="H173" s="69" t="s">
        <v>6</v>
      </c>
      <c r="I173" s="69" t="s">
        <v>78</v>
      </c>
      <c r="J173" s="70" t="s">
        <v>65</v>
      </c>
      <c r="K173" s="70" t="s">
        <v>18</v>
      </c>
      <c r="L173" s="71">
        <v>157951</v>
      </c>
      <c r="M173" s="71">
        <v>557289</v>
      </c>
      <c r="N173" s="71">
        <v>119039</v>
      </c>
      <c r="O173" s="70" t="s">
        <v>59</v>
      </c>
      <c r="P173" s="72">
        <v>11519715</v>
      </c>
      <c r="Q173" s="72">
        <f t="shared" si="11"/>
        <v>72.932206823635184</v>
      </c>
      <c r="R173" s="72">
        <f t="shared" si="12"/>
        <v>20.670989378939833</v>
      </c>
      <c r="S173" s="72">
        <f t="shared" si="13"/>
        <v>96.772612337133211</v>
      </c>
      <c r="T173" s="94">
        <f t="shared" si="14"/>
        <v>0.21360371369253656</v>
      </c>
      <c r="U173" s="101">
        <f t="shared" si="15"/>
        <v>0.28342744967153488</v>
      </c>
      <c r="V173" s="73">
        <v>2019</v>
      </c>
      <c r="W173" s="77" t="s">
        <v>137</v>
      </c>
    </row>
    <row r="174" spans="1:23" x14ac:dyDescent="0.2">
      <c r="A174" s="68">
        <v>627.99999999999898</v>
      </c>
      <c r="B174" s="69" t="s">
        <v>70</v>
      </c>
      <c r="C174" s="69" t="s">
        <v>2</v>
      </c>
      <c r="D174" s="69" t="s">
        <v>3</v>
      </c>
      <c r="E174" s="69" t="s">
        <v>13</v>
      </c>
      <c r="F174" s="69" t="s">
        <v>130</v>
      </c>
      <c r="G174" s="69" t="s">
        <v>31</v>
      </c>
      <c r="H174" s="69" t="s">
        <v>6</v>
      </c>
      <c r="I174" s="69" t="s">
        <v>78</v>
      </c>
      <c r="J174" s="70" t="s">
        <v>16</v>
      </c>
      <c r="K174" s="70" t="s">
        <v>18</v>
      </c>
      <c r="L174" s="71">
        <v>157951</v>
      </c>
      <c r="M174" s="71">
        <v>557289</v>
      </c>
      <c r="N174" s="71">
        <v>119039</v>
      </c>
      <c r="O174" s="70" t="s">
        <v>60</v>
      </c>
      <c r="P174" s="72">
        <v>0</v>
      </c>
      <c r="Q174" s="72">
        <f t="shared" si="11"/>
        <v>0</v>
      </c>
      <c r="R174" s="72">
        <f t="shared" si="12"/>
        <v>0</v>
      </c>
      <c r="S174" s="72">
        <f t="shared" si="13"/>
        <v>0</v>
      </c>
      <c r="T174" s="94">
        <f t="shared" si="14"/>
        <v>0.21360371369253656</v>
      </c>
      <c r="U174" s="101">
        <f t="shared" si="15"/>
        <v>0.28342744967153488</v>
      </c>
      <c r="V174" s="73">
        <v>2019</v>
      </c>
      <c r="W174" s="77" t="s">
        <v>137</v>
      </c>
    </row>
    <row r="175" spans="1:23" x14ac:dyDescent="0.2">
      <c r="A175" s="68">
        <v>628.99999999999898</v>
      </c>
      <c r="B175" s="69" t="s">
        <v>70</v>
      </c>
      <c r="C175" s="69" t="s">
        <v>2</v>
      </c>
      <c r="D175" s="69" t="s">
        <v>3</v>
      </c>
      <c r="E175" s="69" t="s">
        <v>13</v>
      </c>
      <c r="F175" s="69" t="s">
        <v>130</v>
      </c>
      <c r="G175" s="69" t="s">
        <v>31</v>
      </c>
      <c r="H175" s="69" t="s">
        <v>6</v>
      </c>
      <c r="I175" s="69" t="s">
        <v>78</v>
      </c>
      <c r="J175" s="70" t="s">
        <v>16</v>
      </c>
      <c r="K175" s="70" t="s">
        <v>18</v>
      </c>
      <c r="L175" s="71">
        <v>157951</v>
      </c>
      <c r="M175" s="71">
        <v>557289</v>
      </c>
      <c r="N175" s="71">
        <v>119039</v>
      </c>
      <c r="O175" s="70" t="s">
        <v>61</v>
      </c>
      <c r="P175" s="72">
        <v>0</v>
      </c>
      <c r="Q175" s="72">
        <f t="shared" si="11"/>
        <v>0</v>
      </c>
      <c r="R175" s="72">
        <f t="shared" si="12"/>
        <v>0</v>
      </c>
      <c r="S175" s="72">
        <f t="shared" si="13"/>
        <v>0</v>
      </c>
      <c r="T175" s="94">
        <f t="shared" si="14"/>
        <v>0.21360371369253656</v>
      </c>
      <c r="U175" s="101">
        <f t="shared" si="15"/>
        <v>0.28342744967153488</v>
      </c>
      <c r="V175" s="73">
        <v>2019</v>
      </c>
      <c r="W175" s="77" t="s">
        <v>137</v>
      </c>
    </row>
    <row r="176" spans="1:23" s="114" customFormat="1" x14ac:dyDescent="0.2">
      <c r="A176" s="105">
        <v>701</v>
      </c>
      <c r="B176" s="106" t="s">
        <v>70</v>
      </c>
      <c r="C176" s="106" t="s">
        <v>2</v>
      </c>
      <c r="D176" s="106" t="s">
        <v>39</v>
      </c>
      <c r="E176" s="106" t="s">
        <v>106</v>
      </c>
      <c r="F176" s="106" t="s">
        <v>139</v>
      </c>
      <c r="G176" s="106" t="s">
        <v>123</v>
      </c>
      <c r="H176" s="116" t="s">
        <v>107</v>
      </c>
      <c r="I176" s="106" t="s">
        <v>108</v>
      </c>
      <c r="J176" s="107" t="s">
        <v>16</v>
      </c>
      <c r="K176" s="107" t="s">
        <v>18</v>
      </c>
      <c r="L176" s="108">
        <v>76187</v>
      </c>
      <c r="M176" s="108">
        <v>224528</v>
      </c>
      <c r="N176" s="108">
        <v>89355</v>
      </c>
      <c r="O176" s="107" t="s">
        <v>24</v>
      </c>
      <c r="P176" s="109">
        <v>5932005.2999394722</v>
      </c>
      <c r="Q176" s="109">
        <f t="shared" si="11"/>
        <v>77.861121975395704</v>
      </c>
      <c r="R176" s="109">
        <f t="shared" si="12"/>
        <v>26.419891060088151</v>
      </c>
      <c r="S176" s="109">
        <f t="shared" si="13"/>
        <v>66.386943091483104</v>
      </c>
      <c r="T176" s="110">
        <f t="shared" si="14"/>
        <v>0.39796818214209362</v>
      </c>
      <c r="U176" s="111">
        <f t="shared" si="15"/>
        <v>0.33932070833036415</v>
      </c>
      <c r="V176" s="112">
        <v>2021</v>
      </c>
      <c r="W176" s="113" t="s">
        <v>137</v>
      </c>
    </row>
    <row r="177" spans="1:23" s="114" customFormat="1" x14ac:dyDescent="0.2">
      <c r="A177" s="105">
        <v>702</v>
      </c>
      <c r="B177" s="106" t="s">
        <v>70</v>
      </c>
      <c r="C177" s="106" t="s">
        <v>2</v>
      </c>
      <c r="D177" s="106" t="s">
        <v>39</v>
      </c>
      <c r="E177" s="106" t="s">
        <v>106</v>
      </c>
      <c r="F177" s="106" t="s">
        <v>139</v>
      </c>
      <c r="G177" s="106" t="s">
        <v>123</v>
      </c>
      <c r="H177" s="106" t="s">
        <v>107</v>
      </c>
      <c r="I177" s="106" t="s">
        <v>108</v>
      </c>
      <c r="J177" s="107" t="s">
        <v>16</v>
      </c>
      <c r="K177" s="107" t="s">
        <v>18</v>
      </c>
      <c r="L177" s="108">
        <v>76187</v>
      </c>
      <c r="M177" s="108">
        <v>224528</v>
      </c>
      <c r="N177" s="108">
        <v>89355</v>
      </c>
      <c r="O177" s="107" t="s">
        <v>44</v>
      </c>
      <c r="P177" s="109">
        <v>0</v>
      </c>
      <c r="Q177" s="109">
        <f t="shared" si="11"/>
        <v>0</v>
      </c>
      <c r="R177" s="109">
        <f t="shared" si="12"/>
        <v>0</v>
      </c>
      <c r="S177" s="109">
        <f t="shared" si="13"/>
        <v>0</v>
      </c>
      <c r="T177" s="110">
        <f t="shared" si="14"/>
        <v>0.39796818214209362</v>
      </c>
      <c r="U177" s="111">
        <f t="shared" si="15"/>
        <v>0.33932070833036415</v>
      </c>
      <c r="V177" s="112">
        <v>2021</v>
      </c>
      <c r="W177" s="113" t="s">
        <v>137</v>
      </c>
    </row>
    <row r="178" spans="1:23" s="114" customFormat="1" x14ac:dyDescent="0.2">
      <c r="A178" s="105">
        <v>703</v>
      </c>
      <c r="B178" s="106" t="s">
        <v>70</v>
      </c>
      <c r="C178" s="106" t="s">
        <v>2</v>
      </c>
      <c r="D178" s="106" t="s">
        <v>39</v>
      </c>
      <c r="E178" s="106" t="s">
        <v>106</v>
      </c>
      <c r="F178" s="106" t="s">
        <v>139</v>
      </c>
      <c r="G178" s="106" t="s">
        <v>123</v>
      </c>
      <c r="H178" s="106" t="s">
        <v>107</v>
      </c>
      <c r="I178" s="106" t="s">
        <v>108</v>
      </c>
      <c r="J178" s="107" t="s">
        <v>16</v>
      </c>
      <c r="K178" s="107" t="s">
        <v>18</v>
      </c>
      <c r="L178" s="108">
        <v>76187</v>
      </c>
      <c r="M178" s="108">
        <v>224528</v>
      </c>
      <c r="N178" s="108">
        <v>89355</v>
      </c>
      <c r="O178" s="107" t="s">
        <v>45</v>
      </c>
      <c r="P178" s="109">
        <v>5983530.6097142901</v>
      </c>
      <c r="Q178" s="109">
        <f t="shared" si="11"/>
        <v>78.537422522402636</v>
      </c>
      <c r="R178" s="109">
        <f t="shared" si="12"/>
        <v>26.649373840742758</v>
      </c>
      <c r="S178" s="109">
        <f t="shared" si="13"/>
        <v>66.963579091425103</v>
      </c>
      <c r="T178" s="110">
        <f t="shared" si="14"/>
        <v>0.39796818214209362</v>
      </c>
      <c r="U178" s="111">
        <f t="shared" si="15"/>
        <v>0.33932070833036415</v>
      </c>
      <c r="V178" s="112">
        <v>2021</v>
      </c>
      <c r="W178" s="113" t="s">
        <v>137</v>
      </c>
    </row>
    <row r="179" spans="1:23" s="114" customFormat="1" x14ac:dyDescent="0.2">
      <c r="A179" s="105">
        <v>704</v>
      </c>
      <c r="B179" s="106" t="s">
        <v>70</v>
      </c>
      <c r="C179" s="106" t="s">
        <v>2</v>
      </c>
      <c r="D179" s="106" t="s">
        <v>39</v>
      </c>
      <c r="E179" s="106" t="s">
        <v>106</v>
      </c>
      <c r="F179" s="106" t="s">
        <v>139</v>
      </c>
      <c r="G179" s="106" t="s">
        <v>123</v>
      </c>
      <c r="H179" s="106" t="s">
        <v>107</v>
      </c>
      <c r="I179" s="106" t="s">
        <v>108</v>
      </c>
      <c r="J179" s="107" t="s">
        <v>16</v>
      </c>
      <c r="K179" s="107" t="s">
        <v>18</v>
      </c>
      <c r="L179" s="108">
        <v>76187</v>
      </c>
      <c r="M179" s="108">
        <v>224528</v>
      </c>
      <c r="N179" s="108">
        <v>89355</v>
      </c>
      <c r="O179" s="107" t="s">
        <v>14</v>
      </c>
      <c r="P179" s="109">
        <v>1685727.2399999998</v>
      </c>
      <c r="Q179" s="109">
        <f t="shared" si="11"/>
        <v>22.126179531941141</v>
      </c>
      <c r="R179" s="109">
        <f t="shared" si="12"/>
        <v>7.5078709114230735</v>
      </c>
      <c r="S179" s="109">
        <f t="shared" si="13"/>
        <v>18.865505455766321</v>
      </c>
      <c r="T179" s="110">
        <f t="shared" si="14"/>
        <v>0.39796818214209362</v>
      </c>
      <c r="U179" s="111">
        <f t="shared" si="15"/>
        <v>0.33932070833036415</v>
      </c>
      <c r="V179" s="112">
        <v>2021</v>
      </c>
      <c r="W179" s="113" t="s">
        <v>137</v>
      </c>
    </row>
    <row r="180" spans="1:23" s="114" customFormat="1" x14ac:dyDescent="0.2">
      <c r="A180" s="105">
        <v>705</v>
      </c>
      <c r="B180" s="106" t="s">
        <v>70</v>
      </c>
      <c r="C180" s="106" t="s">
        <v>2</v>
      </c>
      <c r="D180" s="106" t="s">
        <v>39</v>
      </c>
      <c r="E180" s="106" t="s">
        <v>106</v>
      </c>
      <c r="F180" s="106" t="s">
        <v>139</v>
      </c>
      <c r="G180" s="106" t="s">
        <v>123</v>
      </c>
      <c r="H180" s="106" t="s">
        <v>107</v>
      </c>
      <c r="I180" s="106" t="s">
        <v>108</v>
      </c>
      <c r="J180" s="107" t="s">
        <v>16</v>
      </c>
      <c r="K180" s="107" t="s">
        <v>18</v>
      </c>
      <c r="L180" s="108">
        <v>76187</v>
      </c>
      <c r="M180" s="108">
        <v>224528</v>
      </c>
      <c r="N180" s="108">
        <v>89355</v>
      </c>
      <c r="O180" s="107" t="s">
        <v>22</v>
      </c>
      <c r="P180" s="109">
        <v>7367606.4022699986</v>
      </c>
      <c r="Q180" s="109">
        <f t="shared" si="11"/>
        <v>96.704246161024827</v>
      </c>
      <c r="R180" s="109">
        <f t="shared" si="12"/>
        <v>32.81375330591284</v>
      </c>
      <c r="S180" s="109">
        <f t="shared" si="13"/>
        <v>82.453208016003572</v>
      </c>
      <c r="T180" s="110">
        <f t="shared" si="14"/>
        <v>0.39796818214209362</v>
      </c>
      <c r="U180" s="111">
        <f t="shared" si="15"/>
        <v>0.33932070833036415</v>
      </c>
      <c r="V180" s="112">
        <v>2021</v>
      </c>
      <c r="W180" s="113" t="s">
        <v>137</v>
      </c>
    </row>
    <row r="181" spans="1:23" s="114" customFormat="1" x14ac:dyDescent="0.2">
      <c r="A181" s="105">
        <v>706</v>
      </c>
      <c r="B181" s="106" t="s">
        <v>70</v>
      </c>
      <c r="C181" s="106" t="s">
        <v>2</v>
      </c>
      <c r="D181" s="106" t="s">
        <v>39</v>
      </c>
      <c r="E181" s="106" t="s">
        <v>106</v>
      </c>
      <c r="F181" s="106" t="s">
        <v>139</v>
      </c>
      <c r="G181" s="106" t="s">
        <v>123</v>
      </c>
      <c r="H181" s="106" t="s">
        <v>107</v>
      </c>
      <c r="I181" s="106" t="s">
        <v>108</v>
      </c>
      <c r="J181" s="107" t="s">
        <v>16</v>
      </c>
      <c r="K181" s="107" t="s">
        <v>18</v>
      </c>
      <c r="L181" s="108">
        <v>76187</v>
      </c>
      <c r="M181" s="108">
        <v>224528</v>
      </c>
      <c r="N181" s="108">
        <v>89355</v>
      </c>
      <c r="O181" s="107" t="s">
        <v>20</v>
      </c>
      <c r="P181" s="109">
        <v>7439457.8659199998</v>
      </c>
      <c r="Q181" s="109">
        <f t="shared" si="11"/>
        <v>97.64733965007153</v>
      </c>
      <c r="R181" s="109">
        <f t="shared" si="12"/>
        <v>33.133764456637927</v>
      </c>
      <c r="S181" s="109">
        <f t="shared" si="13"/>
        <v>83.257320417659898</v>
      </c>
      <c r="T181" s="110">
        <f t="shared" si="14"/>
        <v>0.39796818214209362</v>
      </c>
      <c r="U181" s="111">
        <f t="shared" si="15"/>
        <v>0.33932070833036415</v>
      </c>
      <c r="V181" s="112">
        <v>2021</v>
      </c>
      <c r="W181" s="113" t="s">
        <v>137</v>
      </c>
    </row>
    <row r="182" spans="1:23" s="114" customFormat="1" x14ac:dyDescent="0.2">
      <c r="A182" s="105">
        <v>707</v>
      </c>
      <c r="B182" s="106" t="s">
        <v>70</v>
      </c>
      <c r="C182" s="106" t="s">
        <v>2</v>
      </c>
      <c r="D182" s="106" t="s">
        <v>39</v>
      </c>
      <c r="E182" s="106" t="s">
        <v>106</v>
      </c>
      <c r="F182" s="106" t="s">
        <v>139</v>
      </c>
      <c r="G182" s="106" t="s">
        <v>123</v>
      </c>
      <c r="H182" s="106" t="s">
        <v>107</v>
      </c>
      <c r="I182" s="106" t="s">
        <v>108</v>
      </c>
      <c r="J182" s="107" t="s">
        <v>16</v>
      </c>
      <c r="K182" s="107" t="s">
        <v>18</v>
      </c>
      <c r="L182" s="108">
        <v>76187</v>
      </c>
      <c r="M182" s="108">
        <v>224528</v>
      </c>
      <c r="N182" s="108">
        <v>89355</v>
      </c>
      <c r="O182" s="107" t="s">
        <v>23</v>
      </c>
      <c r="P182" s="109">
        <v>10336818.65392</v>
      </c>
      <c r="Q182" s="109">
        <f t="shared" si="11"/>
        <v>135.67693509286363</v>
      </c>
      <c r="R182" s="109">
        <f t="shared" si="12"/>
        <v>46.037993719803325</v>
      </c>
      <c r="S182" s="109">
        <f t="shared" si="13"/>
        <v>115.68259922690393</v>
      </c>
      <c r="T182" s="110">
        <f t="shared" si="14"/>
        <v>0.39796818214209362</v>
      </c>
      <c r="U182" s="111">
        <f t="shared" si="15"/>
        <v>0.33932070833036415</v>
      </c>
      <c r="V182" s="112">
        <v>2021</v>
      </c>
      <c r="W182" s="113" t="s">
        <v>137</v>
      </c>
    </row>
    <row r="183" spans="1:23" s="114" customFormat="1" x14ac:dyDescent="0.2">
      <c r="A183" s="105">
        <v>708</v>
      </c>
      <c r="B183" s="106" t="s">
        <v>70</v>
      </c>
      <c r="C183" s="106" t="s">
        <v>2</v>
      </c>
      <c r="D183" s="106" t="s">
        <v>39</v>
      </c>
      <c r="E183" s="106" t="s">
        <v>106</v>
      </c>
      <c r="F183" s="106" t="s">
        <v>139</v>
      </c>
      <c r="G183" s="106" t="s">
        <v>123</v>
      </c>
      <c r="H183" s="106" t="s">
        <v>107</v>
      </c>
      <c r="I183" s="106" t="s">
        <v>108</v>
      </c>
      <c r="J183" s="107" t="s">
        <v>16</v>
      </c>
      <c r="K183" s="107" t="s">
        <v>18</v>
      </c>
      <c r="L183" s="108">
        <v>76187</v>
      </c>
      <c r="M183" s="108">
        <v>224528</v>
      </c>
      <c r="N183" s="108">
        <v>89355</v>
      </c>
      <c r="O183" s="107" t="s">
        <v>25</v>
      </c>
      <c r="P183" s="109">
        <v>6921233.5</v>
      </c>
      <c r="Q183" s="109">
        <f t="shared" si="11"/>
        <v>90.845334505886825</v>
      </c>
      <c r="R183" s="109">
        <f t="shared" si="12"/>
        <v>30.825703253046392</v>
      </c>
      <c r="S183" s="109">
        <f t="shared" si="13"/>
        <v>77.457708018577577</v>
      </c>
      <c r="T183" s="110">
        <f t="shared" si="14"/>
        <v>0.39796818214209362</v>
      </c>
      <c r="U183" s="111">
        <f t="shared" si="15"/>
        <v>0.33932070833036415</v>
      </c>
      <c r="V183" s="112">
        <v>2021</v>
      </c>
      <c r="W183" s="113" t="s">
        <v>137</v>
      </c>
    </row>
    <row r="184" spans="1:23" s="114" customFormat="1" x14ac:dyDescent="0.2">
      <c r="A184" s="105">
        <v>709</v>
      </c>
      <c r="B184" s="106" t="s">
        <v>70</v>
      </c>
      <c r="C184" s="106" t="s">
        <v>2</v>
      </c>
      <c r="D184" s="106" t="s">
        <v>39</v>
      </c>
      <c r="E184" s="106" t="s">
        <v>106</v>
      </c>
      <c r="F184" s="106" t="s">
        <v>139</v>
      </c>
      <c r="G184" s="106" t="s">
        <v>123</v>
      </c>
      <c r="H184" s="106" t="s">
        <v>107</v>
      </c>
      <c r="I184" s="106" t="s">
        <v>108</v>
      </c>
      <c r="J184" s="107" t="s">
        <v>16</v>
      </c>
      <c r="K184" s="107" t="s">
        <v>18</v>
      </c>
      <c r="L184" s="108">
        <v>76187</v>
      </c>
      <c r="M184" s="108">
        <v>224528</v>
      </c>
      <c r="N184" s="108">
        <v>89355</v>
      </c>
      <c r="O184" s="107" t="s">
        <v>46</v>
      </c>
      <c r="P184" s="109">
        <v>0</v>
      </c>
      <c r="Q184" s="109">
        <f t="shared" si="11"/>
        <v>0</v>
      </c>
      <c r="R184" s="109">
        <f t="shared" si="12"/>
        <v>0</v>
      </c>
      <c r="S184" s="109">
        <f t="shared" si="13"/>
        <v>0</v>
      </c>
      <c r="T184" s="110">
        <f t="shared" si="14"/>
        <v>0.39796818214209362</v>
      </c>
      <c r="U184" s="111">
        <f t="shared" si="15"/>
        <v>0.33932070833036415</v>
      </c>
      <c r="V184" s="112">
        <v>2021</v>
      </c>
      <c r="W184" s="113" t="s">
        <v>137</v>
      </c>
    </row>
    <row r="185" spans="1:23" s="114" customFormat="1" x14ac:dyDescent="0.2">
      <c r="A185" s="105">
        <v>710</v>
      </c>
      <c r="B185" s="106" t="s">
        <v>70</v>
      </c>
      <c r="C185" s="106" t="s">
        <v>2</v>
      </c>
      <c r="D185" s="106" t="s">
        <v>39</v>
      </c>
      <c r="E185" s="106" t="s">
        <v>106</v>
      </c>
      <c r="F185" s="106" t="s">
        <v>139</v>
      </c>
      <c r="G185" s="106" t="s">
        <v>123</v>
      </c>
      <c r="H185" s="106" t="s">
        <v>107</v>
      </c>
      <c r="I185" s="106" t="s">
        <v>108</v>
      </c>
      <c r="J185" s="107" t="s">
        <v>16</v>
      </c>
      <c r="K185" s="107" t="s">
        <v>18</v>
      </c>
      <c r="L185" s="108">
        <v>76187</v>
      </c>
      <c r="M185" s="108">
        <v>224528</v>
      </c>
      <c r="N185" s="108">
        <v>89355</v>
      </c>
      <c r="O185" s="107" t="s">
        <v>34</v>
      </c>
      <c r="P185" s="109">
        <v>1635248.42681068</v>
      </c>
      <c r="Q185" s="109">
        <f t="shared" si="11"/>
        <v>21.463614879319042</v>
      </c>
      <c r="R185" s="109">
        <f t="shared" si="12"/>
        <v>7.2830490041806808</v>
      </c>
      <c r="S185" s="109">
        <f t="shared" si="13"/>
        <v>18.300581129323259</v>
      </c>
      <c r="T185" s="110">
        <f t="shared" si="14"/>
        <v>0.39796818214209362</v>
      </c>
      <c r="U185" s="111">
        <f t="shared" si="15"/>
        <v>0.33932070833036415</v>
      </c>
      <c r="V185" s="112">
        <v>2021</v>
      </c>
      <c r="W185" s="113" t="s">
        <v>137</v>
      </c>
    </row>
    <row r="186" spans="1:23" s="114" customFormat="1" x14ac:dyDescent="0.2">
      <c r="A186" s="105">
        <v>711</v>
      </c>
      <c r="B186" s="106" t="s">
        <v>70</v>
      </c>
      <c r="C186" s="106" t="s">
        <v>2</v>
      </c>
      <c r="D186" s="106" t="s">
        <v>39</v>
      </c>
      <c r="E186" s="106" t="s">
        <v>106</v>
      </c>
      <c r="F186" s="106" t="s">
        <v>139</v>
      </c>
      <c r="G186" s="106" t="s">
        <v>123</v>
      </c>
      <c r="H186" s="106" t="s">
        <v>107</v>
      </c>
      <c r="I186" s="106" t="s">
        <v>108</v>
      </c>
      <c r="J186" s="107" t="s">
        <v>16</v>
      </c>
      <c r="K186" s="107" t="s">
        <v>18</v>
      </c>
      <c r="L186" s="108">
        <v>76187</v>
      </c>
      <c r="M186" s="108">
        <v>224528</v>
      </c>
      <c r="N186" s="108">
        <v>89355</v>
      </c>
      <c r="O186" s="107" t="s">
        <v>26</v>
      </c>
      <c r="P186" s="109">
        <v>1525193.2464494999</v>
      </c>
      <c r="Q186" s="109">
        <f t="shared" si="11"/>
        <v>20.019074729934239</v>
      </c>
      <c r="R186" s="109">
        <f t="shared" si="12"/>
        <v>6.7928866174797795</v>
      </c>
      <c r="S186" s="109">
        <f t="shared" si="13"/>
        <v>17.068918879184153</v>
      </c>
      <c r="T186" s="110">
        <f t="shared" si="14"/>
        <v>0.39796818214209362</v>
      </c>
      <c r="U186" s="111">
        <f t="shared" si="15"/>
        <v>0.33932070833036415</v>
      </c>
      <c r="V186" s="112">
        <v>2021</v>
      </c>
      <c r="W186" s="113" t="s">
        <v>137</v>
      </c>
    </row>
    <row r="187" spans="1:23" s="114" customFormat="1" x14ac:dyDescent="0.2">
      <c r="A187" s="105">
        <v>712</v>
      </c>
      <c r="B187" s="106" t="s">
        <v>70</v>
      </c>
      <c r="C187" s="106" t="s">
        <v>2</v>
      </c>
      <c r="D187" s="106" t="s">
        <v>39</v>
      </c>
      <c r="E187" s="106" t="s">
        <v>106</v>
      </c>
      <c r="F187" s="106" t="s">
        <v>139</v>
      </c>
      <c r="G187" s="106" t="s">
        <v>123</v>
      </c>
      <c r="H187" s="106" t="s">
        <v>107</v>
      </c>
      <c r="I187" s="106" t="s">
        <v>108</v>
      </c>
      <c r="J187" s="107" t="s">
        <v>16</v>
      </c>
      <c r="K187" s="107" t="s">
        <v>18</v>
      </c>
      <c r="L187" s="108">
        <v>76187</v>
      </c>
      <c r="M187" s="108">
        <v>224528</v>
      </c>
      <c r="N187" s="108">
        <v>89355</v>
      </c>
      <c r="O187" s="107" t="s">
        <v>28</v>
      </c>
      <c r="P187" s="109">
        <v>2162593.8319748836</v>
      </c>
      <c r="Q187" s="109">
        <f t="shared" si="11"/>
        <v>28.38533912576796</v>
      </c>
      <c r="R187" s="109">
        <f t="shared" si="12"/>
        <v>9.631733378353184</v>
      </c>
      <c r="S187" s="109">
        <f t="shared" si="13"/>
        <v>24.20226995663235</v>
      </c>
      <c r="T187" s="110">
        <f t="shared" si="14"/>
        <v>0.39796818214209362</v>
      </c>
      <c r="U187" s="111">
        <f t="shared" si="15"/>
        <v>0.33932070833036415</v>
      </c>
      <c r="V187" s="112">
        <v>2021</v>
      </c>
      <c r="W187" s="113" t="s">
        <v>137</v>
      </c>
    </row>
    <row r="188" spans="1:23" s="114" customFormat="1" x14ac:dyDescent="0.2">
      <c r="A188" s="105">
        <v>713</v>
      </c>
      <c r="B188" s="106" t="s">
        <v>70</v>
      </c>
      <c r="C188" s="106" t="s">
        <v>2</v>
      </c>
      <c r="D188" s="106" t="s">
        <v>39</v>
      </c>
      <c r="E188" s="106" t="s">
        <v>106</v>
      </c>
      <c r="F188" s="106" t="s">
        <v>139</v>
      </c>
      <c r="G188" s="106" t="s">
        <v>123</v>
      </c>
      <c r="H188" s="106" t="s">
        <v>107</v>
      </c>
      <c r="I188" s="106" t="s">
        <v>108</v>
      </c>
      <c r="J188" s="107" t="s">
        <v>16</v>
      </c>
      <c r="K188" s="107" t="s">
        <v>18</v>
      </c>
      <c r="L188" s="108">
        <v>76187</v>
      </c>
      <c r="M188" s="108">
        <v>224528</v>
      </c>
      <c r="N188" s="108">
        <v>89355</v>
      </c>
      <c r="O188" s="107" t="s">
        <v>47</v>
      </c>
      <c r="P188" s="109">
        <v>0</v>
      </c>
      <c r="Q188" s="109">
        <f t="shared" si="11"/>
        <v>0</v>
      </c>
      <c r="R188" s="109">
        <f t="shared" si="12"/>
        <v>0</v>
      </c>
      <c r="S188" s="109">
        <f t="shared" si="13"/>
        <v>0</v>
      </c>
      <c r="T188" s="110">
        <f t="shared" si="14"/>
        <v>0.39796818214209362</v>
      </c>
      <c r="U188" s="111">
        <f t="shared" si="15"/>
        <v>0.33932070833036415</v>
      </c>
      <c r="V188" s="112">
        <v>2021</v>
      </c>
      <c r="W188" s="113" t="s">
        <v>137</v>
      </c>
    </row>
    <row r="189" spans="1:23" s="114" customFormat="1" x14ac:dyDescent="0.2">
      <c r="A189" s="105">
        <v>714</v>
      </c>
      <c r="B189" s="106" t="s">
        <v>70</v>
      </c>
      <c r="C189" s="106" t="s">
        <v>2</v>
      </c>
      <c r="D189" s="106" t="s">
        <v>39</v>
      </c>
      <c r="E189" s="106" t="s">
        <v>106</v>
      </c>
      <c r="F189" s="106" t="s">
        <v>139</v>
      </c>
      <c r="G189" s="106" t="s">
        <v>123</v>
      </c>
      <c r="H189" s="106" t="s">
        <v>107</v>
      </c>
      <c r="I189" s="106" t="s">
        <v>108</v>
      </c>
      <c r="J189" s="107" t="s">
        <v>16</v>
      </c>
      <c r="K189" s="107" t="s">
        <v>18</v>
      </c>
      <c r="L189" s="108">
        <v>76187</v>
      </c>
      <c r="M189" s="108">
        <v>224528</v>
      </c>
      <c r="N189" s="108">
        <v>89355</v>
      </c>
      <c r="O189" s="107" t="s">
        <v>27</v>
      </c>
      <c r="P189" s="109">
        <v>4341805.849906778</v>
      </c>
      <c r="Q189" s="109">
        <f t="shared" si="11"/>
        <v>56.988801894112882</v>
      </c>
      <c r="R189" s="109">
        <f t="shared" si="12"/>
        <v>19.337480625609182</v>
      </c>
      <c r="S189" s="109">
        <f t="shared" si="13"/>
        <v>48.590519275997742</v>
      </c>
      <c r="T189" s="110">
        <f t="shared" si="14"/>
        <v>0.39796818214209362</v>
      </c>
      <c r="U189" s="111">
        <f t="shared" si="15"/>
        <v>0.33932070833036415</v>
      </c>
      <c r="V189" s="112">
        <v>2021</v>
      </c>
      <c r="W189" s="113" t="s">
        <v>137</v>
      </c>
    </row>
    <row r="190" spans="1:23" s="114" customFormat="1" x14ac:dyDescent="0.2">
      <c r="A190" s="105">
        <v>715</v>
      </c>
      <c r="B190" s="106" t="s">
        <v>70</v>
      </c>
      <c r="C190" s="106" t="s">
        <v>2</v>
      </c>
      <c r="D190" s="106" t="s">
        <v>39</v>
      </c>
      <c r="E190" s="106" t="s">
        <v>106</v>
      </c>
      <c r="F190" s="106" t="s">
        <v>139</v>
      </c>
      <c r="G190" s="106" t="s">
        <v>123</v>
      </c>
      <c r="H190" s="106" t="s">
        <v>107</v>
      </c>
      <c r="I190" s="106" t="s">
        <v>108</v>
      </c>
      <c r="J190" s="107" t="s">
        <v>16</v>
      </c>
      <c r="K190" s="107" t="s">
        <v>18</v>
      </c>
      <c r="L190" s="108">
        <v>76187</v>
      </c>
      <c r="M190" s="108">
        <v>224528</v>
      </c>
      <c r="N190" s="108">
        <v>89355</v>
      </c>
      <c r="O190" s="107" t="s">
        <v>48</v>
      </c>
      <c r="P190" s="109">
        <v>0</v>
      </c>
      <c r="Q190" s="109">
        <f t="shared" si="11"/>
        <v>0</v>
      </c>
      <c r="R190" s="109">
        <f t="shared" si="12"/>
        <v>0</v>
      </c>
      <c r="S190" s="109">
        <f t="shared" si="13"/>
        <v>0</v>
      </c>
      <c r="T190" s="110">
        <f t="shared" si="14"/>
        <v>0.39796818214209362</v>
      </c>
      <c r="U190" s="111">
        <f t="shared" si="15"/>
        <v>0.33932070833036415</v>
      </c>
      <c r="V190" s="112">
        <v>2021</v>
      </c>
      <c r="W190" s="113" t="s">
        <v>137</v>
      </c>
    </row>
    <row r="191" spans="1:23" s="114" customFormat="1" x14ac:dyDescent="0.2">
      <c r="A191" s="105">
        <v>716</v>
      </c>
      <c r="B191" s="106" t="s">
        <v>70</v>
      </c>
      <c r="C191" s="106" t="s">
        <v>2</v>
      </c>
      <c r="D191" s="106" t="s">
        <v>39</v>
      </c>
      <c r="E191" s="106" t="s">
        <v>106</v>
      </c>
      <c r="F191" s="106" t="s">
        <v>139</v>
      </c>
      <c r="G191" s="106" t="s">
        <v>123</v>
      </c>
      <c r="H191" s="106" t="s">
        <v>107</v>
      </c>
      <c r="I191" s="106" t="s">
        <v>108</v>
      </c>
      <c r="J191" s="107" t="s">
        <v>16</v>
      </c>
      <c r="K191" s="107" t="s">
        <v>18</v>
      </c>
      <c r="L191" s="108">
        <v>76187</v>
      </c>
      <c r="M191" s="108">
        <v>224528</v>
      </c>
      <c r="N191" s="108">
        <v>89355</v>
      </c>
      <c r="O191" s="107" t="s">
        <v>49</v>
      </c>
      <c r="P191" s="109">
        <v>0</v>
      </c>
      <c r="Q191" s="109">
        <f t="shared" si="11"/>
        <v>0</v>
      </c>
      <c r="R191" s="109">
        <f t="shared" si="12"/>
        <v>0</v>
      </c>
      <c r="S191" s="109">
        <f t="shared" si="13"/>
        <v>0</v>
      </c>
      <c r="T191" s="110">
        <f t="shared" si="14"/>
        <v>0.39796818214209362</v>
      </c>
      <c r="U191" s="111">
        <f t="shared" si="15"/>
        <v>0.33932070833036415</v>
      </c>
      <c r="V191" s="112">
        <v>2021</v>
      </c>
      <c r="W191" s="113" t="s">
        <v>137</v>
      </c>
    </row>
    <row r="192" spans="1:23" s="114" customFormat="1" x14ac:dyDescent="0.2">
      <c r="A192" s="105">
        <v>717</v>
      </c>
      <c r="B192" s="106" t="s">
        <v>70</v>
      </c>
      <c r="C192" s="106" t="s">
        <v>2</v>
      </c>
      <c r="D192" s="106" t="s">
        <v>39</v>
      </c>
      <c r="E192" s="106" t="s">
        <v>106</v>
      </c>
      <c r="F192" s="106" t="s">
        <v>139</v>
      </c>
      <c r="G192" s="106" t="s">
        <v>123</v>
      </c>
      <c r="H192" s="106" t="s">
        <v>107</v>
      </c>
      <c r="I192" s="106" t="s">
        <v>108</v>
      </c>
      <c r="J192" s="107" t="s">
        <v>16</v>
      </c>
      <c r="K192" s="107" t="s">
        <v>18</v>
      </c>
      <c r="L192" s="108">
        <v>76187</v>
      </c>
      <c r="M192" s="108">
        <v>224528</v>
      </c>
      <c r="N192" s="108">
        <v>89355</v>
      </c>
      <c r="O192" s="107" t="s">
        <v>50</v>
      </c>
      <c r="P192" s="109">
        <v>0</v>
      </c>
      <c r="Q192" s="109">
        <f t="shared" si="11"/>
        <v>0</v>
      </c>
      <c r="R192" s="109">
        <f t="shared" si="12"/>
        <v>0</v>
      </c>
      <c r="S192" s="109">
        <f t="shared" si="13"/>
        <v>0</v>
      </c>
      <c r="T192" s="110">
        <f t="shared" si="14"/>
        <v>0.39796818214209362</v>
      </c>
      <c r="U192" s="111">
        <f t="shared" si="15"/>
        <v>0.33932070833036415</v>
      </c>
      <c r="V192" s="112">
        <v>2021</v>
      </c>
      <c r="W192" s="113" t="s">
        <v>137</v>
      </c>
    </row>
    <row r="193" spans="1:23" s="114" customFormat="1" x14ac:dyDescent="0.2">
      <c r="A193" s="105">
        <v>718</v>
      </c>
      <c r="B193" s="106" t="s">
        <v>70</v>
      </c>
      <c r="C193" s="106" t="s">
        <v>2</v>
      </c>
      <c r="D193" s="106" t="s">
        <v>39</v>
      </c>
      <c r="E193" s="106" t="s">
        <v>106</v>
      </c>
      <c r="F193" s="106" t="s">
        <v>139</v>
      </c>
      <c r="G193" s="106" t="s">
        <v>123</v>
      </c>
      <c r="H193" s="106" t="s">
        <v>107</v>
      </c>
      <c r="I193" s="106" t="s">
        <v>108</v>
      </c>
      <c r="J193" s="107" t="s">
        <v>16</v>
      </c>
      <c r="K193" s="107" t="s">
        <v>18</v>
      </c>
      <c r="L193" s="108">
        <v>76187</v>
      </c>
      <c r="M193" s="108">
        <v>224528</v>
      </c>
      <c r="N193" s="108">
        <v>89355</v>
      </c>
      <c r="O193" s="107" t="s">
        <v>51</v>
      </c>
      <c r="P193" s="109">
        <v>0</v>
      </c>
      <c r="Q193" s="109">
        <f t="shared" si="11"/>
        <v>0</v>
      </c>
      <c r="R193" s="109">
        <f t="shared" si="12"/>
        <v>0</v>
      </c>
      <c r="S193" s="109">
        <f t="shared" si="13"/>
        <v>0</v>
      </c>
      <c r="T193" s="110">
        <f t="shared" si="14"/>
        <v>0.39796818214209362</v>
      </c>
      <c r="U193" s="111">
        <f t="shared" si="15"/>
        <v>0.33932070833036415</v>
      </c>
      <c r="V193" s="112">
        <v>2021</v>
      </c>
      <c r="W193" s="113" t="s">
        <v>137</v>
      </c>
    </row>
    <row r="194" spans="1:23" s="114" customFormat="1" x14ac:dyDescent="0.2">
      <c r="A194" s="105">
        <v>719</v>
      </c>
      <c r="B194" s="106" t="s">
        <v>70</v>
      </c>
      <c r="C194" s="106" t="s">
        <v>2</v>
      </c>
      <c r="D194" s="106" t="s">
        <v>39</v>
      </c>
      <c r="E194" s="106" t="s">
        <v>106</v>
      </c>
      <c r="F194" s="106" t="s">
        <v>139</v>
      </c>
      <c r="G194" s="106" t="s">
        <v>123</v>
      </c>
      <c r="H194" s="106" t="s">
        <v>107</v>
      </c>
      <c r="I194" s="106" t="s">
        <v>108</v>
      </c>
      <c r="J194" s="107" t="s">
        <v>16</v>
      </c>
      <c r="K194" s="107" t="s">
        <v>18</v>
      </c>
      <c r="L194" s="108">
        <v>76187</v>
      </c>
      <c r="M194" s="108">
        <v>224528</v>
      </c>
      <c r="N194" s="108">
        <v>89355</v>
      </c>
      <c r="O194" s="107" t="s">
        <v>52</v>
      </c>
      <c r="P194" s="109">
        <v>0</v>
      </c>
      <c r="Q194" s="109">
        <f t="shared" si="11"/>
        <v>0</v>
      </c>
      <c r="R194" s="109">
        <f t="shared" si="12"/>
        <v>0</v>
      </c>
      <c r="S194" s="109">
        <f t="shared" si="13"/>
        <v>0</v>
      </c>
      <c r="T194" s="110">
        <f t="shared" si="14"/>
        <v>0.39796818214209362</v>
      </c>
      <c r="U194" s="111">
        <f t="shared" si="15"/>
        <v>0.33932070833036415</v>
      </c>
      <c r="V194" s="112">
        <v>2021</v>
      </c>
      <c r="W194" s="113" t="s">
        <v>137</v>
      </c>
    </row>
    <row r="195" spans="1:23" s="114" customFormat="1" x14ac:dyDescent="0.2">
      <c r="A195" s="105">
        <v>720</v>
      </c>
      <c r="B195" s="106" t="s">
        <v>70</v>
      </c>
      <c r="C195" s="106" t="s">
        <v>2</v>
      </c>
      <c r="D195" s="106" t="s">
        <v>39</v>
      </c>
      <c r="E195" s="106" t="s">
        <v>106</v>
      </c>
      <c r="F195" s="106" t="s">
        <v>139</v>
      </c>
      <c r="G195" s="106" t="s">
        <v>123</v>
      </c>
      <c r="H195" s="106" t="s">
        <v>107</v>
      </c>
      <c r="I195" s="106" t="s">
        <v>108</v>
      </c>
      <c r="J195" s="107" t="s">
        <v>16</v>
      </c>
      <c r="K195" s="107" t="s">
        <v>18</v>
      </c>
      <c r="L195" s="108">
        <v>76187</v>
      </c>
      <c r="M195" s="108">
        <v>224528</v>
      </c>
      <c r="N195" s="108">
        <v>89355</v>
      </c>
      <c r="O195" s="107" t="s">
        <v>53</v>
      </c>
      <c r="P195" s="109">
        <v>0</v>
      </c>
      <c r="Q195" s="109">
        <f t="shared" ref="Q195:Q258" si="16">$P195/L195</f>
        <v>0</v>
      </c>
      <c r="R195" s="109">
        <f t="shared" ref="R195:R258" si="17">$P195/M195</f>
        <v>0</v>
      </c>
      <c r="S195" s="109">
        <f t="shared" ref="S195:S258" si="18">$P195/N195</f>
        <v>0</v>
      </c>
      <c r="T195" s="110">
        <f t="shared" ref="T195:T258" si="19">N195/M195</f>
        <v>0.39796818214209362</v>
      </c>
      <c r="U195" s="111">
        <f t="shared" ref="U195:U258" si="20">L195/M195</f>
        <v>0.33932070833036415</v>
      </c>
      <c r="V195" s="112">
        <v>2021</v>
      </c>
      <c r="W195" s="113" t="s">
        <v>137</v>
      </c>
    </row>
    <row r="196" spans="1:23" s="114" customFormat="1" x14ac:dyDescent="0.2">
      <c r="A196" s="105">
        <v>721</v>
      </c>
      <c r="B196" s="106" t="s">
        <v>70</v>
      </c>
      <c r="C196" s="106" t="s">
        <v>2</v>
      </c>
      <c r="D196" s="106" t="s">
        <v>39</v>
      </c>
      <c r="E196" s="106" t="s">
        <v>106</v>
      </c>
      <c r="F196" s="106" t="s">
        <v>139</v>
      </c>
      <c r="G196" s="106" t="s">
        <v>123</v>
      </c>
      <c r="H196" s="106" t="s">
        <v>107</v>
      </c>
      <c r="I196" s="106" t="s">
        <v>108</v>
      </c>
      <c r="J196" s="107" t="s">
        <v>16</v>
      </c>
      <c r="K196" s="107" t="s">
        <v>18</v>
      </c>
      <c r="L196" s="108">
        <v>76187</v>
      </c>
      <c r="M196" s="108">
        <v>224528</v>
      </c>
      <c r="N196" s="108">
        <v>89355</v>
      </c>
      <c r="O196" s="107" t="s">
        <v>55</v>
      </c>
      <c r="P196" s="109">
        <v>0</v>
      </c>
      <c r="Q196" s="109">
        <f t="shared" si="16"/>
        <v>0</v>
      </c>
      <c r="R196" s="109">
        <f t="shared" si="17"/>
        <v>0</v>
      </c>
      <c r="S196" s="109">
        <f t="shared" si="18"/>
        <v>0</v>
      </c>
      <c r="T196" s="110">
        <f t="shared" si="19"/>
        <v>0.39796818214209362</v>
      </c>
      <c r="U196" s="111">
        <f t="shared" si="20"/>
        <v>0.33932070833036415</v>
      </c>
      <c r="V196" s="112">
        <v>2021</v>
      </c>
      <c r="W196" s="113" t="s">
        <v>137</v>
      </c>
    </row>
    <row r="197" spans="1:23" s="114" customFormat="1" x14ac:dyDescent="0.2">
      <c r="A197" s="105">
        <v>722</v>
      </c>
      <c r="B197" s="106" t="s">
        <v>70</v>
      </c>
      <c r="C197" s="106" t="s">
        <v>2</v>
      </c>
      <c r="D197" s="106" t="s">
        <v>39</v>
      </c>
      <c r="E197" s="106" t="s">
        <v>106</v>
      </c>
      <c r="F197" s="106" t="s">
        <v>139</v>
      </c>
      <c r="G197" s="106" t="s">
        <v>123</v>
      </c>
      <c r="H197" s="106" t="s">
        <v>107</v>
      </c>
      <c r="I197" s="106" t="s">
        <v>108</v>
      </c>
      <c r="J197" s="107" t="s">
        <v>16</v>
      </c>
      <c r="K197" s="107" t="s">
        <v>18</v>
      </c>
      <c r="L197" s="108">
        <v>76187</v>
      </c>
      <c r="M197" s="108">
        <v>224528</v>
      </c>
      <c r="N197" s="108">
        <v>89355</v>
      </c>
      <c r="O197" s="107" t="s">
        <v>54</v>
      </c>
      <c r="P197" s="109">
        <v>0</v>
      </c>
      <c r="Q197" s="109">
        <f t="shared" si="16"/>
        <v>0</v>
      </c>
      <c r="R197" s="109">
        <f t="shared" si="17"/>
        <v>0</v>
      </c>
      <c r="S197" s="109">
        <f t="shared" si="18"/>
        <v>0</v>
      </c>
      <c r="T197" s="110">
        <f t="shared" si="19"/>
        <v>0.39796818214209362</v>
      </c>
      <c r="U197" s="111">
        <f t="shared" si="20"/>
        <v>0.33932070833036415</v>
      </c>
      <c r="V197" s="112">
        <v>2021</v>
      </c>
      <c r="W197" s="113" t="s">
        <v>137</v>
      </c>
    </row>
    <row r="198" spans="1:23" s="114" customFormat="1" x14ac:dyDescent="0.2">
      <c r="A198" s="105">
        <v>723</v>
      </c>
      <c r="B198" s="106" t="s">
        <v>70</v>
      </c>
      <c r="C198" s="106" t="s">
        <v>2</v>
      </c>
      <c r="D198" s="106" t="s">
        <v>39</v>
      </c>
      <c r="E198" s="106" t="s">
        <v>106</v>
      </c>
      <c r="F198" s="106" t="s">
        <v>139</v>
      </c>
      <c r="G198" s="106" t="s">
        <v>123</v>
      </c>
      <c r="H198" s="106" t="s">
        <v>107</v>
      </c>
      <c r="I198" s="106" t="s">
        <v>108</v>
      </c>
      <c r="J198" s="107" t="s">
        <v>16</v>
      </c>
      <c r="K198" s="107" t="s">
        <v>18</v>
      </c>
      <c r="L198" s="108">
        <v>76187</v>
      </c>
      <c r="M198" s="108">
        <v>224528</v>
      </c>
      <c r="N198" s="108">
        <v>89355</v>
      </c>
      <c r="O198" s="107" t="s">
        <v>56</v>
      </c>
      <c r="P198" s="109">
        <v>0</v>
      </c>
      <c r="Q198" s="109">
        <f t="shared" si="16"/>
        <v>0</v>
      </c>
      <c r="R198" s="109">
        <f t="shared" si="17"/>
        <v>0</v>
      </c>
      <c r="S198" s="109">
        <f t="shared" si="18"/>
        <v>0</v>
      </c>
      <c r="T198" s="110">
        <f t="shared" si="19"/>
        <v>0.39796818214209362</v>
      </c>
      <c r="U198" s="111">
        <f t="shared" si="20"/>
        <v>0.33932070833036415</v>
      </c>
      <c r="V198" s="112">
        <v>2021</v>
      </c>
      <c r="W198" s="113" t="s">
        <v>137</v>
      </c>
    </row>
    <row r="199" spans="1:23" s="114" customFormat="1" x14ac:dyDescent="0.2">
      <c r="A199" s="105">
        <v>723.99999999999909</v>
      </c>
      <c r="B199" s="106" t="s">
        <v>70</v>
      </c>
      <c r="C199" s="106" t="s">
        <v>2</v>
      </c>
      <c r="D199" s="106" t="s">
        <v>39</v>
      </c>
      <c r="E199" s="106" t="s">
        <v>106</v>
      </c>
      <c r="F199" s="106" t="s">
        <v>139</v>
      </c>
      <c r="G199" s="106" t="s">
        <v>123</v>
      </c>
      <c r="H199" s="106" t="s">
        <v>107</v>
      </c>
      <c r="I199" s="106" t="s">
        <v>108</v>
      </c>
      <c r="J199" s="107" t="s">
        <v>16</v>
      </c>
      <c r="K199" s="107" t="s">
        <v>18</v>
      </c>
      <c r="L199" s="108">
        <v>76187</v>
      </c>
      <c r="M199" s="108">
        <v>224528</v>
      </c>
      <c r="N199" s="108">
        <v>89355</v>
      </c>
      <c r="O199" s="107" t="s">
        <v>73</v>
      </c>
      <c r="P199" s="109">
        <v>9920837.3724285811</v>
      </c>
      <c r="Q199" s="109">
        <f t="shared" si="16"/>
        <v>130.21693166063216</v>
      </c>
      <c r="R199" s="109">
        <f t="shared" si="17"/>
        <v>44.185301487692321</v>
      </c>
      <c r="S199" s="109">
        <f t="shared" si="18"/>
        <v>111.02722144735696</v>
      </c>
      <c r="T199" s="110">
        <f t="shared" si="19"/>
        <v>0.39796818214209362</v>
      </c>
      <c r="U199" s="111">
        <f t="shared" si="20"/>
        <v>0.33932070833036415</v>
      </c>
      <c r="V199" s="112">
        <v>2021</v>
      </c>
      <c r="W199" s="113" t="s">
        <v>137</v>
      </c>
    </row>
    <row r="200" spans="1:23" s="114" customFormat="1" x14ac:dyDescent="0.2">
      <c r="A200" s="105">
        <v>724.99999999999898</v>
      </c>
      <c r="B200" s="106" t="s">
        <v>70</v>
      </c>
      <c r="C200" s="106" t="s">
        <v>2</v>
      </c>
      <c r="D200" s="106" t="s">
        <v>39</v>
      </c>
      <c r="E200" s="106" t="s">
        <v>106</v>
      </c>
      <c r="F200" s="106" t="s">
        <v>139</v>
      </c>
      <c r="G200" s="106" t="s">
        <v>123</v>
      </c>
      <c r="H200" s="106" t="s">
        <v>107</v>
      </c>
      <c r="I200" s="106" t="s">
        <v>108</v>
      </c>
      <c r="J200" s="107" t="s">
        <v>16</v>
      </c>
      <c r="K200" s="107" t="s">
        <v>18</v>
      </c>
      <c r="L200" s="108">
        <v>76187</v>
      </c>
      <c r="M200" s="108">
        <v>224528</v>
      </c>
      <c r="N200" s="108">
        <v>89355</v>
      </c>
      <c r="O200" s="107" t="s">
        <v>57</v>
      </c>
      <c r="P200" s="109"/>
      <c r="Q200" s="109">
        <f t="shared" si="16"/>
        <v>0</v>
      </c>
      <c r="R200" s="109">
        <f t="shared" si="17"/>
        <v>0</v>
      </c>
      <c r="S200" s="109">
        <f t="shared" si="18"/>
        <v>0</v>
      </c>
      <c r="T200" s="110">
        <f t="shared" si="19"/>
        <v>0.39796818214209362</v>
      </c>
      <c r="U200" s="111">
        <f t="shared" si="20"/>
        <v>0.33932070833036415</v>
      </c>
      <c r="V200" s="112">
        <v>2021</v>
      </c>
      <c r="W200" s="113" t="s">
        <v>137</v>
      </c>
    </row>
    <row r="201" spans="1:23" s="114" customFormat="1" x14ac:dyDescent="0.2">
      <c r="A201" s="105">
        <v>725.99999999999898</v>
      </c>
      <c r="B201" s="106" t="s">
        <v>70</v>
      </c>
      <c r="C201" s="106" t="s">
        <v>2</v>
      </c>
      <c r="D201" s="106" t="s">
        <v>39</v>
      </c>
      <c r="E201" s="106" t="s">
        <v>106</v>
      </c>
      <c r="F201" s="106" t="s">
        <v>139</v>
      </c>
      <c r="G201" s="106" t="s">
        <v>123</v>
      </c>
      <c r="H201" s="106" t="s">
        <v>107</v>
      </c>
      <c r="I201" s="106" t="s">
        <v>108</v>
      </c>
      <c r="J201" s="107" t="s">
        <v>16</v>
      </c>
      <c r="K201" s="107" t="s">
        <v>18</v>
      </c>
      <c r="L201" s="108">
        <v>76187</v>
      </c>
      <c r="M201" s="108">
        <v>224528</v>
      </c>
      <c r="N201" s="108">
        <v>89355</v>
      </c>
      <c r="O201" s="107" t="s">
        <v>58</v>
      </c>
      <c r="P201" s="109">
        <v>0</v>
      </c>
      <c r="Q201" s="109">
        <f t="shared" si="16"/>
        <v>0</v>
      </c>
      <c r="R201" s="109">
        <f t="shared" si="17"/>
        <v>0</v>
      </c>
      <c r="S201" s="109">
        <f t="shared" si="18"/>
        <v>0</v>
      </c>
      <c r="T201" s="110">
        <f t="shared" si="19"/>
        <v>0.39796818214209362</v>
      </c>
      <c r="U201" s="111">
        <f t="shared" si="20"/>
        <v>0.33932070833036415</v>
      </c>
      <c r="V201" s="112">
        <v>2021</v>
      </c>
      <c r="W201" s="113" t="s">
        <v>137</v>
      </c>
    </row>
    <row r="202" spans="1:23" s="114" customFormat="1" x14ac:dyDescent="0.2">
      <c r="A202" s="105">
        <v>726.99999999999898</v>
      </c>
      <c r="B202" s="106" t="s">
        <v>70</v>
      </c>
      <c r="C202" s="106" t="s">
        <v>2</v>
      </c>
      <c r="D202" s="106" t="s">
        <v>39</v>
      </c>
      <c r="E202" s="106" t="s">
        <v>106</v>
      </c>
      <c r="F202" s="106" t="s">
        <v>139</v>
      </c>
      <c r="G202" s="106" t="s">
        <v>123</v>
      </c>
      <c r="H202" s="106" t="s">
        <v>107</v>
      </c>
      <c r="I202" s="106" t="s">
        <v>108</v>
      </c>
      <c r="J202" s="107" t="s">
        <v>16</v>
      </c>
      <c r="K202" s="107" t="s">
        <v>18</v>
      </c>
      <c r="L202" s="108">
        <v>76187</v>
      </c>
      <c r="M202" s="108">
        <v>224528</v>
      </c>
      <c r="N202" s="108">
        <v>89355</v>
      </c>
      <c r="O202" s="107" t="s">
        <v>59</v>
      </c>
      <c r="P202" s="109">
        <v>0</v>
      </c>
      <c r="Q202" s="109">
        <f t="shared" si="16"/>
        <v>0</v>
      </c>
      <c r="R202" s="109">
        <f t="shared" si="17"/>
        <v>0</v>
      </c>
      <c r="S202" s="109">
        <f t="shared" si="18"/>
        <v>0</v>
      </c>
      <c r="T202" s="110">
        <f t="shared" si="19"/>
        <v>0.39796818214209362</v>
      </c>
      <c r="U202" s="111">
        <f t="shared" si="20"/>
        <v>0.33932070833036415</v>
      </c>
      <c r="V202" s="112">
        <v>2021</v>
      </c>
      <c r="W202" s="113" t="s">
        <v>137</v>
      </c>
    </row>
    <row r="203" spans="1:23" s="114" customFormat="1" x14ac:dyDescent="0.2">
      <c r="A203" s="105">
        <v>727.99999999999898</v>
      </c>
      <c r="B203" s="106" t="s">
        <v>70</v>
      </c>
      <c r="C203" s="106" t="s">
        <v>2</v>
      </c>
      <c r="D203" s="106" t="s">
        <v>39</v>
      </c>
      <c r="E203" s="106" t="s">
        <v>106</v>
      </c>
      <c r="F203" s="106" t="s">
        <v>139</v>
      </c>
      <c r="G203" s="106" t="s">
        <v>123</v>
      </c>
      <c r="H203" s="106" t="s">
        <v>107</v>
      </c>
      <c r="I203" s="106" t="s">
        <v>108</v>
      </c>
      <c r="J203" s="107" t="s">
        <v>16</v>
      </c>
      <c r="K203" s="107" t="s">
        <v>18</v>
      </c>
      <c r="L203" s="108">
        <v>76187</v>
      </c>
      <c r="M203" s="108">
        <v>224528</v>
      </c>
      <c r="N203" s="108">
        <v>89355</v>
      </c>
      <c r="O203" s="107" t="s">
        <v>60</v>
      </c>
      <c r="P203" s="109">
        <v>0</v>
      </c>
      <c r="Q203" s="109">
        <f t="shared" si="16"/>
        <v>0</v>
      </c>
      <c r="R203" s="109">
        <f t="shared" si="17"/>
        <v>0</v>
      </c>
      <c r="S203" s="109">
        <f t="shared" si="18"/>
        <v>0</v>
      </c>
      <c r="T203" s="110">
        <f t="shared" si="19"/>
        <v>0.39796818214209362</v>
      </c>
      <c r="U203" s="111">
        <f t="shared" si="20"/>
        <v>0.33932070833036415</v>
      </c>
      <c r="V203" s="112">
        <v>2021</v>
      </c>
      <c r="W203" s="113" t="s">
        <v>137</v>
      </c>
    </row>
    <row r="204" spans="1:23" s="114" customFormat="1" x14ac:dyDescent="0.2">
      <c r="A204" s="105">
        <v>728.99999999999898</v>
      </c>
      <c r="B204" s="106" t="s">
        <v>70</v>
      </c>
      <c r="C204" s="106" t="s">
        <v>2</v>
      </c>
      <c r="D204" s="106" t="s">
        <v>39</v>
      </c>
      <c r="E204" s="106" t="s">
        <v>106</v>
      </c>
      <c r="F204" s="106" t="s">
        <v>139</v>
      </c>
      <c r="G204" s="106" t="s">
        <v>123</v>
      </c>
      <c r="H204" s="106" t="s">
        <v>107</v>
      </c>
      <c r="I204" s="106" t="s">
        <v>108</v>
      </c>
      <c r="J204" s="107" t="s">
        <v>16</v>
      </c>
      <c r="K204" s="107" t="s">
        <v>18</v>
      </c>
      <c r="L204" s="108">
        <v>76187</v>
      </c>
      <c r="M204" s="108">
        <v>224528</v>
      </c>
      <c r="N204" s="108">
        <v>89355</v>
      </c>
      <c r="O204" s="107" t="s">
        <v>61</v>
      </c>
      <c r="P204" s="109">
        <v>0</v>
      </c>
      <c r="Q204" s="109">
        <f t="shared" si="16"/>
        <v>0</v>
      </c>
      <c r="R204" s="109">
        <f t="shared" si="17"/>
        <v>0</v>
      </c>
      <c r="S204" s="109">
        <f t="shared" si="18"/>
        <v>0</v>
      </c>
      <c r="T204" s="110">
        <f t="shared" si="19"/>
        <v>0.39796818214209362</v>
      </c>
      <c r="U204" s="111">
        <f t="shared" si="20"/>
        <v>0.33932070833036415</v>
      </c>
      <c r="V204" s="112">
        <v>2021</v>
      </c>
      <c r="W204" s="113" t="s">
        <v>137</v>
      </c>
    </row>
    <row r="205" spans="1:23" x14ac:dyDescent="0.2">
      <c r="A205" s="68">
        <v>801</v>
      </c>
      <c r="B205" s="69" t="s">
        <v>70</v>
      </c>
      <c r="C205" s="69" t="s">
        <v>2</v>
      </c>
      <c r="D205" s="69" t="s">
        <v>39</v>
      </c>
      <c r="E205" s="69" t="s">
        <v>106</v>
      </c>
      <c r="F205" s="69" t="s">
        <v>140</v>
      </c>
      <c r="G205" s="69" t="s">
        <v>122</v>
      </c>
      <c r="H205" s="69" t="s">
        <v>107</v>
      </c>
      <c r="I205" s="69" t="s">
        <v>108</v>
      </c>
      <c r="J205" s="70" t="s">
        <v>16</v>
      </c>
      <c r="K205" s="70" t="s">
        <v>18</v>
      </c>
      <c r="L205" s="71">
        <v>80570</v>
      </c>
      <c r="M205" s="71">
        <v>233506</v>
      </c>
      <c r="N205" s="71">
        <v>79924</v>
      </c>
      <c r="O205" s="70" t="s">
        <v>24</v>
      </c>
      <c r="P205" s="75">
        <v>6239606.1999999993</v>
      </c>
      <c r="Q205" s="72">
        <f t="shared" si="16"/>
        <v>77.443294030035986</v>
      </c>
      <c r="R205" s="72">
        <f t="shared" si="17"/>
        <v>26.721395595830511</v>
      </c>
      <c r="S205" s="72">
        <f t="shared" si="18"/>
        <v>78.069243281117053</v>
      </c>
      <c r="T205" s="94">
        <f t="shared" si="19"/>
        <v>0.34227814274579671</v>
      </c>
      <c r="U205" s="101">
        <f t="shared" si="20"/>
        <v>0.34504466694645963</v>
      </c>
      <c r="V205" s="73">
        <v>2021</v>
      </c>
      <c r="W205" s="77" t="s">
        <v>137</v>
      </c>
    </row>
    <row r="206" spans="1:23" x14ac:dyDescent="0.2">
      <c r="A206" s="68">
        <v>802</v>
      </c>
      <c r="B206" s="69" t="s">
        <v>70</v>
      </c>
      <c r="C206" s="69" t="s">
        <v>2</v>
      </c>
      <c r="D206" s="69" t="s">
        <v>39</v>
      </c>
      <c r="E206" s="69" t="s">
        <v>106</v>
      </c>
      <c r="F206" s="69" t="s">
        <v>140</v>
      </c>
      <c r="G206" s="69" t="s">
        <v>122</v>
      </c>
      <c r="H206" s="69" t="s">
        <v>107</v>
      </c>
      <c r="I206" s="69" t="s">
        <v>108</v>
      </c>
      <c r="J206" s="70" t="s">
        <v>16</v>
      </c>
      <c r="K206" s="70" t="s">
        <v>18</v>
      </c>
      <c r="L206" s="71">
        <v>80570</v>
      </c>
      <c r="M206" s="71">
        <v>233506</v>
      </c>
      <c r="N206" s="71">
        <v>79924</v>
      </c>
      <c r="O206" s="70" t="s">
        <v>44</v>
      </c>
      <c r="P206" s="72">
        <v>0</v>
      </c>
      <c r="Q206" s="72">
        <f t="shared" si="16"/>
        <v>0</v>
      </c>
      <c r="R206" s="72">
        <f t="shared" si="17"/>
        <v>0</v>
      </c>
      <c r="S206" s="72">
        <f t="shared" si="18"/>
        <v>0</v>
      </c>
      <c r="T206" s="94">
        <f t="shared" si="19"/>
        <v>0.34227814274579671</v>
      </c>
      <c r="U206" s="101">
        <f t="shared" si="20"/>
        <v>0.34504466694645963</v>
      </c>
      <c r="V206" s="73">
        <v>2021</v>
      </c>
      <c r="W206" s="77" t="s">
        <v>137</v>
      </c>
    </row>
    <row r="207" spans="1:23" x14ac:dyDescent="0.2">
      <c r="A207" s="68">
        <v>802.99999999999989</v>
      </c>
      <c r="B207" s="69" t="s">
        <v>70</v>
      </c>
      <c r="C207" s="69" t="s">
        <v>2</v>
      </c>
      <c r="D207" s="69" t="s">
        <v>39</v>
      </c>
      <c r="E207" s="69" t="s">
        <v>106</v>
      </c>
      <c r="F207" s="69" t="s">
        <v>140</v>
      </c>
      <c r="G207" s="69" t="s">
        <v>122</v>
      </c>
      <c r="H207" s="69" t="s">
        <v>107</v>
      </c>
      <c r="I207" s="69" t="s">
        <v>108</v>
      </c>
      <c r="J207" s="70" t="s">
        <v>16</v>
      </c>
      <c r="K207" s="70" t="s">
        <v>18</v>
      </c>
      <c r="L207" s="71">
        <v>80570</v>
      </c>
      <c r="M207" s="71">
        <v>233506</v>
      </c>
      <c r="N207" s="71">
        <v>79924</v>
      </c>
      <c r="O207" s="70" t="s">
        <v>45</v>
      </c>
      <c r="P207" s="72">
        <v>4120409.24</v>
      </c>
      <c r="Q207" s="72">
        <f t="shared" si="16"/>
        <v>51.14073774357702</v>
      </c>
      <c r="R207" s="72">
        <f t="shared" si="17"/>
        <v>17.64583882212877</v>
      </c>
      <c r="S207" s="72">
        <f t="shared" si="18"/>
        <v>51.554091887292934</v>
      </c>
      <c r="T207" s="94">
        <f t="shared" si="19"/>
        <v>0.34227814274579671</v>
      </c>
      <c r="U207" s="101">
        <f t="shared" si="20"/>
        <v>0.34504466694645963</v>
      </c>
      <c r="V207" s="73">
        <v>2021</v>
      </c>
      <c r="W207" s="77" t="s">
        <v>137</v>
      </c>
    </row>
    <row r="208" spans="1:23" x14ac:dyDescent="0.2">
      <c r="A208" s="68">
        <v>803.99999999999989</v>
      </c>
      <c r="B208" s="69" t="s">
        <v>70</v>
      </c>
      <c r="C208" s="69" t="s">
        <v>2</v>
      </c>
      <c r="D208" s="69" t="s">
        <v>39</v>
      </c>
      <c r="E208" s="69" t="s">
        <v>106</v>
      </c>
      <c r="F208" s="69" t="s">
        <v>140</v>
      </c>
      <c r="G208" s="69" t="s">
        <v>122</v>
      </c>
      <c r="H208" s="69" t="s">
        <v>107</v>
      </c>
      <c r="I208" s="69" t="s">
        <v>108</v>
      </c>
      <c r="J208" s="70" t="s">
        <v>16</v>
      </c>
      <c r="K208" s="70" t="s">
        <v>18</v>
      </c>
      <c r="L208" s="71">
        <v>80570</v>
      </c>
      <c r="M208" s="71">
        <v>233506</v>
      </c>
      <c r="N208" s="71">
        <v>79924</v>
      </c>
      <c r="O208" s="70" t="s">
        <v>14</v>
      </c>
      <c r="P208" s="72">
        <v>1123818.1599999999</v>
      </c>
      <c r="Q208" s="72">
        <f t="shared" si="16"/>
        <v>13.948345041578751</v>
      </c>
      <c r="R208" s="72">
        <f t="shared" si="17"/>
        <v>4.8128020693258415</v>
      </c>
      <c r="S208" s="72">
        <f t="shared" si="18"/>
        <v>14.061085030779239</v>
      </c>
      <c r="T208" s="94">
        <f t="shared" si="19"/>
        <v>0.34227814274579671</v>
      </c>
      <c r="U208" s="101">
        <f t="shared" si="20"/>
        <v>0.34504466694645963</v>
      </c>
      <c r="V208" s="73">
        <v>2021</v>
      </c>
      <c r="W208" s="77" t="s">
        <v>137</v>
      </c>
    </row>
    <row r="209" spans="1:23" x14ac:dyDescent="0.2">
      <c r="A209" s="68">
        <v>805.00000000000011</v>
      </c>
      <c r="B209" s="69" t="s">
        <v>70</v>
      </c>
      <c r="C209" s="69" t="s">
        <v>2</v>
      </c>
      <c r="D209" s="69" t="s">
        <v>39</v>
      </c>
      <c r="E209" s="69" t="s">
        <v>106</v>
      </c>
      <c r="F209" s="69" t="s">
        <v>140</v>
      </c>
      <c r="G209" s="69" t="s">
        <v>122</v>
      </c>
      <c r="H209" s="69" t="s">
        <v>107</v>
      </c>
      <c r="I209" s="69" t="s">
        <v>108</v>
      </c>
      <c r="J209" s="70" t="s">
        <v>16</v>
      </c>
      <c r="K209" s="70" t="s">
        <v>18</v>
      </c>
      <c r="L209" s="71">
        <v>80570</v>
      </c>
      <c r="M209" s="71">
        <v>233506</v>
      </c>
      <c r="N209" s="71">
        <v>79924</v>
      </c>
      <c r="O209" s="70" t="s">
        <v>22</v>
      </c>
      <c r="P209" s="72">
        <v>6682238.8399999999</v>
      </c>
      <c r="Q209" s="72">
        <f t="shared" si="16"/>
        <v>82.937058954946011</v>
      </c>
      <c r="R209" s="72">
        <f t="shared" si="17"/>
        <v>28.616989884628232</v>
      </c>
      <c r="S209" s="72">
        <f t="shared" si="18"/>
        <v>83.607412541914812</v>
      </c>
      <c r="T209" s="94">
        <f t="shared" si="19"/>
        <v>0.34227814274579671</v>
      </c>
      <c r="U209" s="101">
        <f t="shared" si="20"/>
        <v>0.34504466694645963</v>
      </c>
      <c r="V209" s="73">
        <v>2021</v>
      </c>
      <c r="W209" s="77" t="s">
        <v>137</v>
      </c>
    </row>
    <row r="210" spans="1:23" x14ac:dyDescent="0.2">
      <c r="A210" s="68">
        <v>806</v>
      </c>
      <c r="B210" s="69" t="s">
        <v>70</v>
      </c>
      <c r="C210" s="69" t="s">
        <v>2</v>
      </c>
      <c r="D210" s="69" t="s">
        <v>39</v>
      </c>
      <c r="E210" s="69" t="s">
        <v>106</v>
      </c>
      <c r="F210" s="69" t="s">
        <v>140</v>
      </c>
      <c r="G210" s="69" t="s">
        <v>122</v>
      </c>
      <c r="H210" s="69" t="s">
        <v>107</v>
      </c>
      <c r="I210" s="69" t="s">
        <v>108</v>
      </c>
      <c r="J210" s="70" t="s">
        <v>16</v>
      </c>
      <c r="K210" s="70" t="s">
        <v>18</v>
      </c>
      <c r="L210" s="71">
        <v>80570</v>
      </c>
      <c r="M210" s="71">
        <v>233506</v>
      </c>
      <c r="N210" s="71">
        <v>79924</v>
      </c>
      <c r="O210" s="70" t="s">
        <v>20</v>
      </c>
      <c r="P210" s="72">
        <v>8685485.9800000004</v>
      </c>
      <c r="Q210" s="72">
        <f t="shared" si="16"/>
        <v>107.80049621447189</v>
      </c>
      <c r="R210" s="72">
        <f t="shared" si="17"/>
        <v>37.195986312985532</v>
      </c>
      <c r="S210" s="72">
        <f t="shared" si="18"/>
        <v>108.67181297232371</v>
      </c>
      <c r="T210" s="94">
        <f t="shared" si="19"/>
        <v>0.34227814274579671</v>
      </c>
      <c r="U210" s="101">
        <f t="shared" si="20"/>
        <v>0.34504466694645963</v>
      </c>
      <c r="V210" s="73">
        <v>2021</v>
      </c>
      <c r="W210" s="77" t="s">
        <v>137</v>
      </c>
    </row>
    <row r="211" spans="1:23" x14ac:dyDescent="0.2">
      <c r="A211" s="68">
        <v>807</v>
      </c>
      <c r="B211" s="69" t="s">
        <v>70</v>
      </c>
      <c r="C211" s="69" t="s">
        <v>2</v>
      </c>
      <c r="D211" s="69" t="s">
        <v>39</v>
      </c>
      <c r="E211" s="69" t="s">
        <v>106</v>
      </c>
      <c r="F211" s="69" t="s">
        <v>140</v>
      </c>
      <c r="G211" s="69" t="s">
        <v>122</v>
      </c>
      <c r="H211" s="69" t="s">
        <v>107</v>
      </c>
      <c r="I211" s="69" t="s">
        <v>108</v>
      </c>
      <c r="J211" s="70" t="s">
        <v>16</v>
      </c>
      <c r="K211" s="70" t="s">
        <v>18</v>
      </c>
      <c r="L211" s="71">
        <v>80570</v>
      </c>
      <c r="M211" s="71">
        <v>233506</v>
      </c>
      <c r="N211" s="71">
        <v>79924</v>
      </c>
      <c r="O211" s="70" t="s">
        <v>23</v>
      </c>
      <c r="P211" s="72">
        <v>11274837.02</v>
      </c>
      <c r="Q211" s="72">
        <f t="shared" si="16"/>
        <v>139.93840163832692</v>
      </c>
      <c r="R211" s="72">
        <f t="shared" si="17"/>
        <v>48.284999186316412</v>
      </c>
      <c r="S211" s="72">
        <f t="shared" si="18"/>
        <v>141.06947875481708</v>
      </c>
      <c r="T211" s="94">
        <f t="shared" si="19"/>
        <v>0.34227814274579671</v>
      </c>
      <c r="U211" s="101">
        <f t="shared" si="20"/>
        <v>0.34504466694645963</v>
      </c>
      <c r="V211" s="73">
        <v>2021</v>
      </c>
      <c r="W211" s="77" t="s">
        <v>137</v>
      </c>
    </row>
    <row r="212" spans="1:23" x14ac:dyDescent="0.2">
      <c r="A212" s="68">
        <v>808</v>
      </c>
      <c r="B212" s="69" t="s">
        <v>70</v>
      </c>
      <c r="C212" s="69" t="s">
        <v>2</v>
      </c>
      <c r="D212" s="69" t="s">
        <v>39</v>
      </c>
      <c r="E212" s="69" t="s">
        <v>106</v>
      </c>
      <c r="F212" s="69" t="s">
        <v>140</v>
      </c>
      <c r="G212" s="69" t="s">
        <v>122</v>
      </c>
      <c r="H212" s="69" t="s">
        <v>107</v>
      </c>
      <c r="I212" s="69" t="s">
        <v>108</v>
      </c>
      <c r="J212" s="70" t="s">
        <v>16</v>
      </c>
      <c r="K212" s="70" t="s">
        <v>18</v>
      </c>
      <c r="L212" s="71">
        <v>80570</v>
      </c>
      <c r="M212" s="71">
        <v>233506</v>
      </c>
      <c r="N212" s="71">
        <v>79924</v>
      </c>
      <c r="O212" s="70" t="s">
        <v>25</v>
      </c>
      <c r="P212" s="72">
        <v>8636185.0600000005</v>
      </c>
      <c r="Q212" s="72">
        <f t="shared" si="16"/>
        <v>107.18859451408713</v>
      </c>
      <c r="R212" s="72">
        <f t="shared" si="17"/>
        <v>36.984852894572306</v>
      </c>
      <c r="S212" s="72">
        <f t="shared" si="18"/>
        <v>108.05496546719384</v>
      </c>
      <c r="T212" s="94">
        <f t="shared" si="19"/>
        <v>0.34227814274579671</v>
      </c>
      <c r="U212" s="101">
        <f t="shared" si="20"/>
        <v>0.34504466694645963</v>
      </c>
      <c r="V212" s="73">
        <v>2021</v>
      </c>
      <c r="W212" s="77" t="s">
        <v>137</v>
      </c>
    </row>
    <row r="213" spans="1:23" x14ac:dyDescent="0.2">
      <c r="A213" s="68">
        <v>809</v>
      </c>
      <c r="B213" s="69" t="s">
        <v>70</v>
      </c>
      <c r="C213" s="69" t="s">
        <v>2</v>
      </c>
      <c r="D213" s="69" t="s">
        <v>39</v>
      </c>
      <c r="E213" s="69" t="s">
        <v>106</v>
      </c>
      <c r="F213" s="69" t="s">
        <v>140</v>
      </c>
      <c r="G213" s="69" t="s">
        <v>122</v>
      </c>
      <c r="H213" s="69" t="s">
        <v>107</v>
      </c>
      <c r="I213" s="69" t="s">
        <v>108</v>
      </c>
      <c r="J213" s="70" t="s">
        <v>16</v>
      </c>
      <c r="K213" s="70" t="s">
        <v>18</v>
      </c>
      <c r="L213" s="71">
        <v>80570</v>
      </c>
      <c r="M213" s="71">
        <v>233506</v>
      </c>
      <c r="N213" s="71">
        <v>79924</v>
      </c>
      <c r="O213" s="70" t="s">
        <v>46</v>
      </c>
      <c r="P213" s="72">
        <v>0</v>
      </c>
      <c r="Q213" s="72">
        <f t="shared" si="16"/>
        <v>0</v>
      </c>
      <c r="R213" s="72">
        <f t="shared" si="17"/>
        <v>0</v>
      </c>
      <c r="S213" s="72">
        <f t="shared" si="18"/>
        <v>0</v>
      </c>
      <c r="T213" s="94">
        <f t="shared" si="19"/>
        <v>0.34227814274579671</v>
      </c>
      <c r="U213" s="101">
        <f t="shared" si="20"/>
        <v>0.34504466694645963</v>
      </c>
      <c r="V213" s="73">
        <v>2021</v>
      </c>
      <c r="W213" s="77" t="s">
        <v>137</v>
      </c>
    </row>
    <row r="214" spans="1:23" x14ac:dyDescent="0.2">
      <c r="A214" s="68">
        <v>810</v>
      </c>
      <c r="B214" s="69" t="s">
        <v>70</v>
      </c>
      <c r="C214" s="69" t="s">
        <v>2</v>
      </c>
      <c r="D214" s="69" t="s">
        <v>39</v>
      </c>
      <c r="E214" s="69" t="s">
        <v>106</v>
      </c>
      <c r="F214" s="69" t="s">
        <v>140</v>
      </c>
      <c r="G214" s="69" t="s">
        <v>122</v>
      </c>
      <c r="H214" s="69" t="s">
        <v>107</v>
      </c>
      <c r="I214" s="69" t="s">
        <v>108</v>
      </c>
      <c r="J214" s="70" t="s">
        <v>16</v>
      </c>
      <c r="K214" s="70" t="s">
        <v>18</v>
      </c>
      <c r="L214" s="71">
        <v>80570</v>
      </c>
      <c r="M214" s="71">
        <v>233506</v>
      </c>
      <c r="N214" s="71">
        <v>79924</v>
      </c>
      <c r="O214" s="70" t="s">
        <v>34</v>
      </c>
      <c r="P214" s="72">
        <v>1381206.42</v>
      </c>
      <c r="Q214" s="72">
        <f t="shared" si="16"/>
        <v>17.142936825121012</v>
      </c>
      <c r="R214" s="72">
        <f t="shared" si="17"/>
        <v>5.9150789273080777</v>
      </c>
      <c r="S214" s="72">
        <f t="shared" si="18"/>
        <v>17.28149767278915</v>
      </c>
      <c r="T214" s="94">
        <f t="shared" si="19"/>
        <v>0.34227814274579671</v>
      </c>
      <c r="U214" s="101">
        <f t="shared" si="20"/>
        <v>0.34504466694645963</v>
      </c>
      <c r="V214" s="73">
        <v>2021</v>
      </c>
      <c r="W214" s="77" t="s">
        <v>137</v>
      </c>
    </row>
    <row r="215" spans="1:23" x14ac:dyDescent="0.2">
      <c r="A215" s="68">
        <v>811</v>
      </c>
      <c r="B215" s="69" t="s">
        <v>70</v>
      </c>
      <c r="C215" s="69" t="s">
        <v>2</v>
      </c>
      <c r="D215" s="69" t="s">
        <v>39</v>
      </c>
      <c r="E215" s="69" t="s">
        <v>106</v>
      </c>
      <c r="F215" s="69" t="s">
        <v>140</v>
      </c>
      <c r="G215" s="69" t="s">
        <v>122</v>
      </c>
      <c r="H215" s="69" t="s">
        <v>107</v>
      </c>
      <c r="I215" s="69" t="s">
        <v>108</v>
      </c>
      <c r="J215" s="70" t="s">
        <v>16</v>
      </c>
      <c r="K215" s="70" t="s">
        <v>18</v>
      </c>
      <c r="L215" s="71">
        <v>80570</v>
      </c>
      <c r="M215" s="71">
        <v>233506</v>
      </c>
      <c r="N215" s="71">
        <v>79924</v>
      </c>
      <c r="O215" s="70" t="s">
        <v>26</v>
      </c>
      <c r="P215" s="72">
        <v>1553389.29</v>
      </c>
      <c r="Q215" s="72">
        <f t="shared" si="16"/>
        <v>19.27999615241405</v>
      </c>
      <c r="R215" s="72">
        <f t="shared" si="17"/>
        <v>6.6524598511387287</v>
      </c>
      <c r="S215" s="72">
        <f t="shared" si="18"/>
        <v>19.435830163655474</v>
      </c>
      <c r="T215" s="94">
        <f t="shared" si="19"/>
        <v>0.34227814274579671</v>
      </c>
      <c r="U215" s="101">
        <f t="shared" si="20"/>
        <v>0.34504466694645963</v>
      </c>
      <c r="V215" s="73">
        <v>2021</v>
      </c>
      <c r="W215" s="77" t="s">
        <v>137</v>
      </c>
    </row>
    <row r="216" spans="1:23" x14ac:dyDescent="0.2">
      <c r="A216" s="68">
        <v>811.99999999999989</v>
      </c>
      <c r="B216" s="69" t="s">
        <v>70</v>
      </c>
      <c r="C216" s="69" t="s">
        <v>2</v>
      </c>
      <c r="D216" s="69" t="s">
        <v>39</v>
      </c>
      <c r="E216" s="69" t="s">
        <v>106</v>
      </c>
      <c r="F216" s="69" t="s">
        <v>140</v>
      </c>
      <c r="G216" s="69" t="s">
        <v>122</v>
      </c>
      <c r="H216" s="69" t="s">
        <v>107</v>
      </c>
      <c r="I216" s="69" t="s">
        <v>108</v>
      </c>
      <c r="J216" s="70" t="s">
        <v>16</v>
      </c>
      <c r="K216" s="70" t="s">
        <v>18</v>
      </c>
      <c r="L216" s="71">
        <v>80570</v>
      </c>
      <c r="M216" s="71">
        <v>233506</v>
      </c>
      <c r="N216" s="71">
        <v>79924</v>
      </c>
      <c r="O216" s="70" t="s">
        <v>28</v>
      </c>
      <c r="P216" s="72">
        <v>2935477.84</v>
      </c>
      <c r="Q216" s="72">
        <f t="shared" si="16"/>
        <v>36.433881593645275</v>
      </c>
      <c r="R216" s="72">
        <f t="shared" si="17"/>
        <v>12.57131654004608</v>
      </c>
      <c r="S216" s="72">
        <f t="shared" si="18"/>
        <v>36.728364946699365</v>
      </c>
      <c r="T216" s="94">
        <f t="shared" si="19"/>
        <v>0.34227814274579671</v>
      </c>
      <c r="U216" s="101">
        <f t="shared" si="20"/>
        <v>0.34504466694645963</v>
      </c>
      <c r="V216" s="73">
        <v>2021</v>
      </c>
      <c r="W216" s="77" t="s">
        <v>137</v>
      </c>
    </row>
    <row r="217" spans="1:23" x14ac:dyDescent="0.2">
      <c r="A217" s="68">
        <v>813.00000000000011</v>
      </c>
      <c r="B217" s="69" t="s">
        <v>70</v>
      </c>
      <c r="C217" s="69" t="s">
        <v>2</v>
      </c>
      <c r="D217" s="69" t="s">
        <v>39</v>
      </c>
      <c r="E217" s="69" t="s">
        <v>106</v>
      </c>
      <c r="F217" s="69" t="s">
        <v>140</v>
      </c>
      <c r="G217" s="69" t="s">
        <v>122</v>
      </c>
      <c r="H217" s="69" t="s">
        <v>107</v>
      </c>
      <c r="I217" s="69" t="s">
        <v>108</v>
      </c>
      <c r="J217" s="70" t="s">
        <v>16</v>
      </c>
      <c r="K217" s="70" t="s">
        <v>18</v>
      </c>
      <c r="L217" s="71">
        <v>80570</v>
      </c>
      <c r="M217" s="71">
        <v>233506</v>
      </c>
      <c r="N217" s="71">
        <v>79924</v>
      </c>
      <c r="O217" s="70" t="s">
        <v>47</v>
      </c>
      <c r="P217" s="72">
        <v>0</v>
      </c>
      <c r="Q217" s="72">
        <f t="shared" si="16"/>
        <v>0</v>
      </c>
      <c r="R217" s="72">
        <f t="shared" si="17"/>
        <v>0</v>
      </c>
      <c r="S217" s="72">
        <f t="shared" si="18"/>
        <v>0</v>
      </c>
      <c r="T217" s="94">
        <f t="shared" si="19"/>
        <v>0.34227814274579671</v>
      </c>
      <c r="U217" s="101">
        <f t="shared" si="20"/>
        <v>0.34504466694645963</v>
      </c>
      <c r="V217" s="73">
        <v>2021</v>
      </c>
      <c r="W217" s="77" t="s">
        <v>137</v>
      </c>
    </row>
    <row r="218" spans="1:23" x14ac:dyDescent="0.2">
      <c r="A218" s="68">
        <v>814</v>
      </c>
      <c r="B218" s="69" t="s">
        <v>70</v>
      </c>
      <c r="C218" s="69" t="s">
        <v>2</v>
      </c>
      <c r="D218" s="69" t="s">
        <v>39</v>
      </c>
      <c r="E218" s="69" t="s">
        <v>106</v>
      </c>
      <c r="F218" s="69" t="s">
        <v>140</v>
      </c>
      <c r="G218" s="69" t="s">
        <v>122</v>
      </c>
      <c r="H218" s="69" t="s">
        <v>107</v>
      </c>
      <c r="I218" s="69" t="s">
        <v>108</v>
      </c>
      <c r="J218" s="70" t="s">
        <v>16</v>
      </c>
      <c r="K218" s="70" t="s">
        <v>18</v>
      </c>
      <c r="L218" s="71">
        <v>80570</v>
      </c>
      <c r="M218" s="71">
        <v>233506</v>
      </c>
      <c r="N218" s="71">
        <v>79924</v>
      </c>
      <c r="O218" s="70" t="s">
        <v>27</v>
      </c>
      <c r="P218" s="72">
        <v>4774284.05</v>
      </c>
      <c r="Q218" s="72">
        <f t="shared" si="16"/>
        <v>59.25634913739605</v>
      </c>
      <c r="R218" s="72">
        <f t="shared" si="17"/>
        <v>20.44608725257595</v>
      </c>
      <c r="S218" s="72">
        <f t="shared" si="18"/>
        <v>59.73529915920124</v>
      </c>
      <c r="T218" s="94">
        <f t="shared" si="19"/>
        <v>0.34227814274579671</v>
      </c>
      <c r="U218" s="101">
        <f t="shared" si="20"/>
        <v>0.34504466694645963</v>
      </c>
      <c r="V218" s="73">
        <v>2021</v>
      </c>
      <c r="W218" s="77" t="s">
        <v>137</v>
      </c>
    </row>
    <row r="219" spans="1:23" x14ac:dyDescent="0.2">
      <c r="A219" s="68">
        <v>815</v>
      </c>
      <c r="B219" s="69" t="s">
        <v>70</v>
      </c>
      <c r="C219" s="69" t="s">
        <v>2</v>
      </c>
      <c r="D219" s="69" t="s">
        <v>39</v>
      </c>
      <c r="E219" s="69" t="s">
        <v>106</v>
      </c>
      <c r="F219" s="69" t="s">
        <v>140</v>
      </c>
      <c r="G219" s="69" t="s">
        <v>122</v>
      </c>
      <c r="H219" s="69" t="s">
        <v>107</v>
      </c>
      <c r="I219" s="69" t="s">
        <v>108</v>
      </c>
      <c r="J219" s="70" t="s">
        <v>16</v>
      </c>
      <c r="K219" s="70" t="s">
        <v>18</v>
      </c>
      <c r="L219" s="71">
        <v>80570</v>
      </c>
      <c r="M219" s="71">
        <v>233506</v>
      </c>
      <c r="N219" s="71">
        <v>79924</v>
      </c>
      <c r="O219" s="70" t="s">
        <v>48</v>
      </c>
      <c r="P219" s="72">
        <v>0</v>
      </c>
      <c r="Q219" s="72">
        <f t="shared" si="16"/>
        <v>0</v>
      </c>
      <c r="R219" s="72">
        <f t="shared" si="17"/>
        <v>0</v>
      </c>
      <c r="S219" s="72">
        <f t="shared" si="18"/>
        <v>0</v>
      </c>
      <c r="T219" s="94">
        <f t="shared" si="19"/>
        <v>0.34227814274579671</v>
      </c>
      <c r="U219" s="101">
        <f t="shared" si="20"/>
        <v>0.34504466694645963</v>
      </c>
      <c r="V219" s="73">
        <v>2021</v>
      </c>
      <c r="W219" s="77" t="s">
        <v>137</v>
      </c>
    </row>
    <row r="220" spans="1:23" x14ac:dyDescent="0.2">
      <c r="A220" s="68">
        <v>816</v>
      </c>
      <c r="B220" s="69" t="s">
        <v>70</v>
      </c>
      <c r="C220" s="69" t="s">
        <v>2</v>
      </c>
      <c r="D220" s="69" t="s">
        <v>39</v>
      </c>
      <c r="E220" s="69" t="s">
        <v>106</v>
      </c>
      <c r="F220" s="69" t="s">
        <v>140</v>
      </c>
      <c r="G220" s="69" t="s">
        <v>122</v>
      </c>
      <c r="H220" s="69" t="s">
        <v>107</v>
      </c>
      <c r="I220" s="69" t="s">
        <v>108</v>
      </c>
      <c r="J220" s="70" t="s">
        <v>16</v>
      </c>
      <c r="K220" s="70" t="s">
        <v>18</v>
      </c>
      <c r="L220" s="71">
        <v>80570</v>
      </c>
      <c r="M220" s="71">
        <v>233506</v>
      </c>
      <c r="N220" s="71">
        <v>79924</v>
      </c>
      <c r="O220" s="70" t="s">
        <v>49</v>
      </c>
      <c r="P220" s="72">
        <v>0</v>
      </c>
      <c r="Q220" s="72">
        <f t="shared" si="16"/>
        <v>0</v>
      </c>
      <c r="R220" s="72">
        <f t="shared" si="17"/>
        <v>0</v>
      </c>
      <c r="S220" s="72">
        <f t="shared" si="18"/>
        <v>0</v>
      </c>
      <c r="T220" s="94">
        <f t="shared" si="19"/>
        <v>0.34227814274579671</v>
      </c>
      <c r="U220" s="101">
        <f t="shared" si="20"/>
        <v>0.34504466694645963</v>
      </c>
      <c r="V220" s="73">
        <v>2021</v>
      </c>
      <c r="W220" s="77" t="s">
        <v>137</v>
      </c>
    </row>
    <row r="221" spans="1:23" x14ac:dyDescent="0.2">
      <c r="A221" s="68">
        <v>817</v>
      </c>
      <c r="B221" s="69" t="s">
        <v>70</v>
      </c>
      <c r="C221" s="69" t="s">
        <v>2</v>
      </c>
      <c r="D221" s="69" t="s">
        <v>39</v>
      </c>
      <c r="E221" s="69" t="s">
        <v>106</v>
      </c>
      <c r="F221" s="69" t="s">
        <v>140</v>
      </c>
      <c r="G221" s="69" t="s">
        <v>122</v>
      </c>
      <c r="H221" s="69" t="s">
        <v>107</v>
      </c>
      <c r="I221" s="69" t="s">
        <v>108</v>
      </c>
      <c r="J221" s="70" t="s">
        <v>16</v>
      </c>
      <c r="K221" s="70" t="s">
        <v>18</v>
      </c>
      <c r="L221" s="71">
        <v>80570</v>
      </c>
      <c r="M221" s="71">
        <v>233506</v>
      </c>
      <c r="N221" s="71">
        <v>79924</v>
      </c>
      <c r="O221" s="70" t="s">
        <v>50</v>
      </c>
      <c r="P221" s="72">
        <v>0</v>
      </c>
      <c r="Q221" s="72">
        <f t="shared" si="16"/>
        <v>0</v>
      </c>
      <c r="R221" s="72">
        <f t="shared" si="17"/>
        <v>0</v>
      </c>
      <c r="S221" s="72">
        <f t="shared" si="18"/>
        <v>0</v>
      </c>
      <c r="T221" s="94">
        <f t="shared" si="19"/>
        <v>0.34227814274579671</v>
      </c>
      <c r="U221" s="101">
        <f t="shared" si="20"/>
        <v>0.34504466694645963</v>
      </c>
      <c r="V221" s="73">
        <v>2021</v>
      </c>
      <c r="W221" s="77" t="s">
        <v>137</v>
      </c>
    </row>
    <row r="222" spans="1:23" x14ac:dyDescent="0.2">
      <c r="A222" s="68">
        <v>818</v>
      </c>
      <c r="B222" s="69" t="s">
        <v>70</v>
      </c>
      <c r="C222" s="69" t="s">
        <v>2</v>
      </c>
      <c r="D222" s="69" t="s">
        <v>39</v>
      </c>
      <c r="E222" s="69" t="s">
        <v>106</v>
      </c>
      <c r="F222" s="69" t="s">
        <v>140</v>
      </c>
      <c r="G222" s="69" t="s">
        <v>122</v>
      </c>
      <c r="H222" s="69" t="s">
        <v>107</v>
      </c>
      <c r="I222" s="69" t="s">
        <v>108</v>
      </c>
      <c r="J222" s="70" t="s">
        <v>16</v>
      </c>
      <c r="K222" s="70" t="s">
        <v>18</v>
      </c>
      <c r="L222" s="71">
        <v>80570</v>
      </c>
      <c r="M222" s="71">
        <v>233506</v>
      </c>
      <c r="N222" s="71">
        <v>79924</v>
      </c>
      <c r="O222" s="70" t="s">
        <v>51</v>
      </c>
      <c r="P222" s="72">
        <v>0</v>
      </c>
      <c r="Q222" s="72">
        <f t="shared" si="16"/>
        <v>0</v>
      </c>
      <c r="R222" s="72">
        <f t="shared" si="17"/>
        <v>0</v>
      </c>
      <c r="S222" s="72">
        <f t="shared" si="18"/>
        <v>0</v>
      </c>
      <c r="T222" s="94">
        <f t="shared" si="19"/>
        <v>0.34227814274579671</v>
      </c>
      <c r="U222" s="101">
        <f t="shared" si="20"/>
        <v>0.34504466694645963</v>
      </c>
      <c r="V222" s="73">
        <v>2021</v>
      </c>
      <c r="W222" s="77" t="s">
        <v>137</v>
      </c>
    </row>
    <row r="223" spans="1:23" x14ac:dyDescent="0.2">
      <c r="A223" s="68">
        <v>819</v>
      </c>
      <c r="B223" s="69" t="s">
        <v>70</v>
      </c>
      <c r="C223" s="69" t="s">
        <v>2</v>
      </c>
      <c r="D223" s="69" t="s">
        <v>39</v>
      </c>
      <c r="E223" s="69" t="s">
        <v>106</v>
      </c>
      <c r="F223" s="69" t="s">
        <v>140</v>
      </c>
      <c r="G223" s="69" t="s">
        <v>122</v>
      </c>
      <c r="H223" s="69" t="s">
        <v>107</v>
      </c>
      <c r="I223" s="69" t="s">
        <v>108</v>
      </c>
      <c r="J223" s="70" t="s">
        <v>16</v>
      </c>
      <c r="K223" s="70" t="s">
        <v>18</v>
      </c>
      <c r="L223" s="71">
        <v>80570</v>
      </c>
      <c r="M223" s="71">
        <v>233506</v>
      </c>
      <c r="N223" s="71">
        <v>79924</v>
      </c>
      <c r="O223" s="70" t="s">
        <v>52</v>
      </c>
      <c r="P223" s="72">
        <v>0</v>
      </c>
      <c r="Q223" s="72">
        <f t="shared" si="16"/>
        <v>0</v>
      </c>
      <c r="R223" s="72">
        <f t="shared" si="17"/>
        <v>0</v>
      </c>
      <c r="S223" s="72">
        <f t="shared" si="18"/>
        <v>0</v>
      </c>
      <c r="T223" s="94">
        <f t="shared" si="19"/>
        <v>0.34227814274579671</v>
      </c>
      <c r="U223" s="101">
        <f t="shared" si="20"/>
        <v>0.34504466694645963</v>
      </c>
      <c r="V223" s="73">
        <v>2021</v>
      </c>
      <c r="W223" s="77" t="s">
        <v>137</v>
      </c>
    </row>
    <row r="224" spans="1:23" x14ac:dyDescent="0.2">
      <c r="A224" s="68">
        <v>819.99999999999989</v>
      </c>
      <c r="B224" s="69" t="s">
        <v>70</v>
      </c>
      <c r="C224" s="69" t="s">
        <v>2</v>
      </c>
      <c r="D224" s="69" t="s">
        <v>39</v>
      </c>
      <c r="E224" s="69" t="s">
        <v>106</v>
      </c>
      <c r="F224" s="69" t="s">
        <v>140</v>
      </c>
      <c r="G224" s="69" t="s">
        <v>122</v>
      </c>
      <c r="H224" s="69" t="s">
        <v>107</v>
      </c>
      <c r="I224" s="69" t="s">
        <v>108</v>
      </c>
      <c r="J224" s="70" t="s">
        <v>16</v>
      </c>
      <c r="K224" s="70" t="s">
        <v>18</v>
      </c>
      <c r="L224" s="71">
        <v>80570</v>
      </c>
      <c r="M224" s="71">
        <v>233506</v>
      </c>
      <c r="N224" s="71">
        <v>79924</v>
      </c>
      <c r="O224" s="70" t="s">
        <v>53</v>
      </c>
      <c r="P224" s="72">
        <v>0</v>
      </c>
      <c r="Q224" s="72">
        <f t="shared" si="16"/>
        <v>0</v>
      </c>
      <c r="R224" s="72">
        <f t="shared" si="17"/>
        <v>0</v>
      </c>
      <c r="S224" s="72">
        <f t="shared" si="18"/>
        <v>0</v>
      </c>
      <c r="T224" s="94">
        <f t="shared" si="19"/>
        <v>0.34227814274579671</v>
      </c>
      <c r="U224" s="101">
        <f t="shared" si="20"/>
        <v>0.34504466694645963</v>
      </c>
      <c r="V224" s="73">
        <v>2021</v>
      </c>
      <c r="W224" s="77" t="s">
        <v>137</v>
      </c>
    </row>
    <row r="225" spans="1:23" x14ac:dyDescent="0.2">
      <c r="A225" s="68">
        <v>821.00000000000011</v>
      </c>
      <c r="B225" s="69" t="s">
        <v>70</v>
      </c>
      <c r="C225" s="69" t="s">
        <v>2</v>
      </c>
      <c r="D225" s="69" t="s">
        <v>39</v>
      </c>
      <c r="E225" s="69" t="s">
        <v>106</v>
      </c>
      <c r="F225" s="69" t="s">
        <v>140</v>
      </c>
      <c r="G225" s="69" t="s">
        <v>122</v>
      </c>
      <c r="H225" s="69" t="s">
        <v>107</v>
      </c>
      <c r="I225" s="69" t="s">
        <v>108</v>
      </c>
      <c r="J225" s="70" t="s">
        <v>16</v>
      </c>
      <c r="K225" s="70" t="s">
        <v>18</v>
      </c>
      <c r="L225" s="71">
        <v>80570</v>
      </c>
      <c r="M225" s="71">
        <v>233506</v>
      </c>
      <c r="N225" s="71">
        <v>79924</v>
      </c>
      <c r="O225" s="70" t="s">
        <v>55</v>
      </c>
      <c r="P225" s="72">
        <v>0</v>
      </c>
      <c r="Q225" s="72">
        <f t="shared" si="16"/>
        <v>0</v>
      </c>
      <c r="R225" s="72">
        <f t="shared" si="17"/>
        <v>0</v>
      </c>
      <c r="S225" s="72">
        <f t="shared" si="18"/>
        <v>0</v>
      </c>
      <c r="T225" s="94">
        <f t="shared" si="19"/>
        <v>0.34227814274579671</v>
      </c>
      <c r="U225" s="101">
        <f t="shared" si="20"/>
        <v>0.34504466694645963</v>
      </c>
      <c r="V225" s="73">
        <v>2021</v>
      </c>
      <c r="W225" s="77" t="s">
        <v>137</v>
      </c>
    </row>
    <row r="226" spans="1:23" x14ac:dyDescent="0.2">
      <c r="A226" s="68">
        <v>822.00000000000011</v>
      </c>
      <c r="B226" s="69" t="s">
        <v>70</v>
      </c>
      <c r="C226" s="69" t="s">
        <v>2</v>
      </c>
      <c r="D226" s="69" t="s">
        <v>39</v>
      </c>
      <c r="E226" s="69" t="s">
        <v>106</v>
      </c>
      <c r="F226" s="69" t="s">
        <v>140</v>
      </c>
      <c r="G226" s="69" t="s">
        <v>122</v>
      </c>
      <c r="H226" s="69" t="s">
        <v>107</v>
      </c>
      <c r="I226" s="69" t="s">
        <v>108</v>
      </c>
      <c r="J226" s="70" t="s">
        <v>16</v>
      </c>
      <c r="K226" s="70" t="s">
        <v>18</v>
      </c>
      <c r="L226" s="71">
        <v>80570</v>
      </c>
      <c r="M226" s="71">
        <v>233506</v>
      </c>
      <c r="N226" s="71">
        <v>79924</v>
      </c>
      <c r="O226" s="70" t="s">
        <v>54</v>
      </c>
      <c r="P226" s="72">
        <v>0</v>
      </c>
      <c r="Q226" s="72">
        <f t="shared" si="16"/>
        <v>0</v>
      </c>
      <c r="R226" s="72">
        <f t="shared" si="17"/>
        <v>0</v>
      </c>
      <c r="S226" s="72">
        <f t="shared" si="18"/>
        <v>0</v>
      </c>
      <c r="T226" s="94">
        <f t="shared" si="19"/>
        <v>0.34227814274579671</v>
      </c>
      <c r="U226" s="101">
        <f t="shared" si="20"/>
        <v>0.34504466694645963</v>
      </c>
      <c r="V226" s="73">
        <v>2021</v>
      </c>
      <c r="W226" s="77" t="s">
        <v>137</v>
      </c>
    </row>
    <row r="227" spans="1:23" x14ac:dyDescent="0.2">
      <c r="A227" s="68">
        <v>823</v>
      </c>
      <c r="B227" s="69" t="s">
        <v>70</v>
      </c>
      <c r="C227" s="69" t="s">
        <v>2</v>
      </c>
      <c r="D227" s="69" t="s">
        <v>39</v>
      </c>
      <c r="E227" s="69" t="s">
        <v>106</v>
      </c>
      <c r="F227" s="69" t="s">
        <v>140</v>
      </c>
      <c r="G227" s="69" t="s">
        <v>122</v>
      </c>
      <c r="H227" s="69" t="s">
        <v>107</v>
      </c>
      <c r="I227" s="69" t="s">
        <v>108</v>
      </c>
      <c r="J227" s="70" t="s">
        <v>16</v>
      </c>
      <c r="K227" s="70" t="s">
        <v>18</v>
      </c>
      <c r="L227" s="71">
        <v>80570</v>
      </c>
      <c r="M227" s="71">
        <v>233506</v>
      </c>
      <c r="N227" s="71">
        <v>79924</v>
      </c>
      <c r="O227" s="70" t="s">
        <v>56</v>
      </c>
      <c r="P227" s="72">
        <v>0</v>
      </c>
      <c r="Q227" s="72">
        <f t="shared" si="16"/>
        <v>0</v>
      </c>
      <c r="R227" s="72">
        <f t="shared" si="17"/>
        <v>0</v>
      </c>
      <c r="S227" s="72">
        <f t="shared" si="18"/>
        <v>0</v>
      </c>
      <c r="T227" s="94">
        <f t="shared" si="19"/>
        <v>0.34227814274579671</v>
      </c>
      <c r="U227" s="101">
        <f t="shared" si="20"/>
        <v>0.34504466694645963</v>
      </c>
      <c r="V227" s="73">
        <v>2021</v>
      </c>
      <c r="W227" s="77" t="s">
        <v>137</v>
      </c>
    </row>
    <row r="228" spans="1:23" x14ac:dyDescent="0.2">
      <c r="A228" s="68">
        <v>823.99999999999898</v>
      </c>
      <c r="B228" s="69" t="s">
        <v>70</v>
      </c>
      <c r="C228" s="69" t="s">
        <v>2</v>
      </c>
      <c r="D228" s="69" t="s">
        <v>39</v>
      </c>
      <c r="E228" s="69" t="s">
        <v>106</v>
      </c>
      <c r="F228" s="69" t="s">
        <v>140</v>
      </c>
      <c r="G228" s="69" t="s">
        <v>122</v>
      </c>
      <c r="H228" s="69" t="s">
        <v>107</v>
      </c>
      <c r="I228" s="69" t="s">
        <v>108</v>
      </c>
      <c r="J228" s="70" t="s">
        <v>16</v>
      </c>
      <c r="K228" s="70" t="s">
        <v>18</v>
      </c>
      <c r="L228" s="71">
        <v>80570</v>
      </c>
      <c r="M228" s="71">
        <v>233506</v>
      </c>
      <c r="N228" s="71">
        <v>79924</v>
      </c>
      <c r="O228" s="70" t="s">
        <v>73</v>
      </c>
      <c r="P228" s="72">
        <v>11228730.1</v>
      </c>
      <c r="Q228" s="72">
        <f t="shared" si="16"/>
        <v>139.36614248479583</v>
      </c>
      <c r="R228" s="72">
        <f t="shared" si="17"/>
        <v>48.087544217279209</v>
      </c>
      <c r="S228" s="72">
        <f t="shared" si="18"/>
        <v>140.49259421450378</v>
      </c>
      <c r="T228" s="94">
        <f t="shared" si="19"/>
        <v>0.34227814274579671</v>
      </c>
      <c r="U228" s="101">
        <f t="shared" si="20"/>
        <v>0.34504466694645963</v>
      </c>
      <c r="V228" s="73">
        <v>2021</v>
      </c>
      <c r="W228" s="77" t="s">
        <v>137</v>
      </c>
    </row>
    <row r="229" spans="1:23" x14ac:dyDescent="0.2">
      <c r="A229" s="68">
        <v>824.99999999999898</v>
      </c>
      <c r="B229" s="69" t="s">
        <v>70</v>
      </c>
      <c r="C229" s="69" t="s">
        <v>2</v>
      </c>
      <c r="D229" s="69" t="s">
        <v>39</v>
      </c>
      <c r="E229" s="69" t="s">
        <v>106</v>
      </c>
      <c r="F229" s="69" t="s">
        <v>140</v>
      </c>
      <c r="G229" s="69" t="s">
        <v>122</v>
      </c>
      <c r="H229" s="69" t="s">
        <v>107</v>
      </c>
      <c r="I229" s="69" t="s">
        <v>108</v>
      </c>
      <c r="J229" s="70" t="s">
        <v>16</v>
      </c>
      <c r="K229" s="70" t="s">
        <v>18</v>
      </c>
      <c r="L229" s="71">
        <v>80570</v>
      </c>
      <c r="M229" s="71">
        <v>233506</v>
      </c>
      <c r="N229" s="71">
        <v>79924</v>
      </c>
      <c r="O229" s="70" t="s">
        <v>57</v>
      </c>
      <c r="P229" s="75"/>
      <c r="Q229" s="72">
        <f t="shared" si="16"/>
        <v>0</v>
      </c>
      <c r="R229" s="72">
        <f t="shared" si="17"/>
        <v>0</v>
      </c>
      <c r="S229" s="72">
        <f t="shared" si="18"/>
        <v>0</v>
      </c>
      <c r="T229" s="94">
        <f t="shared" si="19"/>
        <v>0.34227814274579671</v>
      </c>
      <c r="U229" s="101">
        <f t="shared" si="20"/>
        <v>0.34504466694645963</v>
      </c>
      <c r="V229" s="73">
        <v>2021</v>
      </c>
      <c r="W229" s="77" t="s">
        <v>137</v>
      </c>
    </row>
    <row r="230" spans="1:23" x14ac:dyDescent="0.2">
      <c r="A230" s="68">
        <v>825.99999999999886</v>
      </c>
      <c r="B230" s="69" t="s">
        <v>70</v>
      </c>
      <c r="C230" s="69" t="s">
        <v>2</v>
      </c>
      <c r="D230" s="69" t="s">
        <v>39</v>
      </c>
      <c r="E230" s="69" t="s">
        <v>106</v>
      </c>
      <c r="F230" s="69" t="s">
        <v>140</v>
      </c>
      <c r="G230" s="69" t="s">
        <v>122</v>
      </c>
      <c r="H230" s="69" t="s">
        <v>107</v>
      </c>
      <c r="I230" s="69" t="s">
        <v>108</v>
      </c>
      <c r="J230" s="70" t="s">
        <v>16</v>
      </c>
      <c r="K230" s="70" t="s">
        <v>18</v>
      </c>
      <c r="L230" s="71">
        <v>80570</v>
      </c>
      <c r="M230" s="71">
        <v>233506</v>
      </c>
      <c r="N230" s="71">
        <v>79924</v>
      </c>
      <c r="O230" s="70" t="s">
        <v>58</v>
      </c>
      <c r="P230" s="72">
        <v>0</v>
      </c>
      <c r="Q230" s="72">
        <f t="shared" si="16"/>
        <v>0</v>
      </c>
      <c r="R230" s="72">
        <f t="shared" si="17"/>
        <v>0</v>
      </c>
      <c r="S230" s="72">
        <f t="shared" si="18"/>
        <v>0</v>
      </c>
      <c r="T230" s="94">
        <f t="shared" si="19"/>
        <v>0.34227814274579671</v>
      </c>
      <c r="U230" s="101">
        <f t="shared" si="20"/>
        <v>0.34504466694645963</v>
      </c>
      <c r="V230" s="73">
        <v>2021</v>
      </c>
      <c r="W230" s="77" t="s">
        <v>137</v>
      </c>
    </row>
    <row r="231" spans="1:23" x14ac:dyDescent="0.2">
      <c r="A231" s="68">
        <v>826.99999999999909</v>
      </c>
      <c r="B231" s="69" t="s">
        <v>70</v>
      </c>
      <c r="C231" s="69" t="s">
        <v>2</v>
      </c>
      <c r="D231" s="69" t="s">
        <v>39</v>
      </c>
      <c r="E231" s="69" t="s">
        <v>106</v>
      </c>
      <c r="F231" s="69" t="s">
        <v>140</v>
      </c>
      <c r="G231" s="69" t="s">
        <v>122</v>
      </c>
      <c r="H231" s="69" t="s">
        <v>107</v>
      </c>
      <c r="I231" s="69" t="s">
        <v>108</v>
      </c>
      <c r="J231" s="70" t="s">
        <v>16</v>
      </c>
      <c r="K231" s="70" t="s">
        <v>18</v>
      </c>
      <c r="L231" s="71">
        <v>80570</v>
      </c>
      <c r="M231" s="71">
        <v>233506</v>
      </c>
      <c r="N231" s="71">
        <v>79924</v>
      </c>
      <c r="O231" s="70" t="s">
        <v>59</v>
      </c>
      <c r="P231" s="72">
        <v>0</v>
      </c>
      <c r="Q231" s="72">
        <f t="shared" si="16"/>
        <v>0</v>
      </c>
      <c r="R231" s="72">
        <f t="shared" si="17"/>
        <v>0</v>
      </c>
      <c r="S231" s="72">
        <f t="shared" si="18"/>
        <v>0</v>
      </c>
      <c r="T231" s="94">
        <f t="shared" si="19"/>
        <v>0.34227814274579671</v>
      </c>
      <c r="U231" s="101">
        <f t="shared" si="20"/>
        <v>0.34504466694645963</v>
      </c>
      <c r="V231" s="73">
        <v>2021</v>
      </c>
      <c r="W231" s="77" t="s">
        <v>137</v>
      </c>
    </row>
    <row r="232" spans="1:23" x14ac:dyDescent="0.2">
      <c r="A232" s="68">
        <v>827.99999999999909</v>
      </c>
      <c r="B232" s="69" t="s">
        <v>70</v>
      </c>
      <c r="C232" s="69" t="s">
        <v>2</v>
      </c>
      <c r="D232" s="69" t="s">
        <v>39</v>
      </c>
      <c r="E232" s="69" t="s">
        <v>106</v>
      </c>
      <c r="F232" s="69" t="s">
        <v>140</v>
      </c>
      <c r="G232" s="69" t="s">
        <v>122</v>
      </c>
      <c r="H232" s="69" t="s">
        <v>107</v>
      </c>
      <c r="I232" s="69" t="s">
        <v>108</v>
      </c>
      <c r="J232" s="70" t="s">
        <v>16</v>
      </c>
      <c r="K232" s="70" t="s">
        <v>18</v>
      </c>
      <c r="L232" s="71">
        <v>80570</v>
      </c>
      <c r="M232" s="71">
        <v>233506</v>
      </c>
      <c r="N232" s="71">
        <v>79924</v>
      </c>
      <c r="O232" s="70" t="s">
        <v>60</v>
      </c>
      <c r="P232" s="72">
        <v>0</v>
      </c>
      <c r="Q232" s="72">
        <f t="shared" si="16"/>
        <v>0</v>
      </c>
      <c r="R232" s="72">
        <f t="shared" si="17"/>
        <v>0</v>
      </c>
      <c r="S232" s="72">
        <f t="shared" si="18"/>
        <v>0</v>
      </c>
      <c r="T232" s="94">
        <f t="shared" si="19"/>
        <v>0.34227814274579671</v>
      </c>
      <c r="U232" s="101">
        <f t="shared" si="20"/>
        <v>0.34504466694645963</v>
      </c>
      <c r="V232" s="73">
        <v>2021</v>
      </c>
      <c r="W232" s="77" t="s">
        <v>137</v>
      </c>
    </row>
    <row r="233" spans="1:23" x14ac:dyDescent="0.2">
      <c r="A233" s="68">
        <v>828.99999999999898</v>
      </c>
      <c r="B233" s="69" t="s">
        <v>70</v>
      </c>
      <c r="C233" s="69" t="s">
        <v>2</v>
      </c>
      <c r="D233" s="69" t="s">
        <v>39</v>
      </c>
      <c r="E233" s="69" t="s">
        <v>106</v>
      </c>
      <c r="F233" s="69" t="s">
        <v>140</v>
      </c>
      <c r="G233" s="69" t="s">
        <v>122</v>
      </c>
      <c r="H233" s="69" t="s">
        <v>107</v>
      </c>
      <c r="I233" s="69" t="s">
        <v>108</v>
      </c>
      <c r="J233" s="70" t="s">
        <v>16</v>
      </c>
      <c r="K233" s="70" t="s">
        <v>18</v>
      </c>
      <c r="L233" s="71">
        <v>80570</v>
      </c>
      <c r="M233" s="71">
        <v>233506</v>
      </c>
      <c r="N233" s="71">
        <v>79924</v>
      </c>
      <c r="O233" s="70" t="s">
        <v>61</v>
      </c>
      <c r="P233" s="72">
        <v>0</v>
      </c>
      <c r="Q233" s="72">
        <f t="shared" si="16"/>
        <v>0</v>
      </c>
      <c r="R233" s="72">
        <f t="shared" si="17"/>
        <v>0</v>
      </c>
      <c r="S233" s="72">
        <f t="shared" si="18"/>
        <v>0</v>
      </c>
      <c r="T233" s="94">
        <f t="shared" si="19"/>
        <v>0.34227814274579671</v>
      </c>
      <c r="U233" s="101">
        <f t="shared" si="20"/>
        <v>0.34504466694645963</v>
      </c>
      <c r="V233" s="73">
        <v>2021</v>
      </c>
      <c r="W233" s="77" t="s">
        <v>137</v>
      </c>
    </row>
    <row r="234" spans="1:23" s="114" customFormat="1" x14ac:dyDescent="0.2">
      <c r="A234" s="105">
        <v>901</v>
      </c>
      <c r="B234" s="106" t="s">
        <v>70</v>
      </c>
      <c r="C234" s="106" t="s">
        <v>2</v>
      </c>
      <c r="D234" s="106" t="s">
        <v>39</v>
      </c>
      <c r="E234" s="106" t="s">
        <v>41</v>
      </c>
      <c r="F234" s="106" t="s">
        <v>131</v>
      </c>
      <c r="G234" s="106" t="s">
        <v>40</v>
      </c>
      <c r="H234" s="106" t="s">
        <v>42</v>
      </c>
      <c r="I234" s="106" t="s">
        <v>77</v>
      </c>
      <c r="J234" s="107" t="s">
        <v>16</v>
      </c>
      <c r="K234" s="107" t="s">
        <v>18</v>
      </c>
      <c r="L234" s="108">
        <v>2904714</v>
      </c>
      <c r="M234" s="108">
        <v>10851011</v>
      </c>
      <c r="N234" s="108">
        <v>6412481</v>
      </c>
      <c r="O234" s="107" t="s">
        <v>24</v>
      </c>
      <c r="P234" s="109">
        <v>651925257.67451954</v>
      </c>
      <c r="Q234" s="109">
        <f t="shared" si="16"/>
        <v>224.43698679956771</v>
      </c>
      <c r="R234" s="109">
        <f t="shared" si="17"/>
        <v>60.079678997147781</v>
      </c>
      <c r="S234" s="109">
        <f t="shared" si="18"/>
        <v>101.66505876189255</v>
      </c>
      <c r="T234" s="110">
        <f t="shared" si="19"/>
        <v>0.59095700852206301</v>
      </c>
      <c r="U234" s="111">
        <f t="shared" si="20"/>
        <v>0.26769063269772742</v>
      </c>
      <c r="V234" s="112">
        <v>2023</v>
      </c>
      <c r="W234" s="113" t="s">
        <v>137</v>
      </c>
    </row>
    <row r="235" spans="1:23" s="114" customFormat="1" x14ac:dyDescent="0.2">
      <c r="A235" s="105">
        <v>902</v>
      </c>
      <c r="B235" s="106" t="s">
        <v>70</v>
      </c>
      <c r="C235" s="106" t="s">
        <v>2</v>
      </c>
      <c r="D235" s="106" t="s">
        <v>39</v>
      </c>
      <c r="E235" s="106" t="s">
        <v>41</v>
      </c>
      <c r="F235" s="106" t="s">
        <v>131</v>
      </c>
      <c r="G235" s="106" t="s">
        <v>40</v>
      </c>
      <c r="H235" s="106" t="s">
        <v>42</v>
      </c>
      <c r="I235" s="106" t="s">
        <v>77</v>
      </c>
      <c r="J235" s="107" t="s">
        <v>16</v>
      </c>
      <c r="K235" s="107" t="s">
        <v>18</v>
      </c>
      <c r="L235" s="108">
        <v>2904714</v>
      </c>
      <c r="M235" s="108">
        <v>10851011</v>
      </c>
      <c r="N235" s="108">
        <v>6412481</v>
      </c>
      <c r="O235" s="107" t="s">
        <v>44</v>
      </c>
      <c r="P235" s="109">
        <v>0</v>
      </c>
      <c r="Q235" s="109">
        <f t="shared" si="16"/>
        <v>0</v>
      </c>
      <c r="R235" s="109">
        <f t="shared" si="17"/>
        <v>0</v>
      </c>
      <c r="S235" s="109">
        <f t="shared" si="18"/>
        <v>0</v>
      </c>
      <c r="T235" s="110">
        <f t="shared" si="19"/>
        <v>0.59095700852206301</v>
      </c>
      <c r="U235" s="111">
        <f t="shared" si="20"/>
        <v>0.26769063269772742</v>
      </c>
      <c r="V235" s="112">
        <v>2023</v>
      </c>
      <c r="W235" s="113" t="s">
        <v>137</v>
      </c>
    </row>
    <row r="236" spans="1:23" s="114" customFormat="1" x14ac:dyDescent="0.2">
      <c r="A236" s="105">
        <v>902.99999999999989</v>
      </c>
      <c r="B236" s="106" t="s">
        <v>70</v>
      </c>
      <c r="C236" s="106" t="s">
        <v>2</v>
      </c>
      <c r="D236" s="106" t="s">
        <v>39</v>
      </c>
      <c r="E236" s="106" t="s">
        <v>41</v>
      </c>
      <c r="F236" s="106" t="s">
        <v>131</v>
      </c>
      <c r="G236" s="106" t="s">
        <v>40</v>
      </c>
      <c r="H236" s="106" t="s">
        <v>42</v>
      </c>
      <c r="I236" s="106" t="s">
        <v>77</v>
      </c>
      <c r="J236" s="107" t="s">
        <v>16</v>
      </c>
      <c r="K236" s="107" t="s">
        <v>18</v>
      </c>
      <c r="L236" s="108">
        <v>2904714</v>
      </c>
      <c r="M236" s="108">
        <v>10851011</v>
      </c>
      <c r="N236" s="108">
        <v>6412481</v>
      </c>
      <c r="O236" s="107" t="s">
        <v>45</v>
      </c>
      <c r="P236" s="109">
        <v>70928999.999999985</v>
      </c>
      <c r="Q236" s="109">
        <f t="shared" si="16"/>
        <v>24.418583034336592</v>
      </c>
      <c r="R236" s="109">
        <f t="shared" si="17"/>
        <v>6.536625942043556</v>
      </c>
      <c r="S236" s="109">
        <f t="shared" si="18"/>
        <v>11.061085405165331</v>
      </c>
      <c r="T236" s="110">
        <f t="shared" si="19"/>
        <v>0.59095700852206301</v>
      </c>
      <c r="U236" s="111">
        <f t="shared" si="20"/>
        <v>0.26769063269772742</v>
      </c>
      <c r="V236" s="112">
        <v>2023</v>
      </c>
      <c r="W236" s="113" t="s">
        <v>137</v>
      </c>
    </row>
    <row r="237" spans="1:23" s="114" customFormat="1" x14ac:dyDescent="0.2">
      <c r="A237" s="105">
        <v>903.99999999999989</v>
      </c>
      <c r="B237" s="106" t="s">
        <v>70</v>
      </c>
      <c r="C237" s="106" t="s">
        <v>2</v>
      </c>
      <c r="D237" s="106" t="s">
        <v>39</v>
      </c>
      <c r="E237" s="106" t="s">
        <v>41</v>
      </c>
      <c r="F237" s="106" t="s">
        <v>131</v>
      </c>
      <c r="G237" s="106" t="s">
        <v>40</v>
      </c>
      <c r="H237" s="106" t="s">
        <v>42</v>
      </c>
      <c r="I237" s="106" t="s">
        <v>77</v>
      </c>
      <c r="J237" s="107" t="s">
        <v>16</v>
      </c>
      <c r="K237" s="107" t="s">
        <v>18</v>
      </c>
      <c r="L237" s="108">
        <v>2904714</v>
      </c>
      <c r="M237" s="108">
        <v>10851011</v>
      </c>
      <c r="N237" s="108">
        <v>6412481</v>
      </c>
      <c r="O237" s="107" t="s">
        <v>14</v>
      </c>
      <c r="P237" s="109">
        <v>121492711.95957224</v>
      </c>
      <c r="Q237" s="109">
        <f t="shared" si="16"/>
        <v>41.826049641917322</v>
      </c>
      <c r="R237" s="109">
        <f t="shared" si="17"/>
        <v>11.196441691891405</v>
      </c>
      <c r="S237" s="109">
        <f t="shared" si="18"/>
        <v>18.946288021683376</v>
      </c>
      <c r="T237" s="110">
        <f t="shared" si="19"/>
        <v>0.59095700852206301</v>
      </c>
      <c r="U237" s="111">
        <f t="shared" si="20"/>
        <v>0.26769063269772742</v>
      </c>
      <c r="V237" s="112">
        <v>2023</v>
      </c>
      <c r="W237" s="113" t="s">
        <v>137</v>
      </c>
    </row>
    <row r="238" spans="1:23" s="114" customFormat="1" x14ac:dyDescent="0.2">
      <c r="A238" s="105">
        <v>905.00000000000011</v>
      </c>
      <c r="B238" s="106" t="s">
        <v>70</v>
      </c>
      <c r="C238" s="106" t="s">
        <v>2</v>
      </c>
      <c r="D238" s="106" t="s">
        <v>39</v>
      </c>
      <c r="E238" s="106" t="s">
        <v>41</v>
      </c>
      <c r="F238" s="106" t="s">
        <v>131</v>
      </c>
      <c r="G238" s="106" t="s">
        <v>40</v>
      </c>
      <c r="H238" s="106" t="s">
        <v>42</v>
      </c>
      <c r="I238" s="106" t="s">
        <v>77</v>
      </c>
      <c r="J238" s="107" t="s">
        <v>16</v>
      </c>
      <c r="K238" s="107" t="s">
        <v>18</v>
      </c>
      <c r="L238" s="108">
        <v>2904714</v>
      </c>
      <c r="M238" s="108">
        <v>10851011</v>
      </c>
      <c r="N238" s="108">
        <v>6412481</v>
      </c>
      <c r="O238" s="107" t="s">
        <v>22</v>
      </c>
      <c r="P238" s="109">
        <v>446482583.28135198</v>
      </c>
      <c r="Q238" s="109">
        <f t="shared" si="16"/>
        <v>153.70965378393603</v>
      </c>
      <c r="R238" s="109">
        <f t="shared" si="17"/>
        <v>41.146634473170472</v>
      </c>
      <c r="S238" s="109">
        <f t="shared" si="18"/>
        <v>69.627119874718062</v>
      </c>
      <c r="T238" s="110">
        <f t="shared" si="19"/>
        <v>0.59095700852206301</v>
      </c>
      <c r="U238" s="111">
        <f t="shared" si="20"/>
        <v>0.26769063269772742</v>
      </c>
      <c r="V238" s="112">
        <v>2023</v>
      </c>
      <c r="W238" s="113" t="s">
        <v>137</v>
      </c>
    </row>
    <row r="239" spans="1:23" s="114" customFormat="1" x14ac:dyDescent="0.2">
      <c r="A239" s="105">
        <v>906</v>
      </c>
      <c r="B239" s="106" t="s">
        <v>70</v>
      </c>
      <c r="C239" s="106" t="s">
        <v>2</v>
      </c>
      <c r="D239" s="106" t="s">
        <v>39</v>
      </c>
      <c r="E239" s="106" t="s">
        <v>41</v>
      </c>
      <c r="F239" s="106" t="s">
        <v>131</v>
      </c>
      <c r="G239" s="106" t="s">
        <v>40</v>
      </c>
      <c r="H239" s="106" t="s">
        <v>42</v>
      </c>
      <c r="I239" s="106" t="s">
        <v>77</v>
      </c>
      <c r="J239" s="107" t="s">
        <v>16</v>
      </c>
      <c r="K239" s="107" t="s">
        <v>18</v>
      </c>
      <c r="L239" s="108">
        <v>2904714</v>
      </c>
      <c r="M239" s="108">
        <v>10851011</v>
      </c>
      <c r="N239" s="108">
        <v>6412481</v>
      </c>
      <c r="O239" s="107" t="s">
        <v>20</v>
      </c>
      <c r="P239" s="109">
        <v>313626988.04187518</v>
      </c>
      <c r="Q239" s="109">
        <f t="shared" si="16"/>
        <v>107.97172735142777</v>
      </c>
      <c r="R239" s="109">
        <f t="shared" si="17"/>
        <v>28.903020008170223</v>
      </c>
      <c r="S239" s="109">
        <f t="shared" si="18"/>
        <v>48.908837007372838</v>
      </c>
      <c r="T239" s="110">
        <f t="shared" si="19"/>
        <v>0.59095700852206301</v>
      </c>
      <c r="U239" s="111">
        <f t="shared" si="20"/>
        <v>0.26769063269772742</v>
      </c>
      <c r="V239" s="112">
        <v>2023</v>
      </c>
      <c r="W239" s="113" t="s">
        <v>137</v>
      </c>
    </row>
    <row r="240" spans="1:23" s="114" customFormat="1" x14ac:dyDescent="0.2">
      <c r="A240" s="105">
        <v>907</v>
      </c>
      <c r="B240" s="106" t="s">
        <v>70</v>
      </c>
      <c r="C240" s="106" t="s">
        <v>2</v>
      </c>
      <c r="D240" s="106" t="s">
        <v>39</v>
      </c>
      <c r="E240" s="106" t="s">
        <v>41</v>
      </c>
      <c r="F240" s="106" t="s">
        <v>131</v>
      </c>
      <c r="G240" s="106" t="s">
        <v>40</v>
      </c>
      <c r="H240" s="106" t="s">
        <v>42</v>
      </c>
      <c r="I240" s="106" t="s">
        <v>77</v>
      </c>
      <c r="J240" s="107" t="s">
        <v>16</v>
      </c>
      <c r="K240" s="107" t="s">
        <v>18</v>
      </c>
      <c r="L240" s="108">
        <v>2904714</v>
      </c>
      <c r="M240" s="108">
        <v>10851011</v>
      </c>
      <c r="N240" s="108">
        <v>6412481</v>
      </c>
      <c r="O240" s="107" t="s">
        <v>23</v>
      </c>
      <c r="P240" s="109">
        <v>220547157.17959264</v>
      </c>
      <c r="Q240" s="109">
        <f t="shared" si="16"/>
        <v>75.927322682919083</v>
      </c>
      <c r="R240" s="109">
        <f t="shared" si="17"/>
        <v>20.325033048035124</v>
      </c>
      <c r="S240" s="109">
        <f t="shared" si="18"/>
        <v>34.393420764847903</v>
      </c>
      <c r="T240" s="110">
        <f t="shared" si="19"/>
        <v>0.59095700852206301</v>
      </c>
      <c r="U240" s="111">
        <f t="shared" si="20"/>
        <v>0.26769063269772742</v>
      </c>
      <c r="V240" s="112">
        <v>2023</v>
      </c>
      <c r="W240" s="113" t="s">
        <v>137</v>
      </c>
    </row>
    <row r="241" spans="1:23" s="114" customFormat="1" x14ac:dyDescent="0.2">
      <c r="A241" s="105">
        <v>908</v>
      </c>
      <c r="B241" s="106" t="s">
        <v>70</v>
      </c>
      <c r="C241" s="106" t="s">
        <v>2</v>
      </c>
      <c r="D241" s="106" t="s">
        <v>39</v>
      </c>
      <c r="E241" s="106" t="s">
        <v>41</v>
      </c>
      <c r="F241" s="106" t="s">
        <v>131</v>
      </c>
      <c r="G241" s="106" t="s">
        <v>40</v>
      </c>
      <c r="H241" s="106" t="s">
        <v>42</v>
      </c>
      <c r="I241" s="106" t="s">
        <v>77</v>
      </c>
      <c r="J241" s="107" t="s">
        <v>16</v>
      </c>
      <c r="K241" s="107" t="s">
        <v>18</v>
      </c>
      <c r="L241" s="108">
        <v>2904714</v>
      </c>
      <c r="M241" s="108">
        <v>10851011</v>
      </c>
      <c r="N241" s="108">
        <v>6412481</v>
      </c>
      <c r="O241" s="107" t="s">
        <v>43</v>
      </c>
      <c r="P241" s="109">
        <v>224633495.56911734</v>
      </c>
      <c r="Q241" s="109">
        <f t="shared" si="16"/>
        <v>77.334118115971947</v>
      </c>
      <c r="R241" s="109">
        <f t="shared" si="17"/>
        <v>20.701619007585315</v>
      </c>
      <c r="S241" s="109">
        <f t="shared" si="18"/>
        <v>35.030668405741451</v>
      </c>
      <c r="T241" s="110">
        <f t="shared" si="19"/>
        <v>0.59095700852206301</v>
      </c>
      <c r="U241" s="111">
        <f t="shared" si="20"/>
        <v>0.26769063269772742</v>
      </c>
      <c r="V241" s="112">
        <v>2023</v>
      </c>
      <c r="W241" s="113" t="s">
        <v>137</v>
      </c>
    </row>
    <row r="242" spans="1:23" s="114" customFormat="1" x14ac:dyDescent="0.2">
      <c r="A242" s="105">
        <v>909</v>
      </c>
      <c r="B242" s="106" t="s">
        <v>70</v>
      </c>
      <c r="C242" s="106" t="s">
        <v>2</v>
      </c>
      <c r="D242" s="106" t="s">
        <v>39</v>
      </c>
      <c r="E242" s="106" t="s">
        <v>41</v>
      </c>
      <c r="F242" s="106" t="s">
        <v>131</v>
      </c>
      <c r="G242" s="106" t="s">
        <v>40</v>
      </c>
      <c r="H242" s="106" t="s">
        <v>42</v>
      </c>
      <c r="I242" s="106" t="s">
        <v>77</v>
      </c>
      <c r="J242" s="107" t="s">
        <v>16</v>
      </c>
      <c r="K242" s="107" t="s">
        <v>18</v>
      </c>
      <c r="L242" s="108">
        <v>2904714</v>
      </c>
      <c r="M242" s="108">
        <v>10851011</v>
      </c>
      <c r="N242" s="108">
        <v>6412481</v>
      </c>
      <c r="O242" s="107" t="s">
        <v>46</v>
      </c>
      <c r="P242" s="109">
        <v>118284114.60000001</v>
      </c>
      <c r="Q242" s="109">
        <f t="shared" si="16"/>
        <v>40.721432333785707</v>
      </c>
      <c r="R242" s="109">
        <f t="shared" si="17"/>
        <v>10.90074598578879</v>
      </c>
      <c r="S242" s="109">
        <f t="shared" si="18"/>
        <v>18.445920479140604</v>
      </c>
      <c r="T242" s="110">
        <f t="shared" si="19"/>
        <v>0.59095700852206301</v>
      </c>
      <c r="U242" s="111">
        <f t="shared" si="20"/>
        <v>0.26769063269772742</v>
      </c>
      <c r="V242" s="112">
        <v>2023</v>
      </c>
      <c r="W242" s="113" t="s">
        <v>137</v>
      </c>
    </row>
    <row r="243" spans="1:23" s="114" customFormat="1" x14ac:dyDescent="0.2">
      <c r="A243" s="105">
        <v>910</v>
      </c>
      <c r="B243" s="106" t="s">
        <v>70</v>
      </c>
      <c r="C243" s="106" t="s">
        <v>2</v>
      </c>
      <c r="D243" s="106" t="s">
        <v>39</v>
      </c>
      <c r="E243" s="106" t="s">
        <v>41</v>
      </c>
      <c r="F243" s="106" t="s">
        <v>131</v>
      </c>
      <c r="G243" s="106" t="s">
        <v>40</v>
      </c>
      <c r="H243" s="106" t="s">
        <v>42</v>
      </c>
      <c r="I243" s="106" t="s">
        <v>77</v>
      </c>
      <c r="J243" s="107" t="s">
        <v>16</v>
      </c>
      <c r="K243" s="107" t="s">
        <v>18</v>
      </c>
      <c r="L243" s="108">
        <v>2904714</v>
      </c>
      <c r="M243" s="108">
        <v>10851011</v>
      </c>
      <c r="N243" s="108">
        <v>6412481</v>
      </c>
      <c r="O243" s="107" t="s">
        <v>34</v>
      </c>
      <c r="P243" s="109">
        <v>36569172.600000009</v>
      </c>
      <c r="Q243" s="109">
        <f t="shared" si="16"/>
        <v>12.589594913647268</v>
      </c>
      <c r="R243" s="109">
        <f t="shared" si="17"/>
        <v>3.3701166278423282</v>
      </c>
      <c r="S243" s="109">
        <f t="shared" si="18"/>
        <v>5.7028118445887026</v>
      </c>
      <c r="T243" s="110">
        <f t="shared" si="19"/>
        <v>0.59095700852206301</v>
      </c>
      <c r="U243" s="111">
        <f t="shared" si="20"/>
        <v>0.26769063269772742</v>
      </c>
      <c r="V243" s="112">
        <v>2023</v>
      </c>
      <c r="W243" s="113" t="s">
        <v>137</v>
      </c>
    </row>
    <row r="244" spans="1:23" s="114" customFormat="1" x14ac:dyDescent="0.2">
      <c r="A244" s="105">
        <v>911</v>
      </c>
      <c r="B244" s="106" t="s">
        <v>70</v>
      </c>
      <c r="C244" s="106" t="s">
        <v>2</v>
      </c>
      <c r="D244" s="106" t="s">
        <v>39</v>
      </c>
      <c r="E244" s="106" t="s">
        <v>41</v>
      </c>
      <c r="F244" s="106" t="s">
        <v>131</v>
      </c>
      <c r="G244" s="106" t="s">
        <v>40</v>
      </c>
      <c r="H244" s="106" t="s">
        <v>42</v>
      </c>
      <c r="I244" s="106" t="s">
        <v>77</v>
      </c>
      <c r="J244" s="107" t="s">
        <v>16</v>
      </c>
      <c r="K244" s="107" t="s">
        <v>18</v>
      </c>
      <c r="L244" s="108">
        <v>2904714</v>
      </c>
      <c r="M244" s="108">
        <v>10851011</v>
      </c>
      <c r="N244" s="108">
        <v>6412481</v>
      </c>
      <c r="O244" s="107" t="s">
        <v>26</v>
      </c>
      <c r="P244" s="109">
        <v>551170839.73285937</v>
      </c>
      <c r="Q244" s="109">
        <f t="shared" si="16"/>
        <v>189.75046759607292</v>
      </c>
      <c r="R244" s="109">
        <f t="shared" si="17"/>
        <v>50.794422725482391</v>
      </c>
      <c r="S244" s="109">
        <f t="shared" si="18"/>
        <v>85.952822274695137</v>
      </c>
      <c r="T244" s="110">
        <f t="shared" si="19"/>
        <v>0.59095700852206301</v>
      </c>
      <c r="U244" s="111">
        <f t="shared" si="20"/>
        <v>0.26769063269772742</v>
      </c>
      <c r="V244" s="112">
        <v>2023</v>
      </c>
      <c r="W244" s="113" t="s">
        <v>137</v>
      </c>
    </row>
    <row r="245" spans="1:23" s="114" customFormat="1" x14ac:dyDescent="0.2">
      <c r="A245" s="105">
        <v>911.99999999999989</v>
      </c>
      <c r="B245" s="106" t="s">
        <v>70</v>
      </c>
      <c r="C245" s="106" t="s">
        <v>2</v>
      </c>
      <c r="D245" s="106" t="s">
        <v>39</v>
      </c>
      <c r="E245" s="106" t="s">
        <v>41</v>
      </c>
      <c r="F245" s="106" t="s">
        <v>131</v>
      </c>
      <c r="G245" s="106" t="s">
        <v>40</v>
      </c>
      <c r="H245" s="106" t="s">
        <v>42</v>
      </c>
      <c r="I245" s="106" t="s">
        <v>77</v>
      </c>
      <c r="J245" s="107" t="s">
        <v>16</v>
      </c>
      <c r="K245" s="107" t="s">
        <v>18</v>
      </c>
      <c r="L245" s="108">
        <v>2904714</v>
      </c>
      <c r="M245" s="108">
        <v>10851011</v>
      </c>
      <c r="N245" s="108">
        <v>6412481</v>
      </c>
      <c r="O245" s="107" t="s">
        <v>28</v>
      </c>
      <c r="P245" s="109">
        <v>42544431.853779562</v>
      </c>
      <c r="Q245" s="109">
        <f t="shared" si="16"/>
        <v>14.646685303193211</v>
      </c>
      <c r="R245" s="109">
        <f t="shared" si="17"/>
        <v>3.920780455736296</v>
      </c>
      <c r="S245" s="109">
        <f t="shared" si="18"/>
        <v>6.6346289141097747</v>
      </c>
      <c r="T245" s="110">
        <f t="shared" si="19"/>
        <v>0.59095700852206301</v>
      </c>
      <c r="U245" s="111">
        <f t="shared" si="20"/>
        <v>0.26769063269772742</v>
      </c>
      <c r="V245" s="112">
        <v>2023</v>
      </c>
      <c r="W245" s="113" t="s">
        <v>137</v>
      </c>
    </row>
    <row r="246" spans="1:23" s="114" customFormat="1" x14ac:dyDescent="0.2">
      <c r="A246" s="105">
        <v>913.00000000000011</v>
      </c>
      <c r="B246" s="106" t="s">
        <v>70</v>
      </c>
      <c r="C246" s="106" t="s">
        <v>2</v>
      </c>
      <c r="D246" s="106" t="s">
        <v>39</v>
      </c>
      <c r="E246" s="106" t="s">
        <v>41</v>
      </c>
      <c r="F246" s="106" t="s">
        <v>131</v>
      </c>
      <c r="G246" s="106" t="s">
        <v>40</v>
      </c>
      <c r="H246" s="106" t="s">
        <v>42</v>
      </c>
      <c r="I246" s="106" t="s">
        <v>77</v>
      </c>
      <c r="J246" s="107" t="s">
        <v>16</v>
      </c>
      <c r="K246" s="107" t="s">
        <v>18</v>
      </c>
      <c r="L246" s="108">
        <v>2904714</v>
      </c>
      <c r="M246" s="108">
        <v>10851011</v>
      </c>
      <c r="N246" s="108">
        <v>6412481</v>
      </c>
      <c r="O246" s="107" t="s">
        <v>47</v>
      </c>
      <c r="P246" s="109">
        <v>0</v>
      </c>
      <c r="Q246" s="109">
        <f t="shared" si="16"/>
        <v>0</v>
      </c>
      <c r="R246" s="109">
        <f t="shared" si="17"/>
        <v>0</v>
      </c>
      <c r="S246" s="109">
        <f t="shared" si="18"/>
        <v>0</v>
      </c>
      <c r="T246" s="110">
        <f t="shared" si="19"/>
        <v>0.59095700852206301</v>
      </c>
      <c r="U246" s="111">
        <f t="shared" si="20"/>
        <v>0.26769063269772742</v>
      </c>
      <c r="V246" s="112">
        <v>2023</v>
      </c>
      <c r="W246" s="113" t="s">
        <v>137</v>
      </c>
    </row>
    <row r="247" spans="1:23" s="114" customFormat="1" x14ac:dyDescent="0.2">
      <c r="A247" s="105">
        <v>914</v>
      </c>
      <c r="B247" s="106" t="s">
        <v>70</v>
      </c>
      <c r="C247" s="106" t="s">
        <v>2</v>
      </c>
      <c r="D247" s="106" t="s">
        <v>39</v>
      </c>
      <c r="E247" s="106" t="s">
        <v>41</v>
      </c>
      <c r="F247" s="106" t="s">
        <v>131</v>
      </c>
      <c r="G247" s="106" t="s">
        <v>40</v>
      </c>
      <c r="H247" s="106" t="s">
        <v>42</v>
      </c>
      <c r="I247" s="106" t="s">
        <v>77</v>
      </c>
      <c r="J247" s="107" t="s">
        <v>16</v>
      </c>
      <c r="K247" s="107" t="s">
        <v>18</v>
      </c>
      <c r="L247" s="108">
        <v>2904714</v>
      </c>
      <c r="M247" s="108">
        <v>10851011</v>
      </c>
      <c r="N247" s="108">
        <v>6412481</v>
      </c>
      <c r="O247" s="107" t="s">
        <v>27</v>
      </c>
      <c r="P247" s="109">
        <v>38974004.27152656</v>
      </c>
      <c r="Q247" s="109">
        <f t="shared" si="16"/>
        <v>13.417501437844331</v>
      </c>
      <c r="R247" s="109">
        <f t="shared" si="17"/>
        <v>3.5917394491192165</v>
      </c>
      <c r="S247" s="109">
        <f t="shared" si="18"/>
        <v>6.0778354386588527</v>
      </c>
      <c r="T247" s="110">
        <f t="shared" si="19"/>
        <v>0.59095700852206301</v>
      </c>
      <c r="U247" s="111">
        <f t="shared" si="20"/>
        <v>0.26769063269772742</v>
      </c>
      <c r="V247" s="112">
        <v>2023</v>
      </c>
      <c r="W247" s="113" t="s">
        <v>137</v>
      </c>
    </row>
    <row r="248" spans="1:23" s="114" customFormat="1" x14ac:dyDescent="0.2">
      <c r="A248" s="105">
        <v>915</v>
      </c>
      <c r="B248" s="106" t="s">
        <v>70</v>
      </c>
      <c r="C248" s="106" t="s">
        <v>2</v>
      </c>
      <c r="D248" s="106" t="s">
        <v>39</v>
      </c>
      <c r="E248" s="106" t="s">
        <v>41</v>
      </c>
      <c r="F248" s="106" t="s">
        <v>131</v>
      </c>
      <c r="G248" s="106" t="s">
        <v>40</v>
      </c>
      <c r="H248" s="106" t="s">
        <v>42</v>
      </c>
      <c r="I248" s="106" t="s">
        <v>77</v>
      </c>
      <c r="J248" s="107" t="s">
        <v>16</v>
      </c>
      <c r="K248" s="107" t="s">
        <v>18</v>
      </c>
      <c r="L248" s="108">
        <v>2904714</v>
      </c>
      <c r="M248" s="108">
        <v>10851011</v>
      </c>
      <c r="N248" s="108">
        <v>6412481</v>
      </c>
      <c r="O248" s="107" t="s">
        <v>48</v>
      </c>
      <c r="P248" s="109">
        <v>39877100.671738304</v>
      </c>
      <c r="Q248" s="109">
        <f t="shared" si="16"/>
        <v>13.728408604681324</v>
      </c>
      <c r="R248" s="109">
        <f t="shared" si="17"/>
        <v>3.6749663853200687</v>
      </c>
      <c r="S248" s="109">
        <f t="shared" si="18"/>
        <v>6.2186696025669788</v>
      </c>
      <c r="T248" s="110">
        <f t="shared" si="19"/>
        <v>0.59095700852206301</v>
      </c>
      <c r="U248" s="111">
        <f t="shared" si="20"/>
        <v>0.26769063269772742</v>
      </c>
      <c r="V248" s="112">
        <v>2023</v>
      </c>
      <c r="W248" s="113" t="s">
        <v>137</v>
      </c>
    </row>
    <row r="249" spans="1:23" s="114" customFormat="1" x14ac:dyDescent="0.2">
      <c r="A249" s="105">
        <v>916</v>
      </c>
      <c r="B249" s="106" t="s">
        <v>70</v>
      </c>
      <c r="C249" s="106" t="s">
        <v>2</v>
      </c>
      <c r="D249" s="106" t="s">
        <v>39</v>
      </c>
      <c r="E249" s="106" t="s">
        <v>41</v>
      </c>
      <c r="F249" s="106" t="s">
        <v>131</v>
      </c>
      <c r="G249" s="106" t="s">
        <v>40</v>
      </c>
      <c r="H249" s="106" t="s">
        <v>42</v>
      </c>
      <c r="I249" s="106" t="s">
        <v>77</v>
      </c>
      <c r="J249" s="107" t="s">
        <v>16</v>
      </c>
      <c r="K249" s="107" t="s">
        <v>18</v>
      </c>
      <c r="L249" s="108">
        <v>2904714</v>
      </c>
      <c r="M249" s="108">
        <v>10851011</v>
      </c>
      <c r="N249" s="108">
        <v>6412481</v>
      </c>
      <c r="O249" s="107" t="s">
        <v>49</v>
      </c>
      <c r="P249" s="109">
        <v>102162997.80000001</v>
      </c>
      <c r="Q249" s="109">
        <f t="shared" si="16"/>
        <v>35.171448135685651</v>
      </c>
      <c r="R249" s="109">
        <f t="shared" si="17"/>
        <v>9.4150672043369976</v>
      </c>
      <c r="S249" s="109">
        <f t="shared" si="18"/>
        <v>15.931898714397752</v>
      </c>
      <c r="T249" s="110">
        <f t="shared" si="19"/>
        <v>0.59095700852206301</v>
      </c>
      <c r="U249" s="111">
        <f t="shared" si="20"/>
        <v>0.26769063269772742</v>
      </c>
      <c r="V249" s="112">
        <v>2023</v>
      </c>
      <c r="W249" s="113" t="s">
        <v>137</v>
      </c>
    </row>
    <row r="250" spans="1:23" s="114" customFormat="1" x14ac:dyDescent="0.2">
      <c r="A250" s="105">
        <v>917</v>
      </c>
      <c r="B250" s="106" t="s">
        <v>70</v>
      </c>
      <c r="C250" s="106" t="s">
        <v>2</v>
      </c>
      <c r="D250" s="106" t="s">
        <v>39</v>
      </c>
      <c r="E250" s="106" t="s">
        <v>41</v>
      </c>
      <c r="F250" s="106" t="s">
        <v>131</v>
      </c>
      <c r="G250" s="106" t="s">
        <v>40</v>
      </c>
      <c r="H250" s="106" t="s">
        <v>42</v>
      </c>
      <c r="I250" s="106" t="s">
        <v>77</v>
      </c>
      <c r="J250" s="107" t="s">
        <v>16</v>
      </c>
      <c r="K250" s="107" t="s">
        <v>18</v>
      </c>
      <c r="L250" s="108">
        <v>2904714</v>
      </c>
      <c r="M250" s="108">
        <v>10851011</v>
      </c>
      <c r="N250" s="108">
        <v>6412481</v>
      </c>
      <c r="O250" s="107" t="s">
        <v>50</v>
      </c>
      <c r="P250" s="109">
        <v>0</v>
      </c>
      <c r="Q250" s="109">
        <f t="shared" si="16"/>
        <v>0</v>
      </c>
      <c r="R250" s="109">
        <f t="shared" si="17"/>
        <v>0</v>
      </c>
      <c r="S250" s="109">
        <f t="shared" si="18"/>
        <v>0</v>
      </c>
      <c r="T250" s="110">
        <f t="shared" si="19"/>
        <v>0.59095700852206301</v>
      </c>
      <c r="U250" s="111">
        <f t="shared" si="20"/>
        <v>0.26769063269772742</v>
      </c>
      <c r="V250" s="112">
        <v>2023</v>
      </c>
      <c r="W250" s="113" t="s">
        <v>137</v>
      </c>
    </row>
    <row r="251" spans="1:23" s="114" customFormat="1" x14ac:dyDescent="0.2">
      <c r="A251" s="105">
        <v>918</v>
      </c>
      <c r="B251" s="106" t="s">
        <v>70</v>
      </c>
      <c r="C251" s="106" t="s">
        <v>2</v>
      </c>
      <c r="D251" s="106" t="s">
        <v>39</v>
      </c>
      <c r="E251" s="106" t="s">
        <v>41</v>
      </c>
      <c r="F251" s="106" t="s">
        <v>131</v>
      </c>
      <c r="G251" s="106" t="s">
        <v>40</v>
      </c>
      <c r="H251" s="106" t="s">
        <v>42</v>
      </c>
      <c r="I251" s="106" t="s">
        <v>77</v>
      </c>
      <c r="J251" s="107" t="s">
        <v>16</v>
      </c>
      <c r="K251" s="107" t="s">
        <v>18</v>
      </c>
      <c r="L251" s="108">
        <v>2904714</v>
      </c>
      <c r="M251" s="108">
        <v>10851011</v>
      </c>
      <c r="N251" s="108">
        <v>6412481</v>
      </c>
      <c r="O251" s="107" t="s">
        <v>51</v>
      </c>
      <c r="P251" s="109">
        <v>52569704.412</v>
      </c>
      <c r="Q251" s="109">
        <f t="shared" si="16"/>
        <v>18.098065562392719</v>
      </c>
      <c r="R251" s="109">
        <f t="shared" si="17"/>
        <v>4.8446826210018585</v>
      </c>
      <c r="S251" s="109">
        <f t="shared" si="18"/>
        <v>8.1980288771225993</v>
      </c>
      <c r="T251" s="110">
        <f t="shared" si="19"/>
        <v>0.59095700852206301</v>
      </c>
      <c r="U251" s="111">
        <f t="shared" si="20"/>
        <v>0.26769063269772742</v>
      </c>
      <c r="V251" s="112">
        <v>2023</v>
      </c>
      <c r="W251" s="113" t="s">
        <v>137</v>
      </c>
    </row>
    <row r="252" spans="1:23" s="114" customFormat="1" x14ac:dyDescent="0.2">
      <c r="A252" s="105">
        <v>919</v>
      </c>
      <c r="B252" s="106" t="s">
        <v>70</v>
      </c>
      <c r="C252" s="106" t="s">
        <v>2</v>
      </c>
      <c r="D252" s="106" t="s">
        <v>39</v>
      </c>
      <c r="E252" s="106" t="s">
        <v>41</v>
      </c>
      <c r="F252" s="106" t="s">
        <v>131</v>
      </c>
      <c r="G252" s="106" t="s">
        <v>40</v>
      </c>
      <c r="H252" s="106" t="s">
        <v>42</v>
      </c>
      <c r="I252" s="106" t="s">
        <v>77</v>
      </c>
      <c r="J252" s="107" t="s">
        <v>16</v>
      </c>
      <c r="K252" s="107" t="s">
        <v>18</v>
      </c>
      <c r="L252" s="108">
        <v>2904714</v>
      </c>
      <c r="M252" s="108">
        <v>10851011</v>
      </c>
      <c r="N252" s="108">
        <v>6412481</v>
      </c>
      <c r="O252" s="107" t="s">
        <v>52</v>
      </c>
      <c r="P252" s="109">
        <v>0</v>
      </c>
      <c r="Q252" s="109">
        <f t="shared" si="16"/>
        <v>0</v>
      </c>
      <c r="R252" s="109">
        <f t="shared" si="17"/>
        <v>0</v>
      </c>
      <c r="S252" s="109">
        <f t="shared" si="18"/>
        <v>0</v>
      </c>
      <c r="T252" s="110">
        <f t="shared" si="19"/>
        <v>0.59095700852206301</v>
      </c>
      <c r="U252" s="111">
        <f t="shared" si="20"/>
        <v>0.26769063269772742</v>
      </c>
      <c r="V252" s="112">
        <v>2023</v>
      </c>
      <c r="W252" s="113" t="s">
        <v>137</v>
      </c>
    </row>
    <row r="253" spans="1:23" s="114" customFormat="1" x14ac:dyDescent="0.2">
      <c r="A253" s="105">
        <v>919.99999999999989</v>
      </c>
      <c r="B253" s="106" t="s">
        <v>70</v>
      </c>
      <c r="C253" s="106" t="s">
        <v>2</v>
      </c>
      <c r="D253" s="106" t="s">
        <v>39</v>
      </c>
      <c r="E253" s="106" t="s">
        <v>41</v>
      </c>
      <c r="F253" s="106" t="s">
        <v>131</v>
      </c>
      <c r="G253" s="106" t="s">
        <v>40</v>
      </c>
      <c r="H253" s="106" t="s">
        <v>42</v>
      </c>
      <c r="I253" s="106" t="s">
        <v>77</v>
      </c>
      <c r="J253" s="107" t="s">
        <v>16</v>
      </c>
      <c r="K253" s="107" t="s">
        <v>18</v>
      </c>
      <c r="L253" s="108">
        <v>2904714</v>
      </c>
      <c r="M253" s="108">
        <v>10851011</v>
      </c>
      <c r="N253" s="108">
        <v>6412481</v>
      </c>
      <c r="O253" s="107" t="s">
        <v>53</v>
      </c>
      <c r="P253" s="109">
        <v>234519953.40000001</v>
      </c>
      <c r="Q253" s="109">
        <f t="shared" si="16"/>
        <v>80.737708910412522</v>
      </c>
      <c r="R253" s="109">
        <f t="shared" si="17"/>
        <v>21.612728380793275</v>
      </c>
      <c r="S253" s="109">
        <f t="shared" si="18"/>
        <v>36.572420783780878</v>
      </c>
      <c r="T253" s="110">
        <f t="shared" si="19"/>
        <v>0.59095700852206301</v>
      </c>
      <c r="U253" s="111">
        <f t="shared" si="20"/>
        <v>0.26769063269772742</v>
      </c>
      <c r="V253" s="112">
        <v>2023</v>
      </c>
      <c r="W253" s="113" t="s">
        <v>137</v>
      </c>
    </row>
    <row r="254" spans="1:23" s="114" customFormat="1" x14ac:dyDescent="0.2">
      <c r="A254" s="105">
        <v>921.00000000000011</v>
      </c>
      <c r="B254" s="106" t="s">
        <v>70</v>
      </c>
      <c r="C254" s="106" t="s">
        <v>2</v>
      </c>
      <c r="D254" s="106" t="s">
        <v>39</v>
      </c>
      <c r="E254" s="106" t="s">
        <v>41</v>
      </c>
      <c r="F254" s="106" t="s">
        <v>131</v>
      </c>
      <c r="G254" s="106" t="s">
        <v>40</v>
      </c>
      <c r="H254" s="106" t="s">
        <v>42</v>
      </c>
      <c r="I254" s="106" t="s">
        <v>77</v>
      </c>
      <c r="J254" s="107" t="s">
        <v>16</v>
      </c>
      <c r="K254" s="107" t="s">
        <v>18</v>
      </c>
      <c r="L254" s="108">
        <v>2904714</v>
      </c>
      <c r="M254" s="108">
        <v>10851011</v>
      </c>
      <c r="N254" s="108">
        <v>6412481</v>
      </c>
      <c r="O254" s="107" t="s">
        <v>54</v>
      </c>
      <c r="P254" s="109">
        <v>730757485.80000007</v>
      </c>
      <c r="Q254" s="109">
        <f t="shared" si="16"/>
        <v>251.57639815830407</v>
      </c>
      <c r="R254" s="109">
        <f t="shared" si="17"/>
        <v>67.344645194811804</v>
      </c>
      <c r="S254" s="109">
        <f t="shared" si="18"/>
        <v>113.95862004113542</v>
      </c>
      <c r="T254" s="110">
        <f t="shared" si="19"/>
        <v>0.59095700852206301</v>
      </c>
      <c r="U254" s="111">
        <f t="shared" si="20"/>
        <v>0.26769063269772742</v>
      </c>
      <c r="V254" s="112">
        <v>2023</v>
      </c>
      <c r="W254" s="113" t="s">
        <v>137</v>
      </c>
    </row>
    <row r="255" spans="1:23" s="114" customFormat="1" x14ac:dyDescent="0.2">
      <c r="A255" s="105">
        <v>922.00000000000011</v>
      </c>
      <c r="B255" s="106" t="s">
        <v>70</v>
      </c>
      <c r="C255" s="106" t="s">
        <v>2</v>
      </c>
      <c r="D255" s="106" t="s">
        <v>39</v>
      </c>
      <c r="E255" s="106" t="s">
        <v>41</v>
      </c>
      <c r="F255" s="106" t="s">
        <v>131</v>
      </c>
      <c r="G255" s="106" t="s">
        <v>40</v>
      </c>
      <c r="H255" s="106" t="s">
        <v>42</v>
      </c>
      <c r="I255" s="106" t="s">
        <v>77</v>
      </c>
      <c r="J255" s="107" t="s">
        <v>16</v>
      </c>
      <c r="K255" s="107" t="s">
        <v>18</v>
      </c>
      <c r="L255" s="108">
        <v>2904714</v>
      </c>
      <c r="M255" s="108">
        <v>10851011</v>
      </c>
      <c r="N255" s="108">
        <v>6412481</v>
      </c>
      <c r="O255" s="107" t="s">
        <v>55</v>
      </c>
      <c r="P255" s="109">
        <v>0</v>
      </c>
      <c r="Q255" s="109">
        <f t="shared" si="16"/>
        <v>0</v>
      </c>
      <c r="R255" s="109">
        <f t="shared" si="17"/>
        <v>0</v>
      </c>
      <c r="S255" s="109">
        <f t="shared" si="18"/>
        <v>0</v>
      </c>
      <c r="T255" s="110">
        <f t="shared" si="19"/>
        <v>0.59095700852206301</v>
      </c>
      <c r="U255" s="111">
        <f t="shared" si="20"/>
        <v>0.26769063269772742</v>
      </c>
      <c r="V255" s="112">
        <v>2023</v>
      </c>
      <c r="W255" s="113" t="s">
        <v>137</v>
      </c>
    </row>
    <row r="256" spans="1:23" s="114" customFormat="1" x14ac:dyDescent="0.2">
      <c r="A256" s="105">
        <v>923</v>
      </c>
      <c r="B256" s="106" t="s">
        <v>70</v>
      </c>
      <c r="C256" s="106" t="s">
        <v>2</v>
      </c>
      <c r="D256" s="106" t="s">
        <v>39</v>
      </c>
      <c r="E256" s="106" t="s">
        <v>41</v>
      </c>
      <c r="F256" s="106" t="s">
        <v>131</v>
      </c>
      <c r="G256" s="106" t="s">
        <v>40</v>
      </c>
      <c r="H256" s="106" t="s">
        <v>42</v>
      </c>
      <c r="I256" s="106" t="s">
        <v>77</v>
      </c>
      <c r="J256" s="107" t="s">
        <v>16</v>
      </c>
      <c r="K256" s="107" t="s">
        <v>18</v>
      </c>
      <c r="L256" s="108">
        <v>2904714</v>
      </c>
      <c r="M256" s="108">
        <v>10851011</v>
      </c>
      <c r="N256" s="108">
        <v>6412481</v>
      </c>
      <c r="O256" s="107" t="s">
        <v>56</v>
      </c>
      <c r="P256" s="109">
        <v>0</v>
      </c>
      <c r="Q256" s="109">
        <f t="shared" si="16"/>
        <v>0</v>
      </c>
      <c r="R256" s="109">
        <f t="shared" si="17"/>
        <v>0</v>
      </c>
      <c r="S256" s="109">
        <f t="shared" si="18"/>
        <v>0</v>
      </c>
      <c r="T256" s="110">
        <f t="shared" si="19"/>
        <v>0.59095700852206301</v>
      </c>
      <c r="U256" s="111">
        <f t="shared" si="20"/>
        <v>0.26769063269772742</v>
      </c>
      <c r="V256" s="112">
        <v>2023</v>
      </c>
      <c r="W256" s="113" t="s">
        <v>137</v>
      </c>
    </row>
    <row r="257" spans="1:25" s="114" customFormat="1" x14ac:dyDescent="0.2">
      <c r="A257" s="105">
        <v>923.99999999999898</v>
      </c>
      <c r="B257" s="106" t="s">
        <v>70</v>
      </c>
      <c r="C257" s="106" t="s">
        <v>2</v>
      </c>
      <c r="D257" s="106" t="s">
        <v>39</v>
      </c>
      <c r="E257" s="106" t="s">
        <v>41</v>
      </c>
      <c r="F257" s="106" t="s">
        <v>131</v>
      </c>
      <c r="G257" s="106" t="s">
        <v>40</v>
      </c>
      <c r="H257" s="106" t="s">
        <v>42</v>
      </c>
      <c r="I257" s="106" t="s">
        <v>77</v>
      </c>
      <c r="J257" s="107" t="s">
        <v>16</v>
      </c>
      <c r="K257" s="107" t="s">
        <v>18</v>
      </c>
      <c r="L257" s="108">
        <v>2904714</v>
      </c>
      <c r="M257" s="108">
        <v>10851011</v>
      </c>
      <c r="N257" s="108">
        <v>6412481</v>
      </c>
      <c r="O257" s="107" t="s">
        <v>73</v>
      </c>
      <c r="P257" s="109">
        <v>349139632.12427747</v>
      </c>
      <c r="Q257" s="109">
        <f t="shared" si="16"/>
        <v>120.19759333424133</v>
      </c>
      <c r="R257" s="109">
        <f t="shared" si="17"/>
        <v>32.175769808387209</v>
      </c>
      <c r="S257" s="109">
        <f t="shared" si="18"/>
        <v>54.446887581308616</v>
      </c>
      <c r="T257" s="110">
        <f t="shared" si="19"/>
        <v>0.59095700852206301</v>
      </c>
      <c r="U257" s="111">
        <f t="shared" si="20"/>
        <v>0.26769063269772742</v>
      </c>
      <c r="V257" s="112">
        <v>2023</v>
      </c>
      <c r="W257" s="113" t="s">
        <v>137</v>
      </c>
    </row>
    <row r="258" spans="1:25" s="114" customFormat="1" x14ac:dyDescent="0.2">
      <c r="A258" s="105">
        <v>924.99999999999898</v>
      </c>
      <c r="B258" s="106" t="s">
        <v>70</v>
      </c>
      <c r="C258" s="106" t="s">
        <v>2</v>
      </c>
      <c r="D258" s="106" t="s">
        <v>39</v>
      </c>
      <c r="E258" s="106" t="s">
        <v>41</v>
      </c>
      <c r="F258" s="106" t="s">
        <v>131</v>
      </c>
      <c r="G258" s="106" t="s">
        <v>40</v>
      </c>
      <c r="H258" s="106" t="s">
        <v>42</v>
      </c>
      <c r="I258" s="106" t="s">
        <v>77</v>
      </c>
      <c r="J258" s="107" t="s">
        <v>16</v>
      </c>
      <c r="K258" s="107" t="s">
        <v>18</v>
      </c>
      <c r="L258" s="108">
        <v>2904714</v>
      </c>
      <c r="M258" s="108">
        <v>10851011</v>
      </c>
      <c r="N258" s="108">
        <v>6412481</v>
      </c>
      <c r="O258" s="107" t="s">
        <v>57</v>
      </c>
      <c r="P258" s="109">
        <v>94027200.534000039</v>
      </c>
      <c r="Q258" s="109">
        <f t="shared" si="16"/>
        <v>32.370553704770948</v>
      </c>
      <c r="R258" s="109">
        <f t="shared" si="17"/>
        <v>8.6652940020058988</v>
      </c>
      <c r="S258" s="109">
        <f t="shared" si="18"/>
        <v>14.663154640770092</v>
      </c>
      <c r="T258" s="110">
        <f t="shared" si="19"/>
        <v>0.59095700852206301</v>
      </c>
      <c r="U258" s="111">
        <f t="shared" si="20"/>
        <v>0.26769063269772742</v>
      </c>
      <c r="V258" s="112">
        <v>2023</v>
      </c>
      <c r="W258" s="113" t="s">
        <v>137</v>
      </c>
    </row>
    <row r="259" spans="1:25" s="114" customFormat="1" x14ac:dyDescent="0.2">
      <c r="A259" s="105">
        <v>925.99999999999886</v>
      </c>
      <c r="B259" s="106" t="s">
        <v>70</v>
      </c>
      <c r="C259" s="106" t="s">
        <v>2</v>
      </c>
      <c r="D259" s="106" t="s">
        <v>39</v>
      </c>
      <c r="E259" s="106" t="s">
        <v>41</v>
      </c>
      <c r="F259" s="106" t="s">
        <v>131</v>
      </c>
      <c r="G259" s="106" t="s">
        <v>40</v>
      </c>
      <c r="H259" s="106" t="s">
        <v>42</v>
      </c>
      <c r="I259" s="106" t="s">
        <v>77</v>
      </c>
      <c r="J259" s="107" t="s">
        <v>16</v>
      </c>
      <c r="K259" s="107" t="s">
        <v>18</v>
      </c>
      <c r="L259" s="108">
        <v>2904714</v>
      </c>
      <c r="M259" s="108">
        <v>10851011</v>
      </c>
      <c r="N259" s="108">
        <v>6412481</v>
      </c>
      <c r="O259" s="107" t="s">
        <v>58</v>
      </c>
      <c r="P259" s="109">
        <v>1105610160.0197854</v>
      </c>
      <c r="Q259" s="109">
        <f t="shared" ref="Q259:Q322" si="21">$P259/L259</f>
        <v>380.62616836624375</v>
      </c>
      <c r="R259" s="109">
        <f t="shared" ref="R259:R322" si="22">$P259/M259</f>
        <v>101.89005983127151</v>
      </c>
      <c r="S259" s="109">
        <f t="shared" ref="S259:S322" si="23">$P259/N259</f>
        <v>172.41535062946548</v>
      </c>
      <c r="T259" s="110">
        <f t="shared" ref="T259:T322" si="24">N259/M259</f>
        <v>0.59095700852206301</v>
      </c>
      <c r="U259" s="111">
        <f t="shared" ref="U259:U322" si="25">L259/M259</f>
        <v>0.26769063269772742</v>
      </c>
      <c r="V259" s="112">
        <v>2023</v>
      </c>
      <c r="W259" s="113" t="s">
        <v>137</v>
      </c>
    </row>
    <row r="260" spans="1:25" s="114" customFormat="1" x14ac:dyDescent="0.2">
      <c r="A260" s="105">
        <v>926.99999999999909</v>
      </c>
      <c r="B260" s="106" t="s">
        <v>70</v>
      </c>
      <c r="C260" s="106" t="s">
        <v>2</v>
      </c>
      <c r="D260" s="106" t="s">
        <v>39</v>
      </c>
      <c r="E260" s="106" t="s">
        <v>41</v>
      </c>
      <c r="F260" s="106" t="s">
        <v>131</v>
      </c>
      <c r="G260" s="106" t="s">
        <v>40</v>
      </c>
      <c r="H260" s="106" t="s">
        <v>42</v>
      </c>
      <c r="I260" s="106" t="s">
        <v>77</v>
      </c>
      <c r="J260" s="107" t="s">
        <v>16</v>
      </c>
      <c r="K260" s="107" t="s">
        <v>18</v>
      </c>
      <c r="L260" s="108">
        <v>2904714</v>
      </c>
      <c r="M260" s="108">
        <v>10851011</v>
      </c>
      <c r="N260" s="108">
        <v>6412481</v>
      </c>
      <c r="O260" s="107" t="s">
        <v>59</v>
      </c>
      <c r="P260" s="109">
        <v>194285813.68799999</v>
      </c>
      <c r="Q260" s="109">
        <f t="shared" si="21"/>
        <v>66.886383199172101</v>
      </c>
      <c r="R260" s="109">
        <f t="shared" si="22"/>
        <v>17.904858237449027</v>
      </c>
      <c r="S260" s="109">
        <f t="shared" si="23"/>
        <v>30.298072413469917</v>
      </c>
      <c r="T260" s="110">
        <f t="shared" si="24"/>
        <v>0.59095700852206301</v>
      </c>
      <c r="U260" s="111">
        <f t="shared" si="25"/>
        <v>0.26769063269772742</v>
      </c>
      <c r="V260" s="112">
        <v>2023</v>
      </c>
      <c r="W260" s="113" t="s">
        <v>137</v>
      </c>
    </row>
    <row r="261" spans="1:25" s="114" customFormat="1" x14ac:dyDescent="0.2">
      <c r="A261" s="105">
        <v>927.99999999999909</v>
      </c>
      <c r="B261" s="106" t="s">
        <v>70</v>
      </c>
      <c r="C261" s="106" t="s">
        <v>2</v>
      </c>
      <c r="D261" s="106" t="s">
        <v>39</v>
      </c>
      <c r="E261" s="106" t="s">
        <v>41</v>
      </c>
      <c r="F261" s="106" t="s">
        <v>131</v>
      </c>
      <c r="G261" s="106" t="s">
        <v>40</v>
      </c>
      <c r="H261" s="106" t="s">
        <v>42</v>
      </c>
      <c r="I261" s="106" t="s">
        <v>77</v>
      </c>
      <c r="J261" s="107" t="s">
        <v>16</v>
      </c>
      <c r="K261" s="107" t="s">
        <v>18</v>
      </c>
      <c r="L261" s="108">
        <v>2904714</v>
      </c>
      <c r="M261" s="108">
        <v>10851011</v>
      </c>
      <c r="N261" s="108">
        <v>6412481</v>
      </c>
      <c r="O261" s="107" t="s">
        <v>60</v>
      </c>
      <c r="P261" s="109">
        <v>779122771.53120005</v>
      </c>
      <c r="Q261" s="109">
        <f t="shared" si="21"/>
        <v>268.22701702515292</v>
      </c>
      <c r="R261" s="109">
        <f t="shared" si="22"/>
        <v>71.801859894087286</v>
      </c>
      <c r="S261" s="109">
        <f t="shared" si="23"/>
        <v>121.5009871422933</v>
      </c>
      <c r="T261" s="110">
        <f t="shared" si="24"/>
        <v>0.59095700852206301</v>
      </c>
      <c r="U261" s="111">
        <f t="shared" si="25"/>
        <v>0.26769063269772742</v>
      </c>
      <c r="V261" s="112">
        <v>2023</v>
      </c>
      <c r="W261" s="113" t="s">
        <v>137</v>
      </c>
    </row>
    <row r="262" spans="1:25" s="114" customFormat="1" x14ac:dyDescent="0.2">
      <c r="A262" s="105">
        <v>928.99999999999898</v>
      </c>
      <c r="B262" s="106" t="s">
        <v>70</v>
      </c>
      <c r="C262" s="106" t="s">
        <v>2</v>
      </c>
      <c r="D262" s="106" t="s">
        <v>39</v>
      </c>
      <c r="E262" s="106" t="s">
        <v>41</v>
      </c>
      <c r="F262" s="106" t="s">
        <v>131</v>
      </c>
      <c r="G262" s="106" t="s">
        <v>40</v>
      </c>
      <c r="H262" s="106" t="s">
        <v>42</v>
      </c>
      <c r="I262" s="106" t="s">
        <v>77</v>
      </c>
      <c r="J262" s="107" t="s">
        <v>16</v>
      </c>
      <c r="K262" s="107" t="s">
        <v>18</v>
      </c>
      <c r="L262" s="108">
        <v>2904714</v>
      </c>
      <c r="M262" s="108">
        <v>10851011</v>
      </c>
      <c r="N262" s="108">
        <v>6412481</v>
      </c>
      <c r="O262" s="107" t="s">
        <v>61</v>
      </c>
      <c r="P262" s="109">
        <v>0</v>
      </c>
      <c r="Q262" s="109">
        <f t="shared" si="21"/>
        <v>0</v>
      </c>
      <c r="R262" s="109">
        <f t="shared" si="22"/>
        <v>0</v>
      </c>
      <c r="S262" s="109">
        <f t="shared" si="23"/>
        <v>0</v>
      </c>
      <c r="T262" s="110">
        <f t="shared" si="24"/>
        <v>0.59095700852206301</v>
      </c>
      <c r="U262" s="111">
        <f t="shared" si="25"/>
        <v>0.26769063269772742</v>
      </c>
      <c r="V262" s="112">
        <v>2023</v>
      </c>
      <c r="W262" s="113" t="s">
        <v>137</v>
      </c>
    </row>
    <row r="263" spans="1:25" x14ac:dyDescent="0.2">
      <c r="A263" s="68">
        <v>1001</v>
      </c>
      <c r="B263" s="69" t="s">
        <v>70</v>
      </c>
      <c r="C263" s="69" t="s">
        <v>2</v>
      </c>
      <c r="D263" s="69" t="s">
        <v>39</v>
      </c>
      <c r="E263" s="69" t="s">
        <v>106</v>
      </c>
      <c r="F263" s="69" t="s">
        <v>133</v>
      </c>
      <c r="G263" s="69" t="s">
        <v>143</v>
      </c>
      <c r="H263" s="69" t="s">
        <v>107</v>
      </c>
      <c r="I263" s="69" t="s">
        <v>138</v>
      </c>
      <c r="J263" s="70" t="s">
        <v>35</v>
      </c>
      <c r="K263" s="70" t="s">
        <v>147</v>
      </c>
      <c r="L263" s="71">
        <v>180376</v>
      </c>
      <c r="M263" s="71">
        <v>1771721</v>
      </c>
      <c r="N263" s="71">
        <v>827528</v>
      </c>
      <c r="O263" s="70" t="s">
        <v>24</v>
      </c>
      <c r="P263" s="75">
        <v>50798818.258000001</v>
      </c>
      <c r="Q263" s="72">
        <f t="shared" si="21"/>
        <v>281.62736870758857</v>
      </c>
      <c r="R263" s="72">
        <f t="shared" si="22"/>
        <v>28.672019047016999</v>
      </c>
      <c r="S263" s="72">
        <f t="shared" si="23"/>
        <v>61.386222892760124</v>
      </c>
      <c r="T263" s="94">
        <f t="shared" si="24"/>
        <v>0.46707579805172483</v>
      </c>
      <c r="U263" s="101">
        <f t="shared" si="25"/>
        <v>0.10180835470144566</v>
      </c>
      <c r="V263" s="73">
        <v>2024</v>
      </c>
      <c r="W263" s="77" t="s">
        <v>137</v>
      </c>
    </row>
    <row r="264" spans="1:25" x14ac:dyDescent="0.2">
      <c r="A264" s="68">
        <v>1002</v>
      </c>
      <c r="B264" s="69" t="s">
        <v>70</v>
      </c>
      <c r="C264" s="69" t="s">
        <v>2</v>
      </c>
      <c r="D264" s="69" t="s">
        <v>39</v>
      </c>
      <c r="E264" s="69" t="s">
        <v>106</v>
      </c>
      <c r="F264" s="69" t="s">
        <v>133</v>
      </c>
      <c r="G264" s="69" t="s">
        <v>143</v>
      </c>
      <c r="H264" s="69" t="s">
        <v>107</v>
      </c>
      <c r="I264" s="69" t="s">
        <v>138</v>
      </c>
      <c r="J264" s="70" t="s">
        <v>35</v>
      </c>
      <c r="K264" s="70" t="s">
        <v>147</v>
      </c>
      <c r="L264" s="71">
        <v>180376</v>
      </c>
      <c r="M264" s="71">
        <v>1771721</v>
      </c>
      <c r="N264" s="71">
        <v>827528</v>
      </c>
      <c r="O264" s="70" t="s">
        <v>44</v>
      </c>
      <c r="P264" s="72">
        <v>0</v>
      </c>
      <c r="Q264" s="72">
        <f t="shared" si="21"/>
        <v>0</v>
      </c>
      <c r="R264" s="72">
        <f t="shared" si="22"/>
        <v>0</v>
      </c>
      <c r="S264" s="72">
        <f t="shared" si="23"/>
        <v>0</v>
      </c>
      <c r="T264" s="94">
        <f t="shared" si="24"/>
        <v>0.46707579805172483</v>
      </c>
      <c r="U264" s="101">
        <f t="shared" si="25"/>
        <v>0.10180835470144566</v>
      </c>
      <c r="V264" s="73">
        <v>2024</v>
      </c>
      <c r="W264" s="77" t="s">
        <v>137</v>
      </c>
    </row>
    <row r="265" spans="1:25" x14ac:dyDescent="0.2">
      <c r="A265" s="68">
        <v>1002.9999999999999</v>
      </c>
      <c r="B265" s="69" t="s">
        <v>70</v>
      </c>
      <c r="C265" s="69" t="s">
        <v>2</v>
      </c>
      <c r="D265" s="69" t="s">
        <v>39</v>
      </c>
      <c r="E265" s="69" t="s">
        <v>106</v>
      </c>
      <c r="F265" s="69" t="s">
        <v>133</v>
      </c>
      <c r="G265" s="69" t="s">
        <v>143</v>
      </c>
      <c r="H265" s="69" t="s">
        <v>107</v>
      </c>
      <c r="I265" s="69" t="s">
        <v>138</v>
      </c>
      <c r="J265" s="70" t="s">
        <v>35</v>
      </c>
      <c r="K265" s="70" t="s">
        <v>147</v>
      </c>
      <c r="L265" s="71">
        <v>180376</v>
      </c>
      <c r="M265" s="71">
        <v>1771721</v>
      </c>
      <c r="N265" s="71">
        <v>827528</v>
      </c>
      <c r="O265" s="70" t="s">
        <v>45</v>
      </c>
      <c r="P265" s="72">
        <v>723835.79</v>
      </c>
      <c r="Q265" s="72">
        <f t="shared" si="21"/>
        <v>4.0129273850179628</v>
      </c>
      <c r="R265" s="72">
        <f t="shared" si="22"/>
        <v>0.4085495346050535</v>
      </c>
      <c r="S265" s="72">
        <f t="shared" si="23"/>
        <v>0.8746964332324707</v>
      </c>
      <c r="T265" s="94">
        <f t="shared" si="24"/>
        <v>0.46707579805172483</v>
      </c>
      <c r="U265" s="101">
        <f t="shared" si="25"/>
        <v>0.10180835470144566</v>
      </c>
      <c r="V265" s="73">
        <v>2024</v>
      </c>
      <c r="W265" s="77" t="s">
        <v>137</v>
      </c>
    </row>
    <row r="266" spans="1:25" x14ac:dyDescent="0.2">
      <c r="A266" s="68">
        <v>1003.9999999999999</v>
      </c>
      <c r="B266" s="69" t="s">
        <v>70</v>
      </c>
      <c r="C266" s="69" t="s">
        <v>2</v>
      </c>
      <c r="D266" s="69" t="s">
        <v>39</v>
      </c>
      <c r="E266" s="69" t="s">
        <v>106</v>
      </c>
      <c r="F266" s="69" t="s">
        <v>133</v>
      </c>
      <c r="G266" s="69" t="s">
        <v>143</v>
      </c>
      <c r="H266" s="69" t="s">
        <v>107</v>
      </c>
      <c r="I266" s="69" t="s">
        <v>138</v>
      </c>
      <c r="J266" s="70" t="s">
        <v>35</v>
      </c>
      <c r="K266" s="70" t="s">
        <v>147</v>
      </c>
      <c r="L266" s="71">
        <v>180376</v>
      </c>
      <c r="M266" s="71">
        <v>1771721</v>
      </c>
      <c r="N266" s="71">
        <v>827528</v>
      </c>
      <c r="O266" s="70" t="s">
        <v>14</v>
      </c>
      <c r="P266" s="72">
        <v>4790156.9800000004</v>
      </c>
      <c r="Q266" s="72">
        <f t="shared" si="21"/>
        <v>26.556509624340269</v>
      </c>
      <c r="R266" s="72">
        <f t="shared" si="22"/>
        <v>2.7036745514671896</v>
      </c>
      <c r="S266" s="72">
        <f t="shared" si="23"/>
        <v>5.7885134762811656</v>
      </c>
      <c r="T266" s="94">
        <f t="shared" si="24"/>
        <v>0.46707579805172483</v>
      </c>
      <c r="U266" s="101">
        <f t="shared" si="25"/>
        <v>0.10180835470144566</v>
      </c>
      <c r="V266" s="73">
        <v>2024</v>
      </c>
      <c r="W266" s="77" t="s">
        <v>137</v>
      </c>
    </row>
    <row r="267" spans="1:25" x14ac:dyDescent="0.2">
      <c r="A267" s="68">
        <v>1005.0000000000001</v>
      </c>
      <c r="B267" s="69" t="s">
        <v>70</v>
      </c>
      <c r="C267" s="69" t="s">
        <v>2</v>
      </c>
      <c r="D267" s="69" t="s">
        <v>39</v>
      </c>
      <c r="E267" s="69" t="s">
        <v>106</v>
      </c>
      <c r="F267" s="69" t="s">
        <v>133</v>
      </c>
      <c r="G267" s="69" t="s">
        <v>143</v>
      </c>
      <c r="H267" s="69" t="s">
        <v>107</v>
      </c>
      <c r="I267" s="69" t="s">
        <v>138</v>
      </c>
      <c r="J267" s="70" t="s">
        <v>35</v>
      </c>
      <c r="K267" s="70" t="s">
        <v>147</v>
      </c>
      <c r="L267" s="71">
        <v>180376</v>
      </c>
      <c r="M267" s="71">
        <v>1771721</v>
      </c>
      <c r="N267" s="71">
        <v>827528</v>
      </c>
      <c r="O267" s="70" t="s">
        <v>22</v>
      </c>
      <c r="P267" s="72">
        <v>81245182</v>
      </c>
      <c r="Q267" s="72">
        <f t="shared" si="21"/>
        <v>450.42124229387503</v>
      </c>
      <c r="R267" s="72">
        <f t="shared" si="22"/>
        <v>45.856645600520622</v>
      </c>
      <c r="S267" s="72">
        <f t="shared" si="23"/>
        <v>98.178166781063595</v>
      </c>
      <c r="T267" s="94">
        <f t="shared" si="24"/>
        <v>0.46707579805172483</v>
      </c>
      <c r="U267" s="101">
        <f t="shared" si="25"/>
        <v>0.10180835470144566</v>
      </c>
      <c r="V267" s="73">
        <v>2024</v>
      </c>
      <c r="W267" s="77" t="s">
        <v>137</v>
      </c>
    </row>
    <row r="268" spans="1:25" x14ac:dyDescent="0.2">
      <c r="A268" s="68">
        <v>1006</v>
      </c>
      <c r="B268" s="69" t="s">
        <v>70</v>
      </c>
      <c r="C268" s="69" t="s">
        <v>2</v>
      </c>
      <c r="D268" s="69" t="s">
        <v>39</v>
      </c>
      <c r="E268" s="69" t="s">
        <v>106</v>
      </c>
      <c r="F268" s="69" t="s">
        <v>133</v>
      </c>
      <c r="G268" s="69" t="s">
        <v>143</v>
      </c>
      <c r="H268" s="69" t="s">
        <v>107</v>
      </c>
      <c r="I268" s="69" t="s">
        <v>138</v>
      </c>
      <c r="J268" s="70" t="s">
        <v>35</v>
      </c>
      <c r="K268" s="70" t="s">
        <v>147</v>
      </c>
      <c r="L268" s="71">
        <v>180376</v>
      </c>
      <c r="M268" s="71">
        <v>1771721</v>
      </c>
      <c r="N268" s="71">
        <v>827528</v>
      </c>
      <c r="O268" s="70" t="s">
        <v>20</v>
      </c>
      <c r="P268" s="72">
        <v>51228919.710000001</v>
      </c>
      <c r="Q268" s="72">
        <f t="shared" si="21"/>
        <v>284.01184032243759</v>
      </c>
      <c r="R268" s="72">
        <f t="shared" si="22"/>
        <v>28.914778178957071</v>
      </c>
      <c r="S268" s="72">
        <f t="shared" si="23"/>
        <v>61.90596536914763</v>
      </c>
      <c r="T268" s="94">
        <f t="shared" si="24"/>
        <v>0.46707579805172483</v>
      </c>
      <c r="U268" s="101">
        <f t="shared" si="25"/>
        <v>0.10180835470144566</v>
      </c>
      <c r="V268" s="73">
        <v>2024</v>
      </c>
      <c r="W268" s="77" t="s">
        <v>137</v>
      </c>
    </row>
    <row r="269" spans="1:25" x14ac:dyDescent="0.2">
      <c r="A269" s="68">
        <v>1007</v>
      </c>
      <c r="B269" s="69" t="s">
        <v>70</v>
      </c>
      <c r="C269" s="69" t="s">
        <v>2</v>
      </c>
      <c r="D269" s="69" t="s">
        <v>39</v>
      </c>
      <c r="E269" s="69" t="s">
        <v>106</v>
      </c>
      <c r="F269" s="69" t="s">
        <v>133</v>
      </c>
      <c r="G269" s="69" t="s">
        <v>143</v>
      </c>
      <c r="H269" s="69" t="s">
        <v>107</v>
      </c>
      <c r="I269" s="69" t="s">
        <v>138</v>
      </c>
      <c r="J269" s="70" t="s">
        <v>35</v>
      </c>
      <c r="K269" s="70" t="s">
        <v>147</v>
      </c>
      <c r="L269" s="71">
        <v>180376</v>
      </c>
      <c r="M269" s="71">
        <v>1771721</v>
      </c>
      <c r="N269" s="71">
        <v>827528</v>
      </c>
      <c r="O269" s="70" t="s">
        <v>23</v>
      </c>
      <c r="P269" s="72">
        <v>56119328.050000004</v>
      </c>
      <c r="Q269" s="72">
        <f t="shared" si="21"/>
        <v>311.12414096110348</v>
      </c>
      <c r="R269" s="72">
        <f t="shared" si="22"/>
        <v>31.675036899150601</v>
      </c>
      <c r="S269" s="72">
        <f t="shared" si="23"/>
        <v>67.815624426001307</v>
      </c>
      <c r="T269" s="94">
        <f t="shared" si="24"/>
        <v>0.46707579805172483</v>
      </c>
      <c r="U269" s="101">
        <f t="shared" si="25"/>
        <v>0.10180835470144566</v>
      </c>
      <c r="V269" s="73">
        <v>2024</v>
      </c>
      <c r="W269" s="77" t="s">
        <v>137</v>
      </c>
    </row>
    <row r="270" spans="1:25" x14ac:dyDescent="0.2">
      <c r="A270" s="68">
        <v>1008</v>
      </c>
      <c r="B270" s="69" t="s">
        <v>70</v>
      </c>
      <c r="C270" s="69" t="s">
        <v>2</v>
      </c>
      <c r="D270" s="69" t="s">
        <v>39</v>
      </c>
      <c r="E270" s="69" t="s">
        <v>106</v>
      </c>
      <c r="F270" s="69" t="s">
        <v>133</v>
      </c>
      <c r="G270" s="69" t="s">
        <v>143</v>
      </c>
      <c r="H270" s="69" t="s">
        <v>107</v>
      </c>
      <c r="I270" s="69" t="s">
        <v>138</v>
      </c>
      <c r="J270" s="70" t="s">
        <v>35</v>
      </c>
      <c r="K270" s="70" t="s">
        <v>147</v>
      </c>
      <c r="L270" s="71">
        <v>180376</v>
      </c>
      <c r="M270" s="71">
        <v>1771721</v>
      </c>
      <c r="N270" s="71">
        <v>827528</v>
      </c>
      <c r="O270" s="70" t="s">
        <v>25</v>
      </c>
      <c r="P270" s="72">
        <v>23652803.420000002</v>
      </c>
      <c r="Q270" s="72">
        <f t="shared" si="21"/>
        <v>131.13054630327761</v>
      </c>
      <c r="R270" s="72">
        <f t="shared" si="22"/>
        <v>13.350185170238429</v>
      </c>
      <c r="S270" s="72">
        <f t="shared" si="23"/>
        <v>28.582481100337393</v>
      </c>
      <c r="T270" s="94">
        <f t="shared" si="24"/>
        <v>0.46707579805172483</v>
      </c>
      <c r="U270" s="101">
        <f t="shared" si="25"/>
        <v>0.10180835470144566</v>
      </c>
      <c r="V270" s="73">
        <v>2024</v>
      </c>
      <c r="W270" s="77" t="s">
        <v>137</v>
      </c>
    </row>
    <row r="271" spans="1:25" x14ac:dyDescent="0.2">
      <c r="A271" s="68">
        <v>1009</v>
      </c>
      <c r="B271" s="69" t="s">
        <v>70</v>
      </c>
      <c r="C271" s="69" t="s">
        <v>2</v>
      </c>
      <c r="D271" s="69" t="s">
        <v>39</v>
      </c>
      <c r="E271" s="69" t="s">
        <v>106</v>
      </c>
      <c r="F271" s="69" t="s">
        <v>133</v>
      </c>
      <c r="G271" s="69" t="s">
        <v>143</v>
      </c>
      <c r="H271" s="69" t="s">
        <v>107</v>
      </c>
      <c r="I271" s="69" t="s">
        <v>138</v>
      </c>
      <c r="J271" s="70" t="s">
        <v>35</v>
      </c>
      <c r="K271" s="70" t="s">
        <v>147</v>
      </c>
      <c r="L271" s="71">
        <v>180376</v>
      </c>
      <c r="M271" s="71">
        <v>1771721</v>
      </c>
      <c r="N271" s="71">
        <v>827528</v>
      </c>
      <c r="O271" s="70" t="s">
        <v>46</v>
      </c>
      <c r="P271" s="72">
        <v>0</v>
      </c>
      <c r="Q271" s="72">
        <f t="shared" si="21"/>
        <v>0</v>
      </c>
      <c r="R271" s="72">
        <f t="shared" si="22"/>
        <v>0</v>
      </c>
      <c r="S271" s="72">
        <f t="shared" si="23"/>
        <v>0</v>
      </c>
      <c r="T271" s="94">
        <f t="shared" si="24"/>
        <v>0.46707579805172483</v>
      </c>
      <c r="U271" s="101">
        <f t="shared" si="25"/>
        <v>0.10180835470144566</v>
      </c>
      <c r="V271" s="73">
        <v>2024</v>
      </c>
      <c r="W271" s="77" t="s">
        <v>137</v>
      </c>
    </row>
    <row r="272" spans="1:25" x14ac:dyDescent="0.2">
      <c r="A272" s="68">
        <v>1010</v>
      </c>
      <c r="B272" s="69" t="s">
        <v>70</v>
      </c>
      <c r="C272" s="69" t="s">
        <v>2</v>
      </c>
      <c r="D272" s="69" t="s">
        <v>39</v>
      </c>
      <c r="E272" s="69" t="s">
        <v>106</v>
      </c>
      <c r="F272" s="69" t="s">
        <v>133</v>
      </c>
      <c r="G272" s="69" t="s">
        <v>143</v>
      </c>
      <c r="H272" s="69" t="s">
        <v>107</v>
      </c>
      <c r="I272" s="69" t="s">
        <v>138</v>
      </c>
      <c r="J272" s="70" t="s">
        <v>35</v>
      </c>
      <c r="K272" s="70" t="s">
        <v>147</v>
      </c>
      <c r="L272" s="71">
        <v>180376</v>
      </c>
      <c r="M272" s="71">
        <v>1771721</v>
      </c>
      <c r="N272" s="71">
        <v>827528</v>
      </c>
      <c r="O272" s="70" t="s">
        <v>34</v>
      </c>
      <c r="P272" s="72">
        <v>32804050.539999999</v>
      </c>
      <c r="Q272" s="72">
        <f t="shared" si="21"/>
        <v>181.86482979997339</v>
      </c>
      <c r="R272" s="72">
        <f t="shared" si="22"/>
        <v>18.515359099993734</v>
      </c>
      <c r="S272" s="72">
        <f t="shared" si="23"/>
        <v>39.641015820612715</v>
      </c>
      <c r="T272" s="94">
        <f t="shared" si="24"/>
        <v>0.46707579805172483</v>
      </c>
      <c r="U272" s="101">
        <f t="shared" si="25"/>
        <v>0.10180835470144566</v>
      </c>
      <c r="V272" s="73">
        <v>2024</v>
      </c>
      <c r="W272" s="77" t="s">
        <v>137</v>
      </c>
      <c r="Y272" s="117">
        <f>P272/8</f>
        <v>4100506.3174999999</v>
      </c>
    </row>
    <row r="273" spans="1:23" x14ac:dyDescent="0.2">
      <c r="A273" s="68">
        <v>1011</v>
      </c>
      <c r="B273" s="69" t="s">
        <v>70</v>
      </c>
      <c r="C273" s="69" t="s">
        <v>2</v>
      </c>
      <c r="D273" s="69" t="s">
        <v>39</v>
      </c>
      <c r="E273" s="69" t="s">
        <v>106</v>
      </c>
      <c r="F273" s="69" t="s">
        <v>133</v>
      </c>
      <c r="G273" s="69" t="s">
        <v>143</v>
      </c>
      <c r="H273" s="69" t="s">
        <v>107</v>
      </c>
      <c r="I273" s="69" t="s">
        <v>138</v>
      </c>
      <c r="J273" s="70" t="s">
        <v>35</v>
      </c>
      <c r="K273" s="70" t="s">
        <v>147</v>
      </c>
      <c r="L273" s="71">
        <v>180376</v>
      </c>
      <c r="M273" s="71">
        <v>1771721</v>
      </c>
      <c r="N273" s="71">
        <v>827528</v>
      </c>
      <c r="O273" s="70" t="s">
        <v>26</v>
      </c>
      <c r="P273" s="72">
        <v>21714755.579999998</v>
      </c>
      <c r="Q273" s="72">
        <f t="shared" si="21"/>
        <v>120.38605790127289</v>
      </c>
      <c r="R273" s="72">
        <f t="shared" si="22"/>
        <v>12.256306483921565</v>
      </c>
      <c r="S273" s="72">
        <f t="shared" si="23"/>
        <v>26.240508574936435</v>
      </c>
      <c r="T273" s="94">
        <f t="shared" si="24"/>
        <v>0.46707579805172483</v>
      </c>
      <c r="U273" s="101">
        <f t="shared" si="25"/>
        <v>0.10180835470144566</v>
      </c>
      <c r="V273" s="73">
        <v>2024</v>
      </c>
      <c r="W273" s="77" t="s">
        <v>137</v>
      </c>
    </row>
    <row r="274" spans="1:23" x14ac:dyDescent="0.2">
      <c r="A274" s="68">
        <v>1011.9999999999999</v>
      </c>
      <c r="B274" s="69" t="s">
        <v>70</v>
      </c>
      <c r="C274" s="69" t="s">
        <v>2</v>
      </c>
      <c r="D274" s="69" t="s">
        <v>39</v>
      </c>
      <c r="E274" s="69" t="s">
        <v>106</v>
      </c>
      <c r="F274" s="69" t="s">
        <v>133</v>
      </c>
      <c r="G274" s="69" t="s">
        <v>143</v>
      </c>
      <c r="H274" s="69" t="s">
        <v>107</v>
      </c>
      <c r="I274" s="69" t="s">
        <v>138</v>
      </c>
      <c r="J274" s="70" t="s">
        <v>35</v>
      </c>
      <c r="K274" s="70" t="s">
        <v>147</v>
      </c>
      <c r="L274" s="71">
        <v>180376</v>
      </c>
      <c r="M274" s="71">
        <v>1771721</v>
      </c>
      <c r="N274" s="71">
        <v>827528</v>
      </c>
      <c r="O274" s="70" t="s">
        <v>28</v>
      </c>
      <c r="P274" s="72">
        <v>12358840.140000001</v>
      </c>
      <c r="Q274" s="72">
        <f t="shared" si="21"/>
        <v>68.517098394464895</v>
      </c>
      <c r="R274" s="72">
        <f t="shared" si="22"/>
        <v>6.9756130564575347</v>
      </c>
      <c r="S274" s="72">
        <f t="shared" si="23"/>
        <v>14.934648906139733</v>
      </c>
      <c r="T274" s="94">
        <f t="shared" si="24"/>
        <v>0.46707579805172483</v>
      </c>
      <c r="U274" s="101">
        <f t="shared" si="25"/>
        <v>0.10180835470144566</v>
      </c>
      <c r="V274" s="73">
        <v>2024</v>
      </c>
      <c r="W274" s="77" t="s">
        <v>137</v>
      </c>
    </row>
    <row r="275" spans="1:23" x14ac:dyDescent="0.2">
      <c r="A275" s="68">
        <v>1013.0000000000001</v>
      </c>
      <c r="B275" s="69" t="s">
        <v>70</v>
      </c>
      <c r="C275" s="69" t="s">
        <v>2</v>
      </c>
      <c r="D275" s="69" t="s">
        <v>39</v>
      </c>
      <c r="E275" s="69" t="s">
        <v>106</v>
      </c>
      <c r="F275" s="69" t="s">
        <v>133</v>
      </c>
      <c r="G275" s="69" t="s">
        <v>143</v>
      </c>
      <c r="H275" s="69" t="s">
        <v>107</v>
      </c>
      <c r="I275" s="69" t="s">
        <v>138</v>
      </c>
      <c r="J275" s="70" t="s">
        <v>35</v>
      </c>
      <c r="K275" s="70" t="s">
        <v>147</v>
      </c>
      <c r="L275" s="71">
        <v>180376</v>
      </c>
      <c r="M275" s="71">
        <v>1771721</v>
      </c>
      <c r="N275" s="71">
        <v>827528</v>
      </c>
      <c r="O275" s="70" t="s">
        <v>47</v>
      </c>
      <c r="P275" s="72">
        <v>9810209.6600000001</v>
      </c>
      <c r="Q275" s="72">
        <f t="shared" si="21"/>
        <v>54.387555217989089</v>
      </c>
      <c r="R275" s="72">
        <f t="shared" si="22"/>
        <v>5.5371075129774949</v>
      </c>
      <c r="S275" s="72">
        <f t="shared" si="23"/>
        <v>11.854837129378099</v>
      </c>
      <c r="T275" s="94">
        <f t="shared" si="24"/>
        <v>0.46707579805172483</v>
      </c>
      <c r="U275" s="101">
        <f t="shared" si="25"/>
        <v>0.10180835470144566</v>
      </c>
      <c r="V275" s="73">
        <v>2024</v>
      </c>
      <c r="W275" s="77" t="s">
        <v>137</v>
      </c>
    </row>
    <row r="276" spans="1:23" x14ac:dyDescent="0.2">
      <c r="A276" s="68">
        <v>1014</v>
      </c>
      <c r="B276" s="69" t="s">
        <v>70</v>
      </c>
      <c r="C276" s="69" t="s">
        <v>2</v>
      </c>
      <c r="D276" s="69" t="s">
        <v>39</v>
      </c>
      <c r="E276" s="69" t="s">
        <v>106</v>
      </c>
      <c r="F276" s="69" t="s">
        <v>133</v>
      </c>
      <c r="G276" s="69" t="s">
        <v>143</v>
      </c>
      <c r="H276" s="69" t="s">
        <v>107</v>
      </c>
      <c r="I276" s="69" t="s">
        <v>138</v>
      </c>
      <c r="J276" s="70" t="s">
        <v>35</v>
      </c>
      <c r="K276" s="70" t="s">
        <v>147</v>
      </c>
      <c r="L276" s="71">
        <v>180376</v>
      </c>
      <c r="M276" s="71">
        <v>1771721</v>
      </c>
      <c r="N276" s="71">
        <v>827528</v>
      </c>
      <c r="O276" s="70" t="s">
        <v>27</v>
      </c>
      <c r="P276" s="72">
        <v>16089677.700000001</v>
      </c>
      <c r="Q276" s="72">
        <f t="shared" si="21"/>
        <v>89.200767840510935</v>
      </c>
      <c r="R276" s="72">
        <f t="shared" si="22"/>
        <v>9.0813834119480443</v>
      </c>
      <c r="S276" s="72">
        <f t="shared" si="23"/>
        <v>19.443061382817259</v>
      </c>
      <c r="T276" s="94">
        <f t="shared" si="24"/>
        <v>0.46707579805172483</v>
      </c>
      <c r="U276" s="101">
        <f t="shared" si="25"/>
        <v>0.10180835470144566</v>
      </c>
      <c r="V276" s="73">
        <v>2024</v>
      </c>
      <c r="W276" s="77" t="s">
        <v>137</v>
      </c>
    </row>
    <row r="277" spans="1:23" x14ac:dyDescent="0.2">
      <c r="A277" s="68">
        <v>1015</v>
      </c>
      <c r="B277" s="69" t="s">
        <v>70</v>
      </c>
      <c r="C277" s="69" t="s">
        <v>2</v>
      </c>
      <c r="D277" s="69" t="s">
        <v>39</v>
      </c>
      <c r="E277" s="69" t="s">
        <v>106</v>
      </c>
      <c r="F277" s="69" t="s">
        <v>133</v>
      </c>
      <c r="G277" s="69" t="s">
        <v>143</v>
      </c>
      <c r="H277" s="69" t="s">
        <v>107</v>
      </c>
      <c r="I277" s="69" t="s">
        <v>138</v>
      </c>
      <c r="J277" s="70" t="s">
        <v>35</v>
      </c>
      <c r="K277" s="70" t="s">
        <v>147</v>
      </c>
      <c r="L277" s="71">
        <v>180376</v>
      </c>
      <c r="M277" s="71">
        <v>1771721</v>
      </c>
      <c r="N277" s="71">
        <v>827528</v>
      </c>
      <c r="O277" s="70" t="s">
        <v>48</v>
      </c>
      <c r="P277" s="72">
        <v>0</v>
      </c>
      <c r="Q277" s="72">
        <f t="shared" si="21"/>
        <v>0</v>
      </c>
      <c r="R277" s="72">
        <f t="shared" si="22"/>
        <v>0</v>
      </c>
      <c r="S277" s="72">
        <f t="shared" si="23"/>
        <v>0</v>
      </c>
      <c r="T277" s="94">
        <f t="shared" si="24"/>
        <v>0.46707579805172483</v>
      </c>
      <c r="U277" s="101">
        <f t="shared" si="25"/>
        <v>0.10180835470144566</v>
      </c>
      <c r="V277" s="73">
        <v>2024</v>
      </c>
      <c r="W277" s="77" t="s">
        <v>137</v>
      </c>
    </row>
    <row r="278" spans="1:23" x14ac:dyDescent="0.2">
      <c r="A278" s="68">
        <v>1016</v>
      </c>
      <c r="B278" s="69" t="s">
        <v>70</v>
      </c>
      <c r="C278" s="69" t="s">
        <v>2</v>
      </c>
      <c r="D278" s="69" t="s">
        <v>39</v>
      </c>
      <c r="E278" s="69" t="s">
        <v>106</v>
      </c>
      <c r="F278" s="69" t="s">
        <v>133</v>
      </c>
      <c r="G278" s="69" t="s">
        <v>143</v>
      </c>
      <c r="H278" s="69" t="s">
        <v>107</v>
      </c>
      <c r="I278" s="69" t="s">
        <v>138</v>
      </c>
      <c r="J278" s="70" t="s">
        <v>35</v>
      </c>
      <c r="K278" s="70" t="s">
        <v>147</v>
      </c>
      <c r="L278" s="71">
        <v>180376</v>
      </c>
      <c r="M278" s="71">
        <v>1771721</v>
      </c>
      <c r="N278" s="71">
        <v>827528</v>
      </c>
      <c r="O278" s="70" t="s">
        <v>49</v>
      </c>
      <c r="P278" s="72">
        <v>0</v>
      </c>
      <c r="Q278" s="72">
        <f t="shared" si="21"/>
        <v>0</v>
      </c>
      <c r="R278" s="72">
        <f t="shared" si="22"/>
        <v>0</v>
      </c>
      <c r="S278" s="72">
        <f t="shared" si="23"/>
        <v>0</v>
      </c>
      <c r="T278" s="94">
        <f t="shared" si="24"/>
        <v>0.46707579805172483</v>
      </c>
      <c r="U278" s="101">
        <f t="shared" si="25"/>
        <v>0.10180835470144566</v>
      </c>
      <c r="V278" s="73">
        <v>2024</v>
      </c>
      <c r="W278" s="77" t="s">
        <v>137</v>
      </c>
    </row>
    <row r="279" spans="1:23" x14ac:dyDescent="0.2">
      <c r="A279" s="68">
        <v>1017</v>
      </c>
      <c r="B279" s="69" t="s">
        <v>70</v>
      </c>
      <c r="C279" s="69" t="s">
        <v>2</v>
      </c>
      <c r="D279" s="69" t="s">
        <v>39</v>
      </c>
      <c r="E279" s="69" t="s">
        <v>106</v>
      </c>
      <c r="F279" s="69" t="s">
        <v>133</v>
      </c>
      <c r="G279" s="69" t="s">
        <v>143</v>
      </c>
      <c r="H279" s="69" t="s">
        <v>107</v>
      </c>
      <c r="I279" s="69" t="s">
        <v>138</v>
      </c>
      <c r="J279" s="70" t="s">
        <v>35</v>
      </c>
      <c r="K279" s="70" t="s">
        <v>147</v>
      </c>
      <c r="L279" s="71">
        <v>180376</v>
      </c>
      <c r="M279" s="71">
        <v>1771721</v>
      </c>
      <c r="N279" s="71">
        <v>827528</v>
      </c>
      <c r="O279" s="70" t="s">
        <v>50</v>
      </c>
      <c r="P279" s="72">
        <v>0</v>
      </c>
      <c r="Q279" s="72">
        <f t="shared" si="21"/>
        <v>0</v>
      </c>
      <c r="R279" s="72">
        <f t="shared" si="22"/>
        <v>0</v>
      </c>
      <c r="S279" s="72">
        <f t="shared" si="23"/>
        <v>0</v>
      </c>
      <c r="T279" s="94">
        <f t="shared" si="24"/>
        <v>0.46707579805172483</v>
      </c>
      <c r="U279" s="101">
        <f t="shared" si="25"/>
        <v>0.10180835470144566</v>
      </c>
      <c r="V279" s="73">
        <v>2024</v>
      </c>
      <c r="W279" s="77" t="s">
        <v>137</v>
      </c>
    </row>
    <row r="280" spans="1:23" x14ac:dyDescent="0.2">
      <c r="A280" s="68">
        <v>1018</v>
      </c>
      <c r="B280" s="69" t="s">
        <v>70</v>
      </c>
      <c r="C280" s="69" t="s">
        <v>2</v>
      </c>
      <c r="D280" s="69" t="s">
        <v>39</v>
      </c>
      <c r="E280" s="69" t="s">
        <v>106</v>
      </c>
      <c r="F280" s="69" t="s">
        <v>133</v>
      </c>
      <c r="G280" s="69" t="s">
        <v>143</v>
      </c>
      <c r="H280" s="69" t="s">
        <v>107</v>
      </c>
      <c r="I280" s="69" t="s">
        <v>138</v>
      </c>
      <c r="J280" s="70" t="s">
        <v>35</v>
      </c>
      <c r="K280" s="70" t="s">
        <v>147</v>
      </c>
      <c r="L280" s="71">
        <v>180376</v>
      </c>
      <c r="M280" s="71">
        <v>1771721</v>
      </c>
      <c r="N280" s="71">
        <v>827528</v>
      </c>
      <c r="O280" s="70" t="s">
        <v>51</v>
      </c>
      <c r="P280" s="72">
        <v>0</v>
      </c>
      <c r="Q280" s="72">
        <f t="shared" si="21"/>
        <v>0</v>
      </c>
      <c r="R280" s="72">
        <f t="shared" si="22"/>
        <v>0</v>
      </c>
      <c r="S280" s="72">
        <f t="shared" si="23"/>
        <v>0</v>
      </c>
      <c r="T280" s="94">
        <f t="shared" si="24"/>
        <v>0.46707579805172483</v>
      </c>
      <c r="U280" s="101">
        <f t="shared" si="25"/>
        <v>0.10180835470144566</v>
      </c>
      <c r="V280" s="73">
        <v>2024</v>
      </c>
      <c r="W280" s="77" t="s">
        <v>137</v>
      </c>
    </row>
    <row r="281" spans="1:23" x14ac:dyDescent="0.2">
      <c r="A281" s="68">
        <v>1019</v>
      </c>
      <c r="B281" s="69" t="s">
        <v>70</v>
      </c>
      <c r="C281" s="69" t="s">
        <v>2</v>
      </c>
      <c r="D281" s="69" t="s">
        <v>39</v>
      </c>
      <c r="E281" s="69" t="s">
        <v>106</v>
      </c>
      <c r="F281" s="69" t="s">
        <v>133</v>
      </c>
      <c r="G281" s="69" t="s">
        <v>143</v>
      </c>
      <c r="H281" s="69" t="s">
        <v>107</v>
      </c>
      <c r="I281" s="69" t="s">
        <v>138</v>
      </c>
      <c r="J281" s="70" t="s">
        <v>35</v>
      </c>
      <c r="K281" s="70" t="s">
        <v>147</v>
      </c>
      <c r="L281" s="71">
        <v>180376</v>
      </c>
      <c r="M281" s="71">
        <v>1771721</v>
      </c>
      <c r="N281" s="71">
        <v>827528</v>
      </c>
      <c r="O281" s="70" t="s">
        <v>52</v>
      </c>
      <c r="P281" s="72">
        <v>0</v>
      </c>
      <c r="Q281" s="72">
        <f t="shared" si="21"/>
        <v>0</v>
      </c>
      <c r="R281" s="72">
        <f t="shared" si="22"/>
        <v>0</v>
      </c>
      <c r="S281" s="72">
        <f t="shared" si="23"/>
        <v>0</v>
      </c>
      <c r="T281" s="94">
        <f t="shared" si="24"/>
        <v>0.46707579805172483</v>
      </c>
      <c r="U281" s="101">
        <f t="shared" si="25"/>
        <v>0.10180835470144566</v>
      </c>
      <c r="V281" s="73">
        <v>2024</v>
      </c>
      <c r="W281" s="77" t="s">
        <v>137</v>
      </c>
    </row>
    <row r="282" spans="1:23" x14ac:dyDescent="0.2">
      <c r="A282" s="68">
        <v>1019.9999999999999</v>
      </c>
      <c r="B282" s="69" t="s">
        <v>70</v>
      </c>
      <c r="C282" s="69" t="s">
        <v>2</v>
      </c>
      <c r="D282" s="69" t="s">
        <v>39</v>
      </c>
      <c r="E282" s="69" t="s">
        <v>106</v>
      </c>
      <c r="F282" s="69" t="s">
        <v>133</v>
      </c>
      <c r="G282" s="69" t="s">
        <v>143</v>
      </c>
      <c r="H282" s="69" t="s">
        <v>107</v>
      </c>
      <c r="I282" s="69" t="s">
        <v>138</v>
      </c>
      <c r="J282" s="70" t="s">
        <v>35</v>
      </c>
      <c r="K282" s="70" t="s">
        <v>147</v>
      </c>
      <c r="L282" s="71">
        <v>180376</v>
      </c>
      <c r="M282" s="71">
        <v>1771721</v>
      </c>
      <c r="N282" s="71">
        <v>827528</v>
      </c>
      <c r="O282" s="70" t="s">
        <v>53</v>
      </c>
      <c r="P282" s="72">
        <v>0</v>
      </c>
      <c r="Q282" s="72">
        <f t="shared" si="21"/>
        <v>0</v>
      </c>
      <c r="R282" s="72">
        <f t="shared" si="22"/>
        <v>0</v>
      </c>
      <c r="S282" s="72">
        <f t="shared" si="23"/>
        <v>0</v>
      </c>
      <c r="T282" s="94">
        <f t="shared" si="24"/>
        <v>0.46707579805172483</v>
      </c>
      <c r="U282" s="101">
        <f t="shared" si="25"/>
        <v>0.10180835470144566</v>
      </c>
      <c r="V282" s="73">
        <v>2024</v>
      </c>
      <c r="W282" s="77" t="s">
        <v>137</v>
      </c>
    </row>
    <row r="283" spans="1:23" x14ac:dyDescent="0.2">
      <c r="A283" s="68">
        <v>1021.0000000000001</v>
      </c>
      <c r="B283" s="69" t="s">
        <v>70</v>
      </c>
      <c r="C283" s="69" t="s">
        <v>2</v>
      </c>
      <c r="D283" s="69" t="s">
        <v>39</v>
      </c>
      <c r="E283" s="69" t="s">
        <v>106</v>
      </c>
      <c r="F283" s="69" t="s">
        <v>133</v>
      </c>
      <c r="G283" s="69" t="s">
        <v>143</v>
      </c>
      <c r="H283" s="69" t="s">
        <v>107</v>
      </c>
      <c r="I283" s="69" t="s">
        <v>138</v>
      </c>
      <c r="J283" s="70" t="s">
        <v>35</v>
      </c>
      <c r="K283" s="70" t="s">
        <v>147</v>
      </c>
      <c r="L283" s="71">
        <v>180376</v>
      </c>
      <c r="M283" s="71">
        <v>1771721</v>
      </c>
      <c r="N283" s="71">
        <v>827528</v>
      </c>
      <c r="O283" s="70" t="s">
        <v>55</v>
      </c>
      <c r="P283" s="72">
        <v>0</v>
      </c>
      <c r="Q283" s="72">
        <f t="shared" si="21"/>
        <v>0</v>
      </c>
      <c r="R283" s="72">
        <f t="shared" si="22"/>
        <v>0</v>
      </c>
      <c r="S283" s="72">
        <f t="shared" si="23"/>
        <v>0</v>
      </c>
      <c r="T283" s="94">
        <f t="shared" si="24"/>
        <v>0.46707579805172483</v>
      </c>
      <c r="U283" s="101">
        <f t="shared" si="25"/>
        <v>0.10180835470144566</v>
      </c>
      <c r="V283" s="73">
        <v>2024</v>
      </c>
      <c r="W283" s="77" t="s">
        <v>137</v>
      </c>
    </row>
    <row r="284" spans="1:23" x14ac:dyDescent="0.2">
      <c r="A284" s="68">
        <v>1022.0000000000001</v>
      </c>
      <c r="B284" s="69" t="s">
        <v>70</v>
      </c>
      <c r="C284" s="69" t="s">
        <v>2</v>
      </c>
      <c r="D284" s="69" t="s">
        <v>39</v>
      </c>
      <c r="E284" s="69" t="s">
        <v>106</v>
      </c>
      <c r="F284" s="69" t="s">
        <v>133</v>
      </c>
      <c r="G284" s="69" t="s">
        <v>143</v>
      </c>
      <c r="H284" s="69" t="s">
        <v>107</v>
      </c>
      <c r="I284" s="69" t="s">
        <v>138</v>
      </c>
      <c r="J284" s="70" t="s">
        <v>35</v>
      </c>
      <c r="K284" s="70" t="s">
        <v>147</v>
      </c>
      <c r="L284" s="71">
        <v>180376</v>
      </c>
      <c r="M284" s="71">
        <v>1771721</v>
      </c>
      <c r="N284" s="71">
        <v>827528</v>
      </c>
      <c r="O284" s="70" t="s">
        <v>54</v>
      </c>
      <c r="P284" s="72">
        <v>0</v>
      </c>
      <c r="Q284" s="72">
        <f t="shared" si="21"/>
        <v>0</v>
      </c>
      <c r="R284" s="72">
        <f t="shared" si="22"/>
        <v>0</v>
      </c>
      <c r="S284" s="72">
        <f t="shared" si="23"/>
        <v>0</v>
      </c>
      <c r="T284" s="94">
        <f t="shared" si="24"/>
        <v>0.46707579805172483</v>
      </c>
      <c r="U284" s="101">
        <f t="shared" si="25"/>
        <v>0.10180835470144566</v>
      </c>
      <c r="V284" s="73">
        <v>2024</v>
      </c>
      <c r="W284" s="77" t="s">
        <v>137</v>
      </c>
    </row>
    <row r="285" spans="1:23" x14ac:dyDescent="0.2">
      <c r="A285" s="68">
        <v>1023</v>
      </c>
      <c r="B285" s="69" t="s">
        <v>70</v>
      </c>
      <c r="C285" s="69" t="s">
        <v>2</v>
      </c>
      <c r="D285" s="69" t="s">
        <v>39</v>
      </c>
      <c r="E285" s="69" t="s">
        <v>106</v>
      </c>
      <c r="F285" s="69" t="s">
        <v>133</v>
      </c>
      <c r="G285" s="69" t="s">
        <v>143</v>
      </c>
      <c r="H285" s="69" t="s">
        <v>107</v>
      </c>
      <c r="I285" s="69" t="s">
        <v>138</v>
      </c>
      <c r="J285" s="70" t="s">
        <v>35</v>
      </c>
      <c r="K285" s="70" t="s">
        <v>147</v>
      </c>
      <c r="L285" s="71">
        <v>180376</v>
      </c>
      <c r="M285" s="71">
        <v>1771721</v>
      </c>
      <c r="N285" s="71">
        <v>827528</v>
      </c>
      <c r="O285" s="70" t="s">
        <v>56</v>
      </c>
      <c r="P285" s="72">
        <v>0</v>
      </c>
      <c r="Q285" s="72">
        <f t="shared" si="21"/>
        <v>0</v>
      </c>
      <c r="R285" s="72">
        <f t="shared" si="22"/>
        <v>0</v>
      </c>
      <c r="S285" s="72">
        <f t="shared" si="23"/>
        <v>0</v>
      </c>
      <c r="T285" s="94">
        <f t="shared" si="24"/>
        <v>0.46707579805172483</v>
      </c>
      <c r="U285" s="101">
        <f t="shared" si="25"/>
        <v>0.10180835470144566</v>
      </c>
      <c r="V285" s="73">
        <v>2024</v>
      </c>
      <c r="W285" s="77" t="s">
        <v>137</v>
      </c>
    </row>
    <row r="286" spans="1:23" x14ac:dyDescent="0.2">
      <c r="A286" s="68">
        <v>1024</v>
      </c>
      <c r="B286" s="69" t="s">
        <v>70</v>
      </c>
      <c r="C286" s="69" t="s">
        <v>2</v>
      </c>
      <c r="D286" s="69" t="s">
        <v>39</v>
      </c>
      <c r="E286" s="69" t="s">
        <v>106</v>
      </c>
      <c r="F286" s="69" t="s">
        <v>133</v>
      </c>
      <c r="G286" s="69" t="s">
        <v>143</v>
      </c>
      <c r="H286" s="69" t="s">
        <v>107</v>
      </c>
      <c r="I286" s="69" t="s">
        <v>138</v>
      </c>
      <c r="J286" s="70" t="s">
        <v>35</v>
      </c>
      <c r="K286" s="70" t="s">
        <v>147</v>
      </c>
      <c r="L286" s="71">
        <v>180376</v>
      </c>
      <c r="M286" s="71">
        <v>1771721</v>
      </c>
      <c r="N286" s="71">
        <v>827528</v>
      </c>
      <c r="O286" s="70" t="s">
        <v>73</v>
      </c>
      <c r="P286" s="72">
        <v>29050423.009999998</v>
      </c>
      <c r="Q286" s="72">
        <f t="shared" si="21"/>
        <v>161.05481333436819</v>
      </c>
      <c r="R286" s="72">
        <f t="shared" si="22"/>
        <v>16.396725562320476</v>
      </c>
      <c r="S286" s="72">
        <f t="shared" si="23"/>
        <v>35.105063526551362</v>
      </c>
      <c r="T286" s="94">
        <f t="shared" si="24"/>
        <v>0.46707579805172483</v>
      </c>
      <c r="U286" s="101">
        <f t="shared" si="25"/>
        <v>0.10180835470144566</v>
      </c>
      <c r="V286" s="73">
        <v>2024</v>
      </c>
      <c r="W286" s="77" t="s">
        <v>137</v>
      </c>
    </row>
    <row r="287" spans="1:23" x14ac:dyDescent="0.2">
      <c r="A287" s="68">
        <v>1025</v>
      </c>
      <c r="B287" s="69" t="s">
        <v>70</v>
      </c>
      <c r="C287" s="69" t="s">
        <v>2</v>
      </c>
      <c r="D287" s="69" t="s">
        <v>39</v>
      </c>
      <c r="E287" s="69" t="s">
        <v>106</v>
      </c>
      <c r="F287" s="69" t="s">
        <v>133</v>
      </c>
      <c r="G287" s="69" t="s">
        <v>143</v>
      </c>
      <c r="H287" s="69" t="s">
        <v>107</v>
      </c>
      <c r="I287" s="69" t="s">
        <v>138</v>
      </c>
      <c r="J287" s="70" t="s">
        <v>35</v>
      </c>
      <c r="K287" s="70" t="s">
        <v>147</v>
      </c>
      <c r="L287" s="71">
        <v>180376</v>
      </c>
      <c r="M287" s="71">
        <v>1771721</v>
      </c>
      <c r="N287" s="71">
        <v>827528</v>
      </c>
      <c r="O287" s="70" t="s">
        <v>57</v>
      </c>
      <c r="P287" s="72">
        <v>0</v>
      </c>
      <c r="Q287" s="72">
        <f t="shared" si="21"/>
        <v>0</v>
      </c>
      <c r="R287" s="72">
        <f t="shared" si="22"/>
        <v>0</v>
      </c>
      <c r="S287" s="72">
        <f t="shared" si="23"/>
        <v>0</v>
      </c>
      <c r="T287" s="94">
        <f t="shared" si="24"/>
        <v>0.46707579805172483</v>
      </c>
      <c r="U287" s="101">
        <f t="shared" si="25"/>
        <v>0.10180835470144566</v>
      </c>
      <c r="V287" s="73">
        <v>2024</v>
      </c>
      <c r="W287" s="77" t="s">
        <v>137</v>
      </c>
    </row>
    <row r="288" spans="1:23" x14ac:dyDescent="0.2">
      <c r="A288" s="68">
        <v>1026</v>
      </c>
      <c r="B288" s="69" t="s">
        <v>70</v>
      </c>
      <c r="C288" s="69" t="s">
        <v>2</v>
      </c>
      <c r="D288" s="69" t="s">
        <v>39</v>
      </c>
      <c r="E288" s="69" t="s">
        <v>106</v>
      </c>
      <c r="F288" s="69" t="s">
        <v>133</v>
      </c>
      <c r="G288" s="69" t="s">
        <v>143</v>
      </c>
      <c r="H288" s="69" t="s">
        <v>107</v>
      </c>
      <c r="I288" s="69" t="s">
        <v>138</v>
      </c>
      <c r="J288" s="70" t="s">
        <v>35</v>
      </c>
      <c r="K288" s="70" t="s">
        <v>147</v>
      </c>
      <c r="L288" s="71">
        <v>180376</v>
      </c>
      <c r="M288" s="71">
        <v>1771721</v>
      </c>
      <c r="N288" s="71">
        <v>827528</v>
      </c>
      <c r="O288" s="70" t="s">
        <v>58</v>
      </c>
      <c r="P288" s="72">
        <v>168400000</v>
      </c>
      <c r="Q288" s="72">
        <f t="shared" si="21"/>
        <v>933.60535769725459</v>
      </c>
      <c r="R288" s="72">
        <f t="shared" si="22"/>
        <v>95.048825407612142</v>
      </c>
      <c r="S288" s="72">
        <f t="shared" si="23"/>
        <v>203.49764600110208</v>
      </c>
      <c r="T288" s="94">
        <f t="shared" si="24"/>
        <v>0.46707579805172483</v>
      </c>
      <c r="U288" s="101">
        <f t="shared" si="25"/>
        <v>0.10180835470144566</v>
      </c>
      <c r="V288" s="73">
        <v>2024</v>
      </c>
      <c r="W288" s="77" t="s">
        <v>137</v>
      </c>
    </row>
    <row r="289" spans="1:23" x14ac:dyDescent="0.2">
      <c r="A289" s="68">
        <v>1027</v>
      </c>
      <c r="B289" s="69" t="s">
        <v>70</v>
      </c>
      <c r="C289" s="69" t="s">
        <v>2</v>
      </c>
      <c r="D289" s="69" t="s">
        <v>39</v>
      </c>
      <c r="E289" s="69" t="s">
        <v>106</v>
      </c>
      <c r="F289" s="69" t="s">
        <v>133</v>
      </c>
      <c r="G289" s="69" t="s">
        <v>143</v>
      </c>
      <c r="H289" s="69" t="s">
        <v>107</v>
      </c>
      <c r="I289" s="69" t="s">
        <v>138</v>
      </c>
      <c r="J289" s="70" t="s">
        <v>35</v>
      </c>
      <c r="K289" s="70" t="s">
        <v>147</v>
      </c>
      <c r="L289" s="71">
        <v>180376</v>
      </c>
      <c r="M289" s="71">
        <v>1771721</v>
      </c>
      <c r="N289" s="71">
        <v>827528</v>
      </c>
      <c r="O289" s="70" t="s">
        <v>59</v>
      </c>
      <c r="P289" s="72">
        <v>0</v>
      </c>
      <c r="Q289" s="72">
        <f t="shared" si="21"/>
        <v>0</v>
      </c>
      <c r="R289" s="72">
        <f t="shared" si="22"/>
        <v>0</v>
      </c>
      <c r="S289" s="72">
        <f t="shared" si="23"/>
        <v>0</v>
      </c>
      <c r="T289" s="94">
        <f t="shared" si="24"/>
        <v>0.46707579805172483</v>
      </c>
      <c r="U289" s="101">
        <f t="shared" si="25"/>
        <v>0.10180835470144566</v>
      </c>
      <c r="V289" s="73">
        <v>2024</v>
      </c>
      <c r="W289" s="77" t="s">
        <v>137</v>
      </c>
    </row>
    <row r="290" spans="1:23" x14ac:dyDescent="0.2">
      <c r="A290" s="68">
        <v>1028</v>
      </c>
      <c r="B290" s="69" t="s">
        <v>70</v>
      </c>
      <c r="C290" s="69" t="s">
        <v>2</v>
      </c>
      <c r="D290" s="69" t="s">
        <v>39</v>
      </c>
      <c r="E290" s="69" t="s">
        <v>106</v>
      </c>
      <c r="F290" s="69" t="s">
        <v>133</v>
      </c>
      <c r="G290" s="69" t="s">
        <v>143</v>
      </c>
      <c r="H290" s="69" t="s">
        <v>107</v>
      </c>
      <c r="I290" s="69" t="s">
        <v>138</v>
      </c>
      <c r="J290" s="70" t="s">
        <v>35</v>
      </c>
      <c r="K290" s="70" t="s">
        <v>147</v>
      </c>
      <c r="L290" s="71">
        <v>180376</v>
      </c>
      <c r="M290" s="71">
        <v>1771721</v>
      </c>
      <c r="N290" s="71">
        <v>827528</v>
      </c>
      <c r="O290" s="70" t="s">
        <v>60</v>
      </c>
      <c r="P290" s="72">
        <v>0</v>
      </c>
      <c r="Q290" s="72">
        <f t="shared" si="21"/>
        <v>0</v>
      </c>
      <c r="R290" s="72">
        <f t="shared" si="22"/>
        <v>0</v>
      </c>
      <c r="S290" s="72">
        <f t="shared" si="23"/>
        <v>0</v>
      </c>
      <c r="T290" s="94">
        <f t="shared" si="24"/>
        <v>0.46707579805172483</v>
      </c>
      <c r="U290" s="101">
        <f t="shared" si="25"/>
        <v>0.10180835470144566</v>
      </c>
      <c r="V290" s="73">
        <v>2024</v>
      </c>
      <c r="W290" s="77" t="s">
        <v>137</v>
      </c>
    </row>
    <row r="291" spans="1:23" x14ac:dyDescent="0.2">
      <c r="A291" s="68">
        <v>1029</v>
      </c>
      <c r="B291" s="69" t="s">
        <v>70</v>
      </c>
      <c r="C291" s="69" t="s">
        <v>2</v>
      </c>
      <c r="D291" s="69" t="s">
        <v>39</v>
      </c>
      <c r="E291" s="69" t="s">
        <v>106</v>
      </c>
      <c r="F291" s="69" t="s">
        <v>133</v>
      </c>
      <c r="G291" s="69" t="s">
        <v>143</v>
      </c>
      <c r="H291" s="69" t="s">
        <v>107</v>
      </c>
      <c r="I291" s="69" t="s">
        <v>138</v>
      </c>
      <c r="J291" s="70" t="s">
        <v>35</v>
      </c>
      <c r="K291" s="70" t="s">
        <v>147</v>
      </c>
      <c r="L291" s="71">
        <v>180376</v>
      </c>
      <c r="M291" s="71">
        <v>1771721</v>
      </c>
      <c r="N291" s="71">
        <v>827528</v>
      </c>
      <c r="O291" s="70" t="s">
        <v>61</v>
      </c>
      <c r="P291" s="72">
        <v>0</v>
      </c>
      <c r="Q291" s="72">
        <f t="shared" si="21"/>
        <v>0</v>
      </c>
      <c r="R291" s="72">
        <f t="shared" si="22"/>
        <v>0</v>
      </c>
      <c r="S291" s="72">
        <f t="shared" si="23"/>
        <v>0</v>
      </c>
      <c r="T291" s="94">
        <f t="shared" si="24"/>
        <v>0.46707579805172483</v>
      </c>
      <c r="U291" s="101">
        <f t="shared" si="25"/>
        <v>0.10180835470144566</v>
      </c>
      <c r="V291" s="73">
        <v>2024</v>
      </c>
      <c r="W291" s="77" t="s">
        <v>137</v>
      </c>
    </row>
    <row r="292" spans="1:23" s="114" customFormat="1" x14ac:dyDescent="0.2">
      <c r="A292" s="105">
        <v>1101</v>
      </c>
      <c r="B292" s="106" t="s">
        <v>70</v>
      </c>
      <c r="C292" s="106" t="s">
        <v>2</v>
      </c>
      <c r="D292" s="106" t="s">
        <v>39</v>
      </c>
      <c r="E292" s="106" t="s">
        <v>102</v>
      </c>
      <c r="F292" s="106" t="s">
        <v>135</v>
      </c>
      <c r="G292" s="106" t="s">
        <v>142</v>
      </c>
      <c r="H292" s="106" t="s">
        <v>124</v>
      </c>
      <c r="I292" s="106" t="s">
        <v>138</v>
      </c>
      <c r="J292" s="107" t="s">
        <v>35</v>
      </c>
      <c r="K292" s="107" t="s">
        <v>18</v>
      </c>
      <c r="L292" s="108">
        <v>106864</v>
      </c>
      <c r="M292" s="108">
        <v>737134</v>
      </c>
      <c r="N292" s="108">
        <v>777670</v>
      </c>
      <c r="O292" s="107" t="s">
        <v>24</v>
      </c>
      <c r="P292" s="109">
        <v>26930469.09</v>
      </c>
      <c r="Q292" s="109">
        <f t="shared" si="21"/>
        <v>252.00693488920496</v>
      </c>
      <c r="R292" s="109">
        <f t="shared" si="22"/>
        <v>36.534021073509024</v>
      </c>
      <c r="S292" s="109">
        <f t="shared" si="23"/>
        <v>34.629687515269971</v>
      </c>
      <c r="T292" s="110">
        <f t="shared" si="24"/>
        <v>1.0549913584232988</v>
      </c>
      <c r="U292" s="111">
        <f t="shared" si="25"/>
        <v>0.14497228455070585</v>
      </c>
      <c r="V292" s="112">
        <v>2024</v>
      </c>
      <c r="W292" s="113" t="s">
        <v>137</v>
      </c>
    </row>
    <row r="293" spans="1:23" s="114" customFormat="1" x14ac:dyDescent="0.2">
      <c r="A293" s="105">
        <v>1102</v>
      </c>
      <c r="B293" s="106" t="s">
        <v>70</v>
      </c>
      <c r="C293" s="106" t="s">
        <v>2</v>
      </c>
      <c r="D293" s="106" t="s">
        <v>39</v>
      </c>
      <c r="E293" s="106" t="s">
        <v>102</v>
      </c>
      <c r="F293" s="106" t="s">
        <v>135</v>
      </c>
      <c r="G293" s="106" t="s">
        <v>142</v>
      </c>
      <c r="H293" s="106" t="s">
        <v>124</v>
      </c>
      <c r="I293" s="106" t="s">
        <v>138</v>
      </c>
      <c r="J293" s="107" t="s">
        <v>35</v>
      </c>
      <c r="K293" s="107" t="s">
        <v>18</v>
      </c>
      <c r="L293" s="108">
        <v>106864</v>
      </c>
      <c r="M293" s="108">
        <v>737134</v>
      </c>
      <c r="N293" s="108">
        <v>777670</v>
      </c>
      <c r="O293" s="107" t="s">
        <v>44</v>
      </c>
      <c r="P293" s="109">
        <v>0</v>
      </c>
      <c r="Q293" s="109">
        <f t="shared" si="21"/>
        <v>0</v>
      </c>
      <c r="R293" s="109">
        <f t="shared" si="22"/>
        <v>0</v>
      </c>
      <c r="S293" s="109">
        <f t="shared" si="23"/>
        <v>0</v>
      </c>
      <c r="T293" s="110">
        <f t="shared" si="24"/>
        <v>1.0549913584232988</v>
      </c>
      <c r="U293" s="111">
        <f t="shared" si="25"/>
        <v>0.14497228455070585</v>
      </c>
      <c r="V293" s="112">
        <v>2024</v>
      </c>
      <c r="W293" s="113" t="s">
        <v>137</v>
      </c>
    </row>
    <row r="294" spans="1:23" s="114" customFormat="1" x14ac:dyDescent="0.2">
      <c r="A294" s="105">
        <v>1103</v>
      </c>
      <c r="B294" s="106" t="s">
        <v>70</v>
      </c>
      <c r="C294" s="106" t="s">
        <v>2</v>
      </c>
      <c r="D294" s="106" t="s">
        <v>39</v>
      </c>
      <c r="E294" s="106" t="s">
        <v>102</v>
      </c>
      <c r="F294" s="106" t="s">
        <v>135</v>
      </c>
      <c r="G294" s="106" t="s">
        <v>142</v>
      </c>
      <c r="H294" s="106" t="s">
        <v>124</v>
      </c>
      <c r="I294" s="106" t="s">
        <v>138</v>
      </c>
      <c r="J294" s="107" t="s">
        <v>35</v>
      </c>
      <c r="K294" s="107" t="s">
        <v>18</v>
      </c>
      <c r="L294" s="108">
        <v>106864</v>
      </c>
      <c r="M294" s="108">
        <v>737134</v>
      </c>
      <c r="N294" s="108">
        <v>777670</v>
      </c>
      <c r="O294" s="107" t="s">
        <v>45</v>
      </c>
      <c r="P294" s="109">
        <v>1065366.1100000001</v>
      </c>
      <c r="Q294" s="109">
        <f t="shared" si="21"/>
        <v>9.9693639579278344</v>
      </c>
      <c r="R294" s="109">
        <f t="shared" si="22"/>
        <v>1.4452814684982651</v>
      </c>
      <c r="S294" s="109">
        <f t="shared" si="23"/>
        <v>1.3699462625535255</v>
      </c>
      <c r="T294" s="110">
        <f t="shared" si="24"/>
        <v>1.0549913584232988</v>
      </c>
      <c r="U294" s="111">
        <f t="shared" si="25"/>
        <v>0.14497228455070585</v>
      </c>
      <c r="V294" s="112">
        <v>2024</v>
      </c>
      <c r="W294" s="113" t="s">
        <v>137</v>
      </c>
    </row>
    <row r="295" spans="1:23" s="114" customFormat="1" x14ac:dyDescent="0.2">
      <c r="A295" s="105">
        <v>1104</v>
      </c>
      <c r="B295" s="106" t="s">
        <v>70</v>
      </c>
      <c r="C295" s="106" t="s">
        <v>2</v>
      </c>
      <c r="D295" s="106" t="s">
        <v>39</v>
      </c>
      <c r="E295" s="106" t="s">
        <v>102</v>
      </c>
      <c r="F295" s="106" t="s">
        <v>135</v>
      </c>
      <c r="G295" s="106" t="s">
        <v>142</v>
      </c>
      <c r="H295" s="106" t="s">
        <v>124</v>
      </c>
      <c r="I295" s="106" t="s">
        <v>138</v>
      </c>
      <c r="J295" s="107" t="s">
        <v>35</v>
      </c>
      <c r="K295" s="107" t="s">
        <v>18</v>
      </c>
      <c r="L295" s="108">
        <v>106864</v>
      </c>
      <c r="M295" s="108">
        <v>737134</v>
      </c>
      <c r="N295" s="108">
        <v>777670</v>
      </c>
      <c r="O295" s="107" t="s">
        <v>14</v>
      </c>
      <c r="P295" s="109">
        <v>9219862.4499999993</v>
      </c>
      <c r="Q295" s="109">
        <f t="shared" si="21"/>
        <v>86.276598761042067</v>
      </c>
      <c r="R295" s="109">
        <f t="shared" si="22"/>
        <v>12.507715625652866</v>
      </c>
      <c r="S295" s="109">
        <f t="shared" si="23"/>
        <v>11.855751732740107</v>
      </c>
      <c r="T295" s="110">
        <f t="shared" si="24"/>
        <v>1.0549913584232988</v>
      </c>
      <c r="U295" s="111">
        <f t="shared" si="25"/>
        <v>0.14497228455070585</v>
      </c>
      <c r="V295" s="112">
        <v>2024</v>
      </c>
      <c r="W295" s="113" t="s">
        <v>137</v>
      </c>
    </row>
    <row r="296" spans="1:23" s="114" customFormat="1" x14ac:dyDescent="0.2">
      <c r="A296" s="105">
        <v>1105</v>
      </c>
      <c r="B296" s="106" t="s">
        <v>70</v>
      </c>
      <c r="C296" s="106" t="s">
        <v>2</v>
      </c>
      <c r="D296" s="106" t="s">
        <v>39</v>
      </c>
      <c r="E296" s="106" t="s">
        <v>102</v>
      </c>
      <c r="F296" s="106" t="s">
        <v>135</v>
      </c>
      <c r="G296" s="106" t="s">
        <v>142</v>
      </c>
      <c r="H296" s="106" t="s">
        <v>124</v>
      </c>
      <c r="I296" s="106" t="s">
        <v>138</v>
      </c>
      <c r="J296" s="107" t="s">
        <v>35</v>
      </c>
      <c r="K296" s="107" t="s">
        <v>18</v>
      </c>
      <c r="L296" s="108">
        <v>106864</v>
      </c>
      <c r="M296" s="108">
        <v>737134</v>
      </c>
      <c r="N296" s="108">
        <v>777670</v>
      </c>
      <c r="O296" s="107" t="s">
        <v>22</v>
      </c>
      <c r="P296" s="109">
        <v>18270172.300000001</v>
      </c>
      <c r="Q296" s="109">
        <f t="shared" si="21"/>
        <v>170.96657714478215</v>
      </c>
      <c r="R296" s="109">
        <f t="shared" si="22"/>
        <v>24.785415270493562</v>
      </c>
      <c r="S296" s="109">
        <f t="shared" si="23"/>
        <v>23.493477053248807</v>
      </c>
      <c r="T296" s="110">
        <f t="shared" si="24"/>
        <v>1.0549913584232988</v>
      </c>
      <c r="U296" s="111">
        <f t="shared" si="25"/>
        <v>0.14497228455070585</v>
      </c>
      <c r="V296" s="112">
        <v>2024</v>
      </c>
      <c r="W296" s="113" t="s">
        <v>137</v>
      </c>
    </row>
    <row r="297" spans="1:23" s="114" customFormat="1" x14ac:dyDescent="0.2">
      <c r="A297" s="105">
        <v>1106</v>
      </c>
      <c r="B297" s="106" t="s">
        <v>70</v>
      </c>
      <c r="C297" s="106" t="s">
        <v>2</v>
      </c>
      <c r="D297" s="106" t="s">
        <v>39</v>
      </c>
      <c r="E297" s="106" t="s">
        <v>102</v>
      </c>
      <c r="F297" s="106" t="s">
        <v>135</v>
      </c>
      <c r="G297" s="106" t="s">
        <v>142</v>
      </c>
      <c r="H297" s="106" t="s">
        <v>124</v>
      </c>
      <c r="I297" s="106" t="s">
        <v>138</v>
      </c>
      <c r="J297" s="107" t="s">
        <v>35</v>
      </c>
      <c r="K297" s="107" t="s">
        <v>18</v>
      </c>
      <c r="L297" s="108">
        <v>106864</v>
      </c>
      <c r="M297" s="108">
        <v>737134</v>
      </c>
      <c r="N297" s="108">
        <v>777670</v>
      </c>
      <c r="O297" s="107" t="s">
        <v>20</v>
      </c>
      <c r="P297" s="109">
        <v>43661121.420000002</v>
      </c>
      <c r="Q297" s="109">
        <f t="shared" si="21"/>
        <v>408.5671640589909</v>
      </c>
      <c r="R297" s="109">
        <f t="shared" si="22"/>
        <v>59.23091516603494</v>
      </c>
      <c r="S297" s="109">
        <f t="shared" si="23"/>
        <v>56.143507426029039</v>
      </c>
      <c r="T297" s="110">
        <f t="shared" si="24"/>
        <v>1.0549913584232988</v>
      </c>
      <c r="U297" s="111">
        <f t="shared" si="25"/>
        <v>0.14497228455070585</v>
      </c>
      <c r="V297" s="112">
        <v>2024</v>
      </c>
      <c r="W297" s="113" t="s">
        <v>137</v>
      </c>
    </row>
    <row r="298" spans="1:23" s="114" customFormat="1" x14ac:dyDescent="0.2">
      <c r="A298" s="105">
        <v>1107</v>
      </c>
      <c r="B298" s="106" t="s">
        <v>70</v>
      </c>
      <c r="C298" s="106" t="s">
        <v>2</v>
      </c>
      <c r="D298" s="106" t="s">
        <v>39</v>
      </c>
      <c r="E298" s="106" t="s">
        <v>102</v>
      </c>
      <c r="F298" s="106" t="s">
        <v>135</v>
      </c>
      <c r="G298" s="106" t="s">
        <v>142</v>
      </c>
      <c r="H298" s="106" t="s">
        <v>124</v>
      </c>
      <c r="I298" s="106" t="s">
        <v>138</v>
      </c>
      <c r="J298" s="107" t="s">
        <v>35</v>
      </c>
      <c r="K298" s="107" t="s">
        <v>18</v>
      </c>
      <c r="L298" s="108">
        <v>106864</v>
      </c>
      <c r="M298" s="108">
        <v>737134</v>
      </c>
      <c r="N298" s="108">
        <v>777670</v>
      </c>
      <c r="O298" s="107" t="s">
        <v>23</v>
      </c>
      <c r="P298" s="109">
        <v>9315860.4300000016</v>
      </c>
      <c r="Q298" s="109">
        <f t="shared" si="21"/>
        <v>87.174917933073829</v>
      </c>
      <c r="R298" s="109">
        <f t="shared" si="22"/>
        <v>12.637947008278008</v>
      </c>
      <c r="S298" s="109">
        <f t="shared" si="23"/>
        <v>11.979194812709764</v>
      </c>
      <c r="T298" s="110">
        <f t="shared" si="24"/>
        <v>1.0549913584232988</v>
      </c>
      <c r="U298" s="111">
        <f t="shared" si="25"/>
        <v>0.14497228455070585</v>
      </c>
      <c r="V298" s="112">
        <v>2024</v>
      </c>
      <c r="W298" s="113" t="s">
        <v>137</v>
      </c>
    </row>
    <row r="299" spans="1:23" s="114" customFormat="1" x14ac:dyDescent="0.2">
      <c r="A299" s="105">
        <v>1108</v>
      </c>
      <c r="B299" s="106" t="s">
        <v>70</v>
      </c>
      <c r="C299" s="106" t="s">
        <v>2</v>
      </c>
      <c r="D299" s="106" t="s">
        <v>39</v>
      </c>
      <c r="E299" s="106" t="s">
        <v>102</v>
      </c>
      <c r="F299" s="106" t="s">
        <v>135</v>
      </c>
      <c r="G299" s="106" t="s">
        <v>142</v>
      </c>
      <c r="H299" s="106" t="s">
        <v>124</v>
      </c>
      <c r="I299" s="106" t="s">
        <v>138</v>
      </c>
      <c r="J299" s="107" t="s">
        <v>35</v>
      </c>
      <c r="K299" s="107" t="s">
        <v>18</v>
      </c>
      <c r="L299" s="108">
        <v>106864</v>
      </c>
      <c r="M299" s="108">
        <v>737134</v>
      </c>
      <c r="N299" s="108">
        <v>777670</v>
      </c>
      <c r="O299" s="107" t="s">
        <v>25</v>
      </c>
      <c r="P299" s="109">
        <v>4099089.78</v>
      </c>
      <c r="Q299" s="109">
        <f t="shared" si="21"/>
        <v>38.35800437939811</v>
      </c>
      <c r="R299" s="109">
        <f t="shared" si="22"/>
        <v>5.5608475256873238</v>
      </c>
      <c r="S299" s="109">
        <f t="shared" si="23"/>
        <v>5.2709886970051558</v>
      </c>
      <c r="T299" s="110">
        <f t="shared" si="24"/>
        <v>1.0549913584232988</v>
      </c>
      <c r="U299" s="111">
        <f t="shared" si="25"/>
        <v>0.14497228455070585</v>
      </c>
      <c r="V299" s="112">
        <v>2024</v>
      </c>
      <c r="W299" s="113" t="s">
        <v>137</v>
      </c>
    </row>
    <row r="300" spans="1:23" s="114" customFormat="1" x14ac:dyDescent="0.2">
      <c r="A300" s="105">
        <v>1109</v>
      </c>
      <c r="B300" s="106" t="s">
        <v>70</v>
      </c>
      <c r="C300" s="106" t="s">
        <v>2</v>
      </c>
      <c r="D300" s="106" t="s">
        <v>39</v>
      </c>
      <c r="E300" s="106" t="s">
        <v>102</v>
      </c>
      <c r="F300" s="106" t="s">
        <v>135</v>
      </c>
      <c r="G300" s="106" t="s">
        <v>142</v>
      </c>
      <c r="H300" s="106" t="s">
        <v>124</v>
      </c>
      <c r="I300" s="106" t="s">
        <v>138</v>
      </c>
      <c r="J300" s="107" t="s">
        <v>35</v>
      </c>
      <c r="K300" s="107" t="s">
        <v>18</v>
      </c>
      <c r="L300" s="108">
        <v>106864</v>
      </c>
      <c r="M300" s="108">
        <v>737134</v>
      </c>
      <c r="N300" s="108">
        <v>777670</v>
      </c>
      <c r="O300" s="107" t="s">
        <v>46</v>
      </c>
      <c r="P300" s="109">
        <v>0</v>
      </c>
      <c r="Q300" s="109">
        <f t="shared" si="21"/>
        <v>0</v>
      </c>
      <c r="R300" s="109">
        <f t="shared" si="22"/>
        <v>0</v>
      </c>
      <c r="S300" s="109">
        <f t="shared" si="23"/>
        <v>0</v>
      </c>
      <c r="T300" s="110">
        <f t="shared" si="24"/>
        <v>1.0549913584232988</v>
      </c>
      <c r="U300" s="111">
        <f t="shared" si="25"/>
        <v>0.14497228455070585</v>
      </c>
      <c r="V300" s="112">
        <v>2024</v>
      </c>
      <c r="W300" s="113" t="s">
        <v>137</v>
      </c>
    </row>
    <row r="301" spans="1:23" s="114" customFormat="1" x14ac:dyDescent="0.2">
      <c r="A301" s="105">
        <v>1110</v>
      </c>
      <c r="B301" s="106" t="s">
        <v>70</v>
      </c>
      <c r="C301" s="106" t="s">
        <v>2</v>
      </c>
      <c r="D301" s="106" t="s">
        <v>39</v>
      </c>
      <c r="E301" s="106" t="s">
        <v>102</v>
      </c>
      <c r="F301" s="106" t="s">
        <v>135</v>
      </c>
      <c r="G301" s="106" t="s">
        <v>142</v>
      </c>
      <c r="H301" s="106" t="s">
        <v>124</v>
      </c>
      <c r="I301" s="106" t="s">
        <v>138</v>
      </c>
      <c r="J301" s="107" t="s">
        <v>35</v>
      </c>
      <c r="K301" s="107" t="s">
        <v>18</v>
      </c>
      <c r="L301" s="108">
        <v>106864</v>
      </c>
      <c r="M301" s="108">
        <v>737134</v>
      </c>
      <c r="N301" s="108">
        <v>777670</v>
      </c>
      <c r="O301" s="107" t="s">
        <v>34</v>
      </c>
      <c r="P301" s="109">
        <v>4126535.53</v>
      </c>
      <c r="Q301" s="109">
        <f t="shared" si="21"/>
        <v>38.614833152418022</v>
      </c>
      <c r="R301" s="109">
        <f t="shared" si="22"/>
        <v>5.5980805796503752</v>
      </c>
      <c r="S301" s="109">
        <f t="shared" si="23"/>
        <v>5.3062809803644218</v>
      </c>
      <c r="T301" s="110">
        <f t="shared" si="24"/>
        <v>1.0549913584232988</v>
      </c>
      <c r="U301" s="111">
        <f t="shared" si="25"/>
        <v>0.14497228455070585</v>
      </c>
      <c r="V301" s="112">
        <v>2024</v>
      </c>
      <c r="W301" s="113" t="s">
        <v>137</v>
      </c>
    </row>
    <row r="302" spans="1:23" s="114" customFormat="1" x14ac:dyDescent="0.2">
      <c r="A302" s="105">
        <v>1111</v>
      </c>
      <c r="B302" s="106" t="s">
        <v>70</v>
      </c>
      <c r="C302" s="106" t="s">
        <v>2</v>
      </c>
      <c r="D302" s="106" t="s">
        <v>39</v>
      </c>
      <c r="E302" s="106" t="s">
        <v>102</v>
      </c>
      <c r="F302" s="106" t="s">
        <v>135</v>
      </c>
      <c r="G302" s="106" t="s">
        <v>142</v>
      </c>
      <c r="H302" s="106" t="s">
        <v>124</v>
      </c>
      <c r="I302" s="106" t="s">
        <v>138</v>
      </c>
      <c r="J302" s="107" t="s">
        <v>35</v>
      </c>
      <c r="K302" s="107" t="s">
        <v>18</v>
      </c>
      <c r="L302" s="108">
        <v>106864</v>
      </c>
      <c r="M302" s="108">
        <v>737134</v>
      </c>
      <c r="N302" s="108">
        <v>777670</v>
      </c>
      <c r="O302" s="107" t="s">
        <v>26</v>
      </c>
      <c r="P302" s="109">
        <v>8752195.9900000002</v>
      </c>
      <c r="Q302" s="109">
        <f t="shared" si="21"/>
        <v>81.90032181089984</v>
      </c>
      <c r="R302" s="109">
        <f t="shared" si="22"/>
        <v>11.873276758364151</v>
      </c>
      <c r="S302" s="109">
        <f t="shared" si="23"/>
        <v>11.254382951637584</v>
      </c>
      <c r="T302" s="110">
        <f t="shared" si="24"/>
        <v>1.0549913584232988</v>
      </c>
      <c r="U302" s="111">
        <f t="shared" si="25"/>
        <v>0.14497228455070585</v>
      </c>
      <c r="V302" s="112">
        <v>2024</v>
      </c>
      <c r="W302" s="113" t="s">
        <v>137</v>
      </c>
    </row>
    <row r="303" spans="1:23" s="114" customFormat="1" x14ac:dyDescent="0.2">
      <c r="A303" s="105">
        <v>1112</v>
      </c>
      <c r="B303" s="106" t="s">
        <v>70</v>
      </c>
      <c r="C303" s="106" t="s">
        <v>2</v>
      </c>
      <c r="D303" s="106" t="s">
        <v>39</v>
      </c>
      <c r="E303" s="106" t="s">
        <v>102</v>
      </c>
      <c r="F303" s="106" t="s">
        <v>135</v>
      </c>
      <c r="G303" s="106" t="s">
        <v>142</v>
      </c>
      <c r="H303" s="106" t="s">
        <v>124</v>
      </c>
      <c r="I303" s="106" t="s">
        <v>138</v>
      </c>
      <c r="J303" s="107" t="s">
        <v>35</v>
      </c>
      <c r="K303" s="107" t="s">
        <v>18</v>
      </c>
      <c r="L303" s="108">
        <v>106864</v>
      </c>
      <c r="M303" s="108">
        <v>737134</v>
      </c>
      <c r="N303" s="108">
        <v>777670</v>
      </c>
      <c r="O303" s="107" t="s">
        <v>28</v>
      </c>
      <c r="P303" s="109">
        <v>2070838.23</v>
      </c>
      <c r="Q303" s="109">
        <f t="shared" si="21"/>
        <v>19.37825862778859</v>
      </c>
      <c r="R303" s="109">
        <f t="shared" si="22"/>
        <v>2.8093104238849382</v>
      </c>
      <c r="S303" s="109">
        <f t="shared" si="23"/>
        <v>2.6628752941479035</v>
      </c>
      <c r="T303" s="110">
        <f t="shared" si="24"/>
        <v>1.0549913584232988</v>
      </c>
      <c r="U303" s="111">
        <f t="shared" si="25"/>
        <v>0.14497228455070585</v>
      </c>
      <c r="V303" s="112">
        <v>2024</v>
      </c>
      <c r="W303" s="113" t="s">
        <v>137</v>
      </c>
    </row>
    <row r="304" spans="1:23" s="114" customFormat="1" x14ac:dyDescent="0.2">
      <c r="A304" s="105">
        <v>1113</v>
      </c>
      <c r="B304" s="106" t="s">
        <v>70</v>
      </c>
      <c r="C304" s="106" t="s">
        <v>2</v>
      </c>
      <c r="D304" s="106" t="s">
        <v>39</v>
      </c>
      <c r="E304" s="106" t="s">
        <v>102</v>
      </c>
      <c r="F304" s="106" t="s">
        <v>135</v>
      </c>
      <c r="G304" s="106" t="s">
        <v>142</v>
      </c>
      <c r="H304" s="106" t="s">
        <v>124</v>
      </c>
      <c r="I304" s="106" t="s">
        <v>138</v>
      </c>
      <c r="J304" s="107" t="s">
        <v>35</v>
      </c>
      <c r="K304" s="107" t="s">
        <v>18</v>
      </c>
      <c r="L304" s="108">
        <v>106864</v>
      </c>
      <c r="M304" s="108">
        <v>737134</v>
      </c>
      <c r="N304" s="108">
        <v>777670</v>
      </c>
      <c r="O304" s="107" t="s">
        <v>47</v>
      </c>
      <c r="P304" s="109">
        <v>10225004.23</v>
      </c>
      <c r="Q304" s="109">
        <f t="shared" si="21"/>
        <v>95.682402212157513</v>
      </c>
      <c r="R304" s="109">
        <f t="shared" si="22"/>
        <v>13.871296439995985</v>
      </c>
      <c r="S304" s="109">
        <f t="shared" si="23"/>
        <v>13.148255982614735</v>
      </c>
      <c r="T304" s="110">
        <f t="shared" si="24"/>
        <v>1.0549913584232988</v>
      </c>
      <c r="U304" s="111">
        <f t="shared" si="25"/>
        <v>0.14497228455070585</v>
      </c>
      <c r="V304" s="112">
        <v>2024</v>
      </c>
      <c r="W304" s="113" t="s">
        <v>137</v>
      </c>
    </row>
    <row r="305" spans="1:23" s="114" customFormat="1" x14ac:dyDescent="0.2">
      <c r="A305" s="105">
        <v>1114</v>
      </c>
      <c r="B305" s="106" t="s">
        <v>70</v>
      </c>
      <c r="C305" s="106" t="s">
        <v>2</v>
      </c>
      <c r="D305" s="106" t="s">
        <v>39</v>
      </c>
      <c r="E305" s="106" t="s">
        <v>102</v>
      </c>
      <c r="F305" s="106" t="s">
        <v>135</v>
      </c>
      <c r="G305" s="106" t="s">
        <v>142</v>
      </c>
      <c r="H305" s="106" t="s">
        <v>124</v>
      </c>
      <c r="I305" s="106" t="s">
        <v>138</v>
      </c>
      <c r="J305" s="107" t="s">
        <v>35</v>
      </c>
      <c r="K305" s="107" t="s">
        <v>18</v>
      </c>
      <c r="L305" s="108">
        <v>106864</v>
      </c>
      <c r="M305" s="108">
        <v>737134</v>
      </c>
      <c r="N305" s="108">
        <v>777670</v>
      </c>
      <c r="O305" s="107" t="s">
        <v>27</v>
      </c>
      <c r="P305" s="109">
        <v>2262972.0499999998</v>
      </c>
      <c r="Q305" s="109">
        <f t="shared" si="21"/>
        <v>21.176187022757897</v>
      </c>
      <c r="R305" s="109">
        <f t="shared" si="22"/>
        <v>3.0699602107622219</v>
      </c>
      <c r="S305" s="109">
        <f t="shared" si="23"/>
        <v>2.9099387272236292</v>
      </c>
      <c r="T305" s="110">
        <f t="shared" si="24"/>
        <v>1.0549913584232988</v>
      </c>
      <c r="U305" s="111">
        <f t="shared" si="25"/>
        <v>0.14497228455070585</v>
      </c>
      <c r="V305" s="112">
        <v>2024</v>
      </c>
      <c r="W305" s="113" t="s">
        <v>137</v>
      </c>
    </row>
    <row r="306" spans="1:23" s="114" customFormat="1" x14ac:dyDescent="0.2">
      <c r="A306" s="105">
        <v>1115</v>
      </c>
      <c r="B306" s="106" t="s">
        <v>70</v>
      </c>
      <c r="C306" s="106" t="s">
        <v>2</v>
      </c>
      <c r="D306" s="106" t="s">
        <v>39</v>
      </c>
      <c r="E306" s="106" t="s">
        <v>102</v>
      </c>
      <c r="F306" s="106" t="s">
        <v>135</v>
      </c>
      <c r="G306" s="106" t="s">
        <v>142</v>
      </c>
      <c r="H306" s="106" t="s">
        <v>124</v>
      </c>
      <c r="I306" s="106" t="s">
        <v>138</v>
      </c>
      <c r="J306" s="107" t="s">
        <v>35</v>
      </c>
      <c r="K306" s="107" t="s">
        <v>18</v>
      </c>
      <c r="L306" s="108">
        <v>106864</v>
      </c>
      <c r="M306" s="108">
        <v>737134</v>
      </c>
      <c r="N306" s="108">
        <v>777670</v>
      </c>
      <c r="O306" s="107" t="s">
        <v>48</v>
      </c>
      <c r="P306" s="109">
        <v>0</v>
      </c>
      <c r="Q306" s="109">
        <f t="shared" si="21"/>
        <v>0</v>
      </c>
      <c r="R306" s="109">
        <f t="shared" si="22"/>
        <v>0</v>
      </c>
      <c r="S306" s="109">
        <f t="shared" si="23"/>
        <v>0</v>
      </c>
      <c r="T306" s="110">
        <f t="shared" si="24"/>
        <v>1.0549913584232988</v>
      </c>
      <c r="U306" s="111">
        <f t="shared" si="25"/>
        <v>0.14497228455070585</v>
      </c>
      <c r="V306" s="112">
        <v>2024</v>
      </c>
      <c r="W306" s="113" t="s">
        <v>137</v>
      </c>
    </row>
    <row r="307" spans="1:23" s="114" customFormat="1" x14ac:dyDescent="0.2">
      <c r="A307" s="105">
        <v>1116</v>
      </c>
      <c r="B307" s="106" t="s">
        <v>70</v>
      </c>
      <c r="C307" s="106" t="s">
        <v>2</v>
      </c>
      <c r="D307" s="106" t="s">
        <v>39</v>
      </c>
      <c r="E307" s="106" t="s">
        <v>102</v>
      </c>
      <c r="F307" s="106" t="s">
        <v>135</v>
      </c>
      <c r="G307" s="106" t="s">
        <v>142</v>
      </c>
      <c r="H307" s="106" t="s">
        <v>124</v>
      </c>
      <c r="I307" s="106" t="s">
        <v>138</v>
      </c>
      <c r="J307" s="107" t="s">
        <v>35</v>
      </c>
      <c r="K307" s="107" t="s">
        <v>18</v>
      </c>
      <c r="L307" s="108">
        <v>106864</v>
      </c>
      <c r="M307" s="108">
        <v>737134</v>
      </c>
      <c r="N307" s="108">
        <v>777670</v>
      </c>
      <c r="O307" s="107" t="s">
        <v>49</v>
      </c>
      <c r="P307" s="109">
        <v>7358816.3300000001</v>
      </c>
      <c r="Q307" s="109">
        <f t="shared" si="21"/>
        <v>68.861509301542142</v>
      </c>
      <c r="R307" s="109">
        <f t="shared" si="22"/>
        <v>9.9830103210542447</v>
      </c>
      <c r="S307" s="109">
        <f t="shared" si="23"/>
        <v>9.4626465338768373</v>
      </c>
      <c r="T307" s="110">
        <f t="shared" si="24"/>
        <v>1.0549913584232988</v>
      </c>
      <c r="U307" s="111">
        <f t="shared" si="25"/>
        <v>0.14497228455070585</v>
      </c>
      <c r="V307" s="112">
        <v>2024</v>
      </c>
      <c r="W307" s="113" t="s">
        <v>137</v>
      </c>
    </row>
    <row r="308" spans="1:23" s="114" customFormat="1" x14ac:dyDescent="0.2">
      <c r="A308" s="105">
        <v>1117</v>
      </c>
      <c r="B308" s="106" t="s">
        <v>70</v>
      </c>
      <c r="C308" s="106" t="s">
        <v>2</v>
      </c>
      <c r="D308" s="106" t="s">
        <v>39</v>
      </c>
      <c r="E308" s="106" t="s">
        <v>102</v>
      </c>
      <c r="F308" s="106" t="s">
        <v>135</v>
      </c>
      <c r="G308" s="106" t="s">
        <v>142</v>
      </c>
      <c r="H308" s="106" t="s">
        <v>124</v>
      </c>
      <c r="I308" s="106" t="s">
        <v>138</v>
      </c>
      <c r="J308" s="107" t="s">
        <v>35</v>
      </c>
      <c r="K308" s="107" t="s">
        <v>18</v>
      </c>
      <c r="L308" s="108">
        <v>106864</v>
      </c>
      <c r="M308" s="108">
        <v>737134</v>
      </c>
      <c r="N308" s="108">
        <v>777670</v>
      </c>
      <c r="O308" s="107" t="s">
        <v>50</v>
      </c>
      <c r="P308" s="109">
        <v>0</v>
      </c>
      <c r="Q308" s="109">
        <f t="shared" si="21"/>
        <v>0</v>
      </c>
      <c r="R308" s="109">
        <f t="shared" si="22"/>
        <v>0</v>
      </c>
      <c r="S308" s="109">
        <f t="shared" si="23"/>
        <v>0</v>
      </c>
      <c r="T308" s="110">
        <f t="shared" si="24"/>
        <v>1.0549913584232988</v>
      </c>
      <c r="U308" s="111">
        <f t="shared" si="25"/>
        <v>0.14497228455070585</v>
      </c>
      <c r="V308" s="112">
        <v>2024</v>
      </c>
      <c r="W308" s="113" t="s">
        <v>137</v>
      </c>
    </row>
    <row r="309" spans="1:23" s="114" customFormat="1" x14ac:dyDescent="0.2">
      <c r="A309" s="105">
        <v>1118</v>
      </c>
      <c r="B309" s="106" t="s">
        <v>70</v>
      </c>
      <c r="C309" s="106" t="s">
        <v>2</v>
      </c>
      <c r="D309" s="106" t="s">
        <v>39</v>
      </c>
      <c r="E309" s="106" t="s">
        <v>102</v>
      </c>
      <c r="F309" s="106" t="s">
        <v>135</v>
      </c>
      <c r="G309" s="106" t="s">
        <v>142</v>
      </c>
      <c r="H309" s="106" t="s">
        <v>124</v>
      </c>
      <c r="I309" s="106" t="s">
        <v>138</v>
      </c>
      <c r="J309" s="107" t="s">
        <v>35</v>
      </c>
      <c r="K309" s="107" t="s">
        <v>18</v>
      </c>
      <c r="L309" s="108">
        <v>106864</v>
      </c>
      <c r="M309" s="108">
        <v>737134</v>
      </c>
      <c r="N309" s="108">
        <v>777670</v>
      </c>
      <c r="O309" s="107" t="s">
        <v>51</v>
      </c>
      <c r="P309" s="109">
        <v>18114509.440000001</v>
      </c>
      <c r="Q309" s="109">
        <f t="shared" si="21"/>
        <v>169.50993262464442</v>
      </c>
      <c r="R309" s="109">
        <f t="shared" si="22"/>
        <v>24.574242186630926</v>
      </c>
      <c r="S309" s="109">
        <f t="shared" si="23"/>
        <v>23.293311353144652</v>
      </c>
      <c r="T309" s="110">
        <f t="shared" si="24"/>
        <v>1.0549913584232988</v>
      </c>
      <c r="U309" s="111">
        <f t="shared" si="25"/>
        <v>0.14497228455070585</v>
      </c>
      <c r="V309" s="112">
        <v>2024</v>
      </c>
      <c r="W309" s="113" t="s">
        <v>137</v>
      </c>
    </row>
    <row r="310" spans="1:23" s="114" customFormat="1" x14ac:dyDescent="0.2">
      <c r="A310" s="105">
        <v>1119</v>
      </c>
      <c r="B310" s="106" t="s">
        <v>70</v>
      </c>
      <c r="C310" s="106" t="s">
        <v>2</v>
      </c>
      <c r="D310" s="106" t="s">
        <v>39</v>
      </c>
      <c r="E310" s="106" t="s">
        <v>102</v>
      </c>
      <c r="F310" s="106" t="s">
        <v>135</v>
      </c>
      <c r="G310" s="106" t="s">
        <v>142</v>
      </c>
      <c r="H310" s="106" t="s">
        <v>124</v>
      </c>
      <c r="I310" s="106" t="s">
        <v>138</v>
      </c>
      <c r="J310" s="107" t="s">
        <v>35</v>
      </c>
      <c r="K310" s="107" t="s">
        <v>18</v>
      </c>
      <c r="L310" s="108">
        <v>106864</v>
      </c>
      <c r="M310" s="108">
        <v>737134</v>
      </c>
      <c r="N310" s="108">
        <v>777670</v>
      </c>
      <c r="O310" s="107" t="s">
        <v>52</v>
      </c>
      <c r="P310" s="109">
        <v>0</v>
      </c>
      <c r="Q310" s="109">
        <f t="shared" si="21"/>
        <v>0</v>
      </c>
      <c r="R310" s="109">
        <f t="shared" si="22"/>
        <v>0</v>
      </c>
      <c r="S310" s="109">
        <f t="shared" si="23"/>
        <v>0</v>
      </c>
      <c r="T310" s="110">
        <f t="shared" si="24"/>
        <v>1.0549913584232988</v>
      </c>
      <c r="U310" s="111">
        <f t="shared" si="25"/>
        <v>0.14497228455070585</v>
      </c>
      <c r="V310" s="112">
        <v>2024</v>
      </c>
      <c r="W310" s="113" t="s">
        <v>137</v>
      </c>
    </row>
    <row r="311" spans="1:23" s="114" customFormat="1" x14ac:dyDescent="0.2">
      <c r="A311" s="105">
        <v>1120</v>
      </c>
      <c r="B311" s="106" t="s">
        <v>70</v>
      </c>
      <c r="C311" s="106" t="s">
        <v>2</v>
      </c>
      <c r="D311" s="106" t="s">
        <v>39</v>
      </c>
      <c r="E311" s="106" t="s">
        <v>102</v>
      </c>
      <c r="F311" s="106" t="s">
        <v>135</v>
      </c>
      <c r="G311" s="106" t="s">
        <v>142</v>
      </c>
      <c r="H311" s="106" t="s">
        <v>124</v>
      </c>
      <c r="I311" s="106" t="s">
        <v>138</v>
      </c>
      <c r="J311" s="107" t="s">
        <v>35</v>
      </c>
      <c r="K311" s="107" t="s">
        <v>18</v>
      </c>
      <c r="L311" s="108">
        <v>106864</v>
      </c>
      <c r="M311" s="108">
        <v>737134</v>
      </c>
      <c r="N311" s="108">
        <v>777670</v>
      </c>
      <c r="O311" s="107" t="s">
        <v>53</v>
      </c>
      <c r="P311" s="109">
        <v>0</v>
      </c>
      <c r="Q311" s="109">
        <f t="shared" si="21"/>
        <v>0</v>
      </c>
      <c r="R311" s="109">
        <f t="shared" si="22"/>
        <v>0</v>
      </c>
      <c r="S311" s="109">
        <f t="shared" si="23"/>
        <v>0</v>
      </c>
      <c r="T311" s="110">
        <f t="shared" si="24"/>
        <v>1.0549913584232988</v>
      </c>
      <c r="U311" s="111">
        <f t="shared" si="25"/>
        <v>0.14497228455070585</v>
      </c>
      <c r="V311" s="112">
        <v>2024</v>
      </c>
      <c r="W311" s="113" t="s">
        <v>137</v>
      </c>
    </row>
    <row r="312" spans="1:23" s="114" customFormat="1" x14ac:dyDescent="0.2">
      <c r="A312" s="105">
        <v>1121</v>
      </c>
      <c r="B312" s="106" t="s">
        <v>70</v>
      </c>
      <c r="C312" s="106" t="s">
        <v>2</v>
      </c>
      <c r="D312" s="106" t="s">
        <v>39</v>
      </c>
      <c r="E312" s="106" t="s">
        <v>102</v>
      </c>
      <c r="F312" s="106" t="s">
        <v>135</v>
      </c>
      <c r="G312" s="106" t="s">
        <v>142</v>
      </c>
      <c r="H312" s="106" t="s">
        <v>124</v>
      </c>
      <c r="I312" s="106" t="s">
        <v>138</v>
      </c>
      <c r="J312" s="107" t="s">
        <v>35</v>
      </c>
      <c r="K312" s="107" t="s">
        <v>18</v>
      </c>
      <c r="L312" s="108">
        <v>106864</v>
      </c>
      <c r="M312" s="108">
        <v>737134</v>
      </c>
      <c r="N312" s="108">
        <v>777670</v>
      </c>
      <c r="O312" s="107" t="s">
        <v>55</v>
      </c>
      <c r="P312" s="109">
        <v>100000000</v>
      </c>
      <c r="Q312" s="109">
        <f t="shared" si="21"/>
        <v>935.76882766881272</v>
      </c>
      <c r="R312" s="109">
        <f t="shared" si="22"/>
        <v>135.66054475848352</v>
      </c>
      <c r="S312" s="109">
        <f t="shared" si="23"/>
        <v>128.58924736713516</v>
      </c>
      <c r="T312" s="110">
        <f t="shared" si="24"/>
        <v>1.0549913584232988</v>
      </c>
      <c r="U312" s="111">
        <f t="shared" si="25"/>
        <v>0.14497228455070585</v>
      </c>
      <c r="V312" s="112">
        <v>2024</v>
      </c>
      <c r="W312" s="113" t="s">
        <v>137</v>
      </c>
    </row>
    <row r="313" spans="1:23" s="114" customFormat="1" x14ac:dyDescent="0.2">
      <c r="A313" s="105">
        <v>1122</v>
      </c>
      <c r="B313" s="106" t="s">
        <v>70</v>
      </c>
      <c r="C313" s="106" t="s">
        <v>2</v>
      </c>
      <c r="D313" s="106" t="s">
        <v>39</v>
      </c>
      <c r="E313" s="106" t="s">
        <v>102</v>
      </c>
      <c r="F313" s="106" t="s">
        <v>135</v>
      </c>
      <c r="G313" s="106" t="s">
        <v>142</v>
      </c>
      <c r="H313" s="106" t="s">
        <v>124</v>
      </c>
      <c r="I313" s="106" t="s">
        <v>138</v>
      </c>
      <c r="J313" s="107" t="s">
        <v>35</v>
      </c>
      <c r="K313" s="107" t="s">
        <v>18</v>
      </c>
      <c r="L313" s="108">
        <v>106864</v>
      </c>
      <c r="M313" s="108">
        <v>737134</v>
      </c>
      <c r="N313" s="108">
        <v>777670</v>
      </c>
      <c r="O313" s="107" t="s">
        <v>54</v>
      </c>
      <c r="P313" s="109">
        <v>0</v>
      </c>
      <c r="Q313" s="109">
        <f t="shared" si="21"/>
        <v>0</v>
      </c>
      <c r="R313" s="109">
        <f t="shared" si="22"/>
        <v>0</v>
      </c>
      <c r="S313" s="109">
        <f t="shared" si="23"/>
        <v>0</v>
      </c>
      <c r="T313" s="110">
        <f t="shared" si="24"/>
        <v>1.0549913584232988</v>
      </c>
      <c r="U313" s="111">
        <f t="shared" si="25"/>
        <v>0.14497228455070585</v>
      </c>
      <c r="V313" s="112">
        <v>2024</v>
      </c>
      <c r="W313" s="113" t="s">
        <v>137</v>
      </c>
    </row>
    <row r="314" spans="1:23" s="114" customFormat="1" x14ac:dyDescent="0.2">
      <c r="A314" s="105">
        <v>1123</v>
      </c>
      <c r="B314" s="106" t="s">
        <v>70</v>
      </c>
      <c r="C314" s="106" t="s">
        <v>2</v>
      </c>
      <c r="D314" s="106" t="s">
        <v>39</v>
      </c>
      <c r="E314" s="106" t="s">
        <v>102</v>
      </c>
      <c r="F314" s="106" t="s">
        <v>135</v>
      </c>
      <c r="G314" s="106" t="s">
        <v>142</v>
      </c>
      <c r="H314" s="106" t="s">
        <v>124</v>
      </c>
      <c r="I314" s="106" t="s">
        <v>138</v>
      </c>
      <c r="J314" s="107" t="s">
        <v>35</v>
      </c>
      <c r="K314" s="107" t="s">
        <v>18</v>
      </c>
      <c r="L314" s="108">
        <v>106864</v>
      </c>
      <c r="M314" s="108">
        <v>737134</v>
      </c>
      <c r="N314" s="108">
        <v>777670</v>
      </c>
      <c r="O314" s="107" t="s">
        <v>56</v>
      </c>
      <c r="P314" s="109">
        <v>0</v>
      </c>
      <c r="Q314" s="109">
        <f t="shared" si="21"/>
        <v>0</v>
      </c>
      <c r="R314" s="109">
        <f t="shared" si="22"/>
        <v>0</v>
      </c>
      <c r="S314" s="109">
        <f t="shared" si="23"/>
        <v>0</v>
      </c>
      <c r="T314" s="110">
        <f t="shared" si="24"/>
        <v>1.0549913584232988</v>
      </c>
      <c r="U314" s="111">
        <f t="shared" si="25"/>
        <v>0.14497228455070585</v>
      </c>
      <c r="V314" s="112">
        <v>2024</v>
      </c>
      <c r="W314" s="113" t="s">
        <v>137</v>
      </c>
    </row>
    <row r="315" spans="1:23" s="114" customFormat="1" x14ac:dyDescent="0.2">
      <c r="A315" s="105">
        <v>1124</v>
      </c>
      <c r="B315" s="106" t="s">
        <v>70</v>
      </c>
      <c r="C315" s="106" t="s">
        <v>2</v>
      </c>
      <c r="D315" s="106" t="s">
        <v>39</v>
      </c>
      <c r="E315" s="106" t="s">
        <v>102</v>
      </c>
      <c r="F315" s="106" t="s">
        <v>135</v>
      </c>
      <c r="G315" s="106" t="s">
        <v>142</v>
      </c>
      <c r="H315" s="106" t="s">
        <v>124</v>
      </c>
      <c r="I315" s="106" t="s">
        <v>138</v>
      </c>
      <c r="J315" s="107" t="s">
        <v>35</v>
      </c>
      <c r="K315" s="107" t="s">
        <v>18</v>
      </c>
      <c r="L315" s="108">
        <v>106864</v>
      </c>
      <c r="M315" s="108">
        <v>737134</v>
      </c>
      <c r="N315" s="108">
        <v>777670</v>
      </c>
      <c r="O315" s="107" t="s">
        <v>73</v>
      </c>
      <c r="P315" s="109">
        <v>11756488.02</v>
      </c>
      <c r="Q315" s="109">
        <f t="shared" si="21"/>
        <v>110.0135501197784</v>
      </c>
      <c r="R315" s="109">
        <f t="shared" si="22"/>
        <v>15.948915692397854</v>
      </c>
      <c r="S315" s="109">
        <f t="shared" si="23"/>
        <v>15.117579461725409</v>
      </c>
      <c r="T315" s="110">
        <f t="shared" si="24"/>
        <v>1.0549913584232988</v>
      </c>
      <c r="U315" s="111">
        <f t="shared" si="25"/>
        <v>0.14497228455070585</v>
      </c>
      <c r="V315" s="112">
        <v>2024</v>
      </c>
      <c r="W315" s="113" t="s">
        <v>137</v>
      </c>
    </row>
    <row r="316" spans="1:23" s="114" customFormat="1" x14ac:dyDescent="0.2">
      <c r="A316" s="105">
        <v>1125</v>
      </c>
      <c r="B316" s="106" t="s">
        <v>70</v>
      </c>
      <c r="C316" s="106" t="s">
        <v>2</v>
      </c>
      <c r="D316" s="106" t="s">
        <v>39</v>
      </c>
      <c r="E316" s="106" t="s">
        <v>102</v>
      </c>
      <c r="F316" s="106" t="s">
        <v>135</v>
      </c>
      <c r="G316" s="106" t="s">
        <v>142</v>
      </c>
      <c r="H316" s="106" t="s">
        <v>124</v>
      </c>
      <c r="I316" s="106" t="s">
        <v>138</v>
      </c>
      <c r="J316" s="107" t="s">
        <v>35</v>
      </c>
      <c r="K316" s="107" t="s">
        <v>18</v>
      </c>
      <c r="L316" s="108">
        <v>106864</v>
      </c>
      <c r="M316" s="108">
        <v>737134</v>
      </c>
      <c r="N316" s="108">
        <v>777670</v>
      </c>
      <c r="O316" s="107" t="s">
        <v>57</v>
      </c>
      <c r="P316" s="109">
        <v>15555600</v>
      </c>
      <c r="Q316" s="109">
        <f t="shared" si="21"/>
        <v>145.56445575684984</v>
      </c>
      <c r="R316" s="109">
        <f t="shared" si="22"/>
        <v>21.102811700450665</v>
      </c>
      <c r="S316" s="109">
        <f t="shared" si="23"/>
        <v>20.002828963442077</v>
      </c>
      <c r="T316" s="110">
        <f t="shared" si="24"/>
        <v>1.0549913584232988</v>
      </c>
      <c r="U316" s="111">
        <f t="shared" si="25"/>
        <v>0.14497228455070585</v>
      </c>
      <c r="V316" s="112">
        <v>2024</v>
      </c>
      <c r="W316" s="113" t="s">
        <v>137</v>
      </c>
    </row>
    <row r="317" spans="1:23" s="114" customFormat="1" x14ac:dyDescent="0.2">
      <c r="A317" s="105">
        <v>1126</v>
      </c>
      <c r="B317" s="106" t="s">
        <v>70</v>
      </c>
      <c r="C317" s="106" t="s">
        <v>2</v>
      </c>
      <c r="D317" s="106" t="s">
        <v>39</v>
      </c>
      <c r="E317" s="106" t="s">
        <v>102</v>
      </c>
      <c r="F317" s="106" t="s">
        <v>135</v>
      </c>
      <c r="G317" s="106" t="s">
        <v>142</v>
      </c>
      <c r="H317" s="106" t="s">
        <v>124</v>
      </c>
      <c r="I317" s="106" t="s">
        <v>138</v>
      </c>
      <c r="J317" s="107" t="s">
        <v>35</v>
      </c>
      <c r="K317" s="107" t="s">
        <v>18</v>
      </c>
      <c r="L317" s="108">
        <v>106864</v>
      </c>
      <c r="M317" s="108">
        <v>737134</v>
      </c>
      <c r="N317" s="108">
        <v>777670</v>
      </c>
      <c r="O317" s="107" t="s">
        <v>58</v>
      </c>
      <c r="P317" s="109">
        <v>0</v>
      </c>
      <c r="Q317" s="109">
        <f t="shared" si="21"/>
        <v>0</v>
      </c>
      <c r="R317" s="109">
        <f t="shared" si="22"/>
        <v>0</v>
      </c>
      <c r="S317" s="109">
        <f t="shared" si="23"/>
        <v>0</v>
      </c>
      <c r="T317" s="110">
        <f t="shared" si="24"/>
        <v>1.0549913584232988</v>
      </c>
      <c r="U317" s="111">
        <f t="shared" si="25"/>
        <v>0.14497228455070585</v>
      </c>
      <c r="V317" s="112">
        <v>2024</v>
      </c>
      <c r="W317" s="113" t="s">
        <v>137</v>
      </c>
    </row>
    <row r="318" spans="1:23" s="114" customFormat="1" x14ac:dyDescent="0.2">
      <c r="A318" s="105">
        <v>1127</v>
      </c>
      <c r="B318" s="106" t="s">
        <v>70</v>
      </c>
      <c r="C318" s="106" t="s">
        <v>2</v>
      </c>
      <c r="D318" s="106" t="s">
        <v>39</v>
      </c>
      <c r="E318" s="106" t="s">
        <v>102</v>
      </c>
      <c r="F318" s="106" t="s">
        <v>135</v>
      </c>
      <c r="G318" s="106" t="s">
        <v>142</v>
      </c>
      <c r="H318" s="106" t="s">
        <v>124</v>
      </c>
      <c r="I318" s="106" t="s">
        <v>138</v>
      </c>
      <c r="J318" s="107" t="s">
        <v>35</v>
      </c>
      <c r="K318" s="107" t="s">
        <v>18</v>
      </c>
      <c r="L318" s="108">
        <v>106864</v>
      </c>
      <c r="M318" s="108">
        <v>737134</v>
      </c>
      <c r="N318" s="108">
        <v>777670</v>
      </c>
      <c r="O318" s="107" t="s">
        <v>59</v>
      </c>
      <c r="P318" s="109">
        <v>0</v>
      </c>
      <c r="Q318" s="109">
        <f t="shared" si="21"/>
        <v>0</v>
      </c>
      <c r="R318" s="109">
        <f t="shared" si="22"/>
        <v>0</v>
      </c>
      <c r="S318" s="109">
        <f t="shared" si="23"/>
        <v>0</v>
      </c>
      <c r="T318" s="110">
        <f t="shared" si="24"/>
        <v>1.0549913584232988</v>
      </c>
      <c r="U318" s="111">
        <f t="shared" si="25"/>
        <v>0.14497228455070585</v>
      </c>
      <c r="V318" s="112">
        <v>2024</v>
      </c>
      <c r="W318" s="113" t="s">
        <v>137</v>
      </c>
    </row>
    <row r="319" spans="1:23" s="114" customFormat="1" x14ac:dyDescent="0.2">
      <c r="A319" s="105">
        <v>1128</v>
      </c>
      <c r="B319" s="106" t="s">
        <v>70</v>
      </c>
      <c r="C319" s="106" t="s">
        <v>2</v>
      </c>
      <c r="D319" s="106" t="s">
        <v>39</v>
      </c>
      <c r="E319" s="106" t="s">
        <v>102</v>
      </c>
      <c r="F319" s="106" t="s">
        <v>135</v>
      </c>
      <c r="G319" s="106" t="s">
        <v>142</v>
      </c>
      <c r="H319" s="106" t="s">
        <v>124</v>
      </c>
      <c r="I319" s="106" t="s">
        <v>138</v>
      </c>
      <c r="J319" s="107" t="s">
        <v>35</v>
      </c>
      <c r="K319" s="107" t="s">
        <v>18</v>
      </c>
      <c r="L319" s="108">
        <v>106864</v>
      </c>
      <c r="M319" s="108">
        <v>737134</v>
      </c>
      <c r="N319" s="108">
        <v>777670</v>
      </c>
      <c r="O319" s="107" t="s">
        <v>60</v>
      </c>
      <c r="P319" s="109">
        <v>0</v>
      </c>
      <c r="Q319" s="109">
        <f t="shared" si="21"/>
        <v>0</v>
      </c>
      <c r="R319" s="109">
        <f t="shared" si="22"/>
        <v>0</v>
      </c>
      <c r="S319" s="109">
        <f t="shared" si="23"/>
        <v>0</v>
      </c>
      <c r="T319" s="110">
        <f t="shared" si="24"/>
        <v>1.0549913584232988</v>
      </c>
      <c r="U319" s="111">
        <f t="shared" si="25"/>
        <v>0.14497228455070585</v>
      </c>
      <c r="V319" s="112">
        <v>2024</v>
      </c>
      <c r="W319" s="113" t="s">
        <v>137</v>
      </c>
    </row>
    <row r="320" spans="1:23" s="114" customFormat="1" x14ac:dyDescent="0.2">
      <c r="A320" s="105">
        <v>1129</v>
      </c>
      <c r="B320" s="106" t="s">
        <v>70</v>
      </c>
      <c r="C320" s="106" t="s">
        <v>2</v>
      </c>
      <c r="D320" s="106" t="s">
        <v>39</v>
      </c>
      <c r="E320" s="106" t="s">
        <v>102</v>
      </c>
      <c r="F320" s="106" t="s">
        <v>135</v>
      </c>
      <c r="G320" s="106" t="s">
        <v>142</v>
      </c>
      <c r="H320" s="106" t="s">
        <v>124</v>
      </c>
      <c r="I320" s="106" t="s">
        <v>138</v>
      </c>
      <c r="J320" s="107" t="s">
        <v>35</v>
      </c>
      <c r="K320" s="107" t="s">
        <v>18</v>
      </c>
      <c r="L320" s="108">
        <v>106864</v>
      </c>
      <c r="M320" s="108">
        <v>737134</v>
      </c>
      <c r="N320" s="108">
        <v>777670</v>
      </c>
      <c r="O320" s="107" t="s">
        <v>61</v>
      </c>
      <c r="P320" s="109">
        <v>0</v>
      </c>
      <c r="Q320" s="109">
        <f t="shared" si="21"/>
        <v>0</v>
      </c>
      <c r="R320" s="109">
        <f t="shared" si="22"/>
        <v>0</v>
      </c>
      <c r="S320" s="109">
        <f t="shared" si="23"/>
        <v>0</v>
      </c>
      <c r="T320" s="110">
        <f t="shared" si="24"/>
        <v>1.0549913584232988</v>
      </c>
      <c r="U320" s="111">
        <f t="shared" si="25"/>
        <v>0.14497228455070585</v>
      </c>
      <c r="V320" s="112">
        <v>2024</v>
      </c>
      <c r="W320" s="113" t="s">
        <v>137</v>
      </c>
    </row>
    <row r="321" spans="1:23" x14ac:dyDescent="0.2">
      <c r="A321" s="68">
        <v>1201</v>
      </c>
      <c r="B321" s="69" t="s">
        <v>70</v>
      </c>
      <c r="C321" s="69" t="s">
        <v>2</v>
      </c>
      <c r="D321" s="69" t="s">
        <v>39</v>
      </c>
      <c r="E321" s="69" t="s">
        <v>106</v>
      </c>
      <c r="F321" s="69" t="s">
        <v>134</v>
      </c>
      <c r="G321" s="69" t="s">
        <v>144</v>
      </c>
      <c r="H321" s="69" t="s">
        <v>107</v>
      </c>
      <c r="I321" s="69" t="s">
        <v>138</v>
      </c>
      <c r="J321" s="70" t="s">
        <v>35</v>
      </c>
      <c r="K321" s="70" t="s">
        <v>18</v>
      </c>
      <c r="L321" s="71">
        <v>240859</v>
      </c>
      <c r="M321" s="71">
        <v>1049984</v>
      </c>
      <c r="N321" s="76">
        <v>613513</v>
      </c>
      <c r="O321" s="70" t="s">
        <v>24</v>
      </c>
      <c r="P321" s="72">
        <v>58762542.329000011</v>
      </c>
      <c r="Q321" s="72">
        <f t="shared" si="21"/>
        <v>243.9707145217742</v>
      </c>
      <c r="R321" s="72">
        <f t="shared" si="22"/>
        <v>55.965178830344094</v>
      </c>
      <c r="S321" s="72">
        <f t="shared" si="23"/>
        <v>95.780435506664105</v>
      </c>
      <c r="T321" s="94">
        <f t="shared" si="24"/>
        <v>0.58430699896379379</v>
      </c>
      <c r="U321" s="101">
        <f t="shared" si="25"/>
        <v>0.22939301932219919</v>
      </c>
      <c r="V321" s="73">
        <v>2024</v>
      </c>
      <c r="W321" s="77" t="s">
        <v>137</v>
      </c>
    </row>
    <row r="322" spans="1:23" x14ac:dyDescent="0.2">
      <c r="A322" s="68">
        <v>1202</v>
      </c>
      <c r="B322" s="69" t="s">
        <v>70</v>
      </c>
      <c r="C322" s="69" t="s">
        <v>2</v>
      </c>
      <c r="D322" s="69" t="s">
        <v>39</v>
      </c>
      <c r="E322" s="69" t="s">
        <v>106</v>
      </c>
      <c r="F322" s="69" t="s">
        <v>134</v>
      </c>
      <c r="G322" s="69" t="s">
        <v>144</v>
      </c>
      <c r="H322" s="69" t="s">
        <v>107</v>
      </c>
      <c r="I322" s="69" t="s">
        <v>138</v>
      </c>
      <c r="J322" s="70" t="s">
        <v>35</v>
      </c>
      <c r="K322" s="70" t="s">
        <v>18</v>
      </c>
      <c r="L322" s="71">
        <v>240859</v>
      </c>
      <c r="M322" s="71">
        <v>1049984</v>
      </c>
      <c r="N322" s="71">
        <v>613513</v>
      </c>
      <c r="O322" s="70" t="s">
        <v>44</v>
      </c>
      <c r="P322" s="72">
        <v>50850</v>
      </c>
      <c r="Q322" s="72">
        <f t="shared" si="21"/>
        <v>0.21111936859324335</v>
      </c>
      <c r="R322" s="72">
        <f t="shared" si="22"/>
        <v>4.8429309399000364E-2</v>
      </c>
      <c r="S322" s="72">
        <f t="shared" si="23"/>
        <v>8.2883329285606017E-2</v>
      </c>
      <c r="T322" s="94">
        <f t="shared" si="24"/>
        <v>0.58430699896379379</v>
      </c>
      <c r="U322" s="101">
        <f t="shared" si="25"/>
        <v>0.22939301932219919</v>
      </c>
      <c r="V322" s="73">
        <v>2024</v>
      </c>
      <c r="W322" s="77" t="s">
        <v>137</v>
      </c>
    </row>
    <row r="323" spans="1:23" x14ac:dyDescent="0.2">
      <c r="A323" s="68">
        <v>1203</v>
      </c>
      <c r="B323" s="69" t="s">
        <v>70</v>
      </c>
      <c r="C323" s="69" t="s">
        <v>2</v>
      </c>
      <c r="D323" s="69" t="s">
        <v>39</v>
      </c>
      <c r="E323" s="69" t="s">
        <v>106</v>
      </c>
      <c r="F323" s="69" t="s">
        <v>134</v>
      </c>
      <c r="G323" s="69" t="s">
        <v>144</v>
      </c>
      <c r="H323" s="69" t="s">
        <v>107</v>
      </c>
      <c r="I323" s="69" t="s">
        <v>138</v>
      </c>
      <c r="J323" s="70" t="s">
        <v>35</v>
      </c>
      <c r="K323" s="70" t="s">
        <v>18</v>
      </c>
      <c r="L323" s="71">
        <v>240859</v>
      </c>
      <c r="M323" s="71">
        <v>1049984</v>
      </c>
      <c r="N323" s="71">
        <v>613513</v>
      </c>
      <c r="O323" s="70" t="s">
        <v>45</v>
      </c>
      <c r="P323" s="72">
        <v>733439.70000000007</v>
      </c>
      <c r="Q323" s="72">
        <f t="shared" ref="Q323:Q349" si="26">$P323/L323</f>
        <v>3.0450998301911079</v>
      </c>
      <c r="R323" s="72">
        <f t="shared" ref="R323:R349" si="27">$P323/M323</f>
        <v>0.69852464418505433</v>
      </c>
      <c r="S323" s="72">
        <f t="shared" ref="S323:S349" si="28">$P323/N323</f>
        <v>1.1954754014992348</v>
      </c>
      <c r="T323" s="94">
        <f t="shared" ref="T323:T349" si="29">N323/M323</f>
        <v>0.58430699896379379</v>
      </c>
      <c r="U323" s="101">
        <f t="shared" ref="U323:U349" si="30">L323/M323</f>
        <v>0.22939301932219919</v>
      </c>
      <c r="V323" s="73">
        <v>2024</v>
      </c>
      <c r="W323" s="77" t="s">
        <v>137</v>
      </c>
    </row>
    <row r="324" spans="1:23" x14ac:dyDescent="0.2">
      <c r="A324" s="68">
        <v>1204</v>
      </c>
      <c r="B324" s="69" t="s">
        <v>70</v>
      </c>
      <c r="C324" s="69" t="s">
        <v>2</v>
      </c>
      <c r="D324" s="69" t="s">
        <v>39</v>
      </c>
      <c r="E324" s="69" t="s">
        <v>106</v>
      </c>
      <c r="F324" s="69" t="s">
        <v>134</v>
      </c>
      <c r="G324" s="69" t="s">
        <v>144</v>
      </c>
      <c r="H324" s="69" t="s">
        <v>107</v>
      </c>
      <c r="I324" s="69" t="s">
        <v>138</v>
      </c>
      <c r="J324" s="70" t="s">
        <v>35</v>
      </c>
      <c r="K324" s="70" t="s">
        <v>18</v>
      </c>
      <c r="L324" s="71">
        <v>240859</v>
      </c>
      <c r="M324" s="71">
        <v>1049984</v>
      </c>
      <c r="N324" s="71">
        <v>613513</v>
      </c>
      <c r="O324" s="70" t="s">
        <v>14</v>
      </c>
      <c r="P324" s="72">
        <v>16172535</v>
      </c>
      <c r="Q324" s="72">
        <f t="shared" si="26"/>
        <v>67.145238500533509</v>
      </c>
      <c r="R324" s="72">
        <f t="shared" si="27"/>
        <v>15.402648992746556</v>
      </c>
      <c r="S324" s="72">
        <f t="shared" si="28"/>
        <v>26.360541667413731</v>
      </c>
      <c r="T324" s="94">
        <f t="shared" si="29"/>
        <v>0.58430699896379379</v>
      </c>
      <c r="U324" s="101">
        <f t="shared" si="30"/>
        <v>0.22939301932219919</v>
      </c>
      <c r="V324" s="73">
        <v>2024</v>
      </c>
      <c r="W324" s="77" t="s">
        <v>137</v>
      </c>
    </row>
    <row r="325" spans="1:23" x14ac:dyDescent="0.2">
      <c r="A325" s="68">
        <v>1205</v>
      </c>
      <c r="B325" s="69" t="s">
        <v>70</v>
      </c>
      <c r="C325" s="69" t="s">
        <v>2</v>
      </c>
      <c r="D325" s="69" t="s">
        <v>39</v>
      </c>
      <c r="E325" s="69" t="s">
        <v>106</v>
      </c>
      <c r="F325" s="69" t="s">
        <v>134</v>
      </c>
      <c r="G325" s="69" t="s">
        <v>144</v>
      </c>
      <c r="H325" s="69" t="s">
        <v>107</v>
      </c>
      <c r="I325" s="69" t="s">
        <v>138</v>
      </c>
      <c r="J325" s="70" t="s">
        <v>35</v>
      </c>
      <c r="K325" s="70" t="s">
        <v>18</v>
      </c>
      <c r="L325" s="71">
        <v>240859</v>
      </c>
      <c r="M325" s="71">
        <v>1049984</v>
      </c>
      <c r="N325" s="71">
        <v>613513</v>
      </c>
      <c r="O325" s="70" t="s">
        <v>22</v>
      </c>
      <c r="P325" s="72">
        <v>40931655</v>
      </c>
      <c r="Q325" s="72">
        <f t="shared" si="26"/>
        <v>169.94031777928166</v>
      </c>
      <c r="R325" s="72">
        <f t="shared" si="27"/>
        <v>38.98312259996343</v>
      </c>
      <c r="S325" s="72">
        <f t="shared" si="28"/>
        <v>66.716850335689713</v>
      </c>
      <c r="T325" s="94">
        <f t="shared" si="29"/>
        <v>0.58430699896379379</v>
      </c>
      <c r="U325" s="101">
        <f t="shared" si="30"/>
        <v>0.22939301932219919</v>
      </c>
      <c r="V325" s="73">
        <v>2024</v>
      </c>
      <c r="W325" s="77" t="s">
        <v>137</v>
      </c>
    </row>
    <row r="326" spans="1:23" x14ac:dyDescent="0.2">
      <c r="A326" s="68">
        <v>1206</v>
      </c>
      <c r="B326" s="69" t="s">
        <v>70</v>
      </c>
      <c r="C326" s="69" t="s">
        <v>2</v>
      </c>
      <c r="D326" s="69" t="s">
        <v>39</v>
      </c>
      <c r="E326" s="69" t="s">
        <v>106</v>
      </c>
      <c r="F326" s="69" t="s">
        <v>134</v>
      </c>
      <c r="G326" s="69" t="s">
        <v>144</v>
      </c>
      <c r="H326" s="69" t="s">
        <v>107</v>
      </c>
      <c r="I326" s="69" t="s">
        <v>138</v>
      </c>
      <c r="J326" s="70" t="s">
        <v>35</v>
      </c>
      <c r="K326" s="70" t="s">
        <v>18</v>
      </c>
      <c r="L326" s="71">
        <v>240859</v>
      </c>
      <c r="M326" s="71">
        <v>1049984</v>
      </c>
      <c r="N326" s="71">
        <v>613513</v>
      </c>
      <c r="O326" s="70" t="s">
        <v>20</v>
      </c>
      <c r="P326" s="72">
        <v>45806747.469999999</v>
      </c>
      <c r="Q326" s="72">
        <f t="shared" si="26"/>
        <v>190.18075915784752</v>
      </c>
      <c r="R326" s="72">
        <f t="shared" si="27"/>
        <v>43.626138560206634</v>
      </c>
      <c r="S326" s="72">
        <f t="shared" si="28"/>
        <v>74.66304295100511</v>
      </c>
      <c r="T326" s="94">
        <f t="shared" si="29"/>
        <v>0.58430699896379379</v>
      </c>
      <c r="U326" s="101">
        <f t="shared" si="30"/>
        <v>0.22939301932219919</v>
      </c>
      <c r="V326" s="73">
        <v>2024</v>
      </c>
      <c r="W326" s="77" t="s">
        <v>137</v>
      </c>
    </row>
    <row r="327" spans="1:23" x14ac:dyDescent="0.2">
      <c r="A327" s="68">
        <v>1207</v>
      </c>
      <c r="B327" s="69" t="s">
        <v>70</v>
      </c>
      <c r="C327" s="69" t="s">
        <v>2</v>
      </c>
      <c r="D327" s="69" t="s">
        <v>39</v>
      </c>
      <c r="E327" s="69" t="s">
        <v>106</v>
      </c>
      <c r="F327" s="69" t="s">
        <v>134</v>
      </c>
      <c r="G327" s="69" t="s">
        <v>144</v>
      </c>
      <c r="H327" s="69" t="s">
        <v>107</v>
      </c>
      <c r="I327" s="69" t="s">
        <v>138</v>
      </c>
      <c r="J327" s="70" t="s">
        <v>35</v>
      </c>
      <c r="K327" s="70" t="s">
        <v>18</v>
      </c>
      <c r="L327" s="71">
        <v>240859</v>
      </c>
      <c r="M327" s="71">
        <v>1049984</v>
      </c>
      <c r="N327" s="71">
        <v>613513</v>
      </c>
      <c r="O327" s="70" t="s">
        <v>23</v>
      </c>
      <c r="P327" s="72">
        <v>30817252</v>
      </c>
      <c r="Q327" s="72">
        <f t="shared" si="26"/>
        <v>127.94727205543492</v>
      </c>
      <c r="R327" s="72">
        <f t="shared" si="27"/>
        <v>29.35021105083506</v>
      </c>
      <c r="S327" s="72">
        <f t="shared" si="28"/>
        <v>50.230805215211412</v>
      </c>
      <c r="T327" s="94">
        <f t="shared" si="29"/>
        <v>0.58430699896379379</v>
      </c>
      <c r="U327" s="101">
        <f t="shared" si="30"/>
        <v>0.22939301932219919</v>
      </c>
      <c r="V327" s="73">
        <v>2024</v>
      </c>
      <c r="W327" s="77" t="s">
        <v>137</v>
      </c>
    </row>
    <row r="328" spans="1:23" x14ac:dyDescent="0.2">
      <c r="A328" s="68">
        <v>1208</v>
      </c>
      <c r="B328" s="69" t="s">
        <v>70</v>
      </c>
      <c r="C328" s="69" t="s">
        <v>2</v>
      </c>
      <c r="D328" s="69" t="s">
        <v>39</v>
      </c>
      <c r="E328" s="69" t="s">
        <v>106</v>
      </c>
      <c r="F328" s="69" t="s">
        <v>134</v>
      </c>
      <c r="G328" s="69" t="s">
        <v>144</v>
      </c>
      <c r="H328" s="69" t="s">
        <v>107</v>
      </c>
      <c r="I328" s="69" t="s">
        <v>138</v>
      </c>
      <c r="J328" s="70" t="s">
        <v>35</v>
      </c>
      <c r="K328" s="70" t="s">
        <v>18</v>
      </c>
      <c r="L328" s="71">
        <v>240859</v>
      </c>
      <c r="M328" s="71">
        <v>1049984</v>
      </c>
      <c r="N328" s="71">
        <v>613513</v>
      </c>
      <c r="O328" s="70" t="s">
        <v>25</v>
      </c>
      <c r="P328" s="72">
        <v>6949702</v>
      </c>
      <c r="Q328" s="72">
        <f t="shared" si="26"/>
        <v>28.853819039354974</v>
      </c>
      <c r="R328" s="72">
        <f t="shared" si="27"/>
        <v>6.6188646684139947</v>
      </c>
      <c r="S328" s="72">
        <f t="shared" si="28"/>
        <v>11.327717587076394</v>
      </c>
      <c r="T328" s="94">
        <f t="shared" si="29"/>
        <v>0.58430699896379379</v>
      </c>
      <c r="U328" s="101">
        <f t="shared" si="30"/>
        <v>0.22939301932219919</v>
      </c>
      <c r="V328" s="73">
        <v>2024</v>
      </c>
      <c r="W328" s="77" t="s">
        <v>137</v>
      </c>
    </row>
    <row r="329" spans="1:23" x14ac:dyDescent="0.2">
      <c r="A329" s="68">
        <v>1209</v>
      </c>
      <c r="B329" s="69" t="s">
        <v>70</v>
      </c>
      <c r="C329" s="69" t="s">
        <v>2</v>
      </c>
      <c r="D329" s="69" t="s">
        <v>39</v>
      </c>
      <c r="E329" s="69" t="s">
        <v>106</v>
      </c>
      <c r="F329" s="69" t="s">
        <v>134</v>
      </c>
      <c r="G329" s="69" t="s">
        <v>144</v>
      </c>
      <c r="H329" s="69" t="s">
        <v>107</v>
      </c>
      <c r="I329" s="69" t="s">
        <v>138</v>
      </c>
      <c r="J329" s="70" t="s">
        <v>35</v>
      </c>
      <c r="K329" s="70" t="s">
        <v>18</v>
      </c>
      <c r="L329" s="71">
        <v>240859</v>
      </c>
      <c r="M329" s="71">
        <v>1049984</v>
      </c>
      <c r="N329" s="71">
        <v>613513</v>
      </c>
      <c r="O329" s="70" t="s">
        <v>46</v>
      </c>
      <c r="P329" s="72">
        <v>2323950</v>
      </c>
      <c r="Q329" s="72">
        <f t="shared" si="26"/>
        <v>9.6485910844103806</v>
      </c>
      <c r="R329" s="72">
        <f t="shared" si="27"/>
        <v>2.2133194410581494</v>
      </c>
      <c r="S329" s="72">
        <f t="shared" si="28"/>
        <v>3.7879392938698935</v>
      </c>
      <c r="T329" s="94">
        <f t="shared" si="29"/>
        <v>0.58430699896379379</v>
      </c>
      <c r="U329" s="101">
        <f t="shared" si="30"/>
        <v>0.22939301932219919</v>
      </c>
      <c r="V329" s="73">
        <v>2024</v>
      </c>
      <c r="W329" s="77" t="s">
        <v>137</v>
      </c>
    </row>
    <row r="330" spans="1:23" x14ac:dyDescent="0.2">
      <c r="A330" s="68">
        <v>1210</v>
      </c>
      <c r="B330" s="69" t="s">
        <v>70</v>
      </c>
      <c r="C330" s="69" t="s">
        <v>2</v>
      </c>
      <c r="D330" s="69" t="s">
        <v>39</v>
      </c>
      <c r="E330" s="69" t="s">
        <v>106</v>
      </c>
      <c r="F330" s="69" t="s">
        <v>134</v>
      </c>
      <c r="G330" s="69" t="s">
        <v>144</v>
      </c>
      <c r="H330" s="69" t="s">
        <v>107</v>
      </c>
      <c r="I330" s="69" t="s">
        <v>138</v>
      </c>
      <c r="J330" s="70" t="s">
        <v>35</v>
      </c>
      <c r="K330" s="70" t="s">
        <v>18</v>
      </c>
      <c r="L330" s="71">
        <v>240859</v>
      </c>
      <c r="M330" s="71">
        <v>1049984</v>
      </c>
      <c r="N330" s="71">
        <v>613513</v>
      </c>
      <c r="O330" s="70" t="s">
        <v>34</v>
      </c>
      <c r="P330" s="72">
        <v>576057.5</v>
      </c>
      <c r="Q330" s="72">
        <f t="shared" si="26"/>
        <v>2.3916793642753644</v>
      </c>
      <c r="R330" s="72">
        <f t="shared" si="27"/>
        <v>0.54863455062172373</v>
      </c>
      <c r="S330" s="72">
        <f t="shared" si="28"/>
        <v>0.9389491339221826</v>
      </c>
      <c r="T330" s="94">
        <f t="shared" si="29"/>
        <v>0.58430699896379379</v>
      </c>
      <c r="U330" s="101">
        <f t="shared" si="30"/>
        <v>0.22939301932219919</v>
      </c>
      <c r="V330" s="73">
        <v>2024</v>
      </c>
      <c r="W330" s="77" t="s">
        <v>137</v>
      </c>
    </row>
    <row r="331" spans="1:23" x14ac:dyDescent="0.2">
      <c r="A331" s="68">
        <v>1211</v>
      </c>
      <c r="B331" s="69" t="s">
        <v>70</v>
      </c>
      <c r="C331" s="69" t="s">
        <v>2</v>
      </c>
      <c r="D331" s="69" t="s">
        <v>39</v>
      </c>
      <c r="E331" s="69" t="s">
        <v>106</v>
      </c>
      <c r="F331" s="69" t="s">
        <v>134</v>
      </c>
      <c r="G331" s="69" t="s">
        <v>144</v>
      </c>
      <c r="H331" s="69" t="s">
        <v>107</v>
      </c>
      <c r="I331" s="69" t="s">
        <v>138</v>
      </c>
      <c r="J331" s="70" t="s">
        <v>35</v>
      </c>
      <c r="K331" s="70" t="s">
        <v>18</v>
      </c>
      <c r="L331" s="71">
        <v>240859</v>
      </c>
      <c r="M331" s="71">
        <v>1049984</v>
      </c>
      <c r="N331" s="71">
        <v>613513</v>
      </c>
      <c r="O331" s="70" t="s">
        <v>26</v>
      </c>
      <c r="P331" s="72">
        <v>6592735</v>
      </c>
      <c r="Q331" s="72">
        <f t="shared" si="26"/>
        <v>27.371761071830406</v>
      </c>
      <c r="R331" s="72">
        <f t="shared" si="27"/>
        <v>6.2788909164330127</v>
      </c>
      <c r="S331" s="72">
        <f t="shared" si="28"/>
        <v>10.74587661549144</v>
      </c>
      <c r="T331" s="94">
        <f t="shared" si="29"/>
        <v>0.58430699896379379</v>
      </c>
      <c r="U331" s="101">
        <f t="shared" si="30"/>
        <v>0.22939301932219919</v>
      </c>
      <c r="V331" s="73">
        <v>2024</v>
      </c>
      <c r="W331" s="77" t="s">
        <v>137</v>
      </c>
    </row>
    <row r="332" spans="1:23" x14ac:dyDescent="0.2">
      <c r="A332" s="68">
        <v>1212</v>
      </c>
      <c r="B332" s="69" t="s">
        <v>70</v>
      </c>
      <c r="C332" s="69" t="s">
        <v>2</v>
      </c>
      <c r="D332" s="69" t="s">
        <v>39</v>
      </c>
      <c r="E332" s="69" t="s">
        <v>106</v>
      </c>
      <c r="F332" s="69" t="s">
        <v>134</v>
      </c>
      <c r="G332" s="69" t="s">
        <v>144</v>
      </c>
      <c r="H332" s="69" t="s">
        <v>107</v>
      </c>
      <c r="I332" s="69" t="s">
        <v>138</v>
      </c>
      <c r="J332" s="70" t="s">
        <v>35</v>
      </c>
      <c r="K332" s="70" t="s">
        <v>18</v>
      </c>
      <c r="L332" s="71">
        <v>240859</v>
      </c>
      <c r="M332" s="71">
        <v>1049984</v>
      </c>
      <c r="N332" s="71">
        <v>613513</v>
      </c>
      <c r="O332" s="70" t="s">
        <v>28</v>
      </c>
      <c r="P332" s="72">
        <v>6642233.4000000004</v>
      </c>
      <c r="Q332" s="72">
        <f t="shared" si="26"/>
        <v>27.577268858543796</v>
      </c>
      <c r="R332" s="72">
        <f t="shared" si="27"/>
        <v>6.3260329681214191</v>
      </c>
      <c r="S332" s="72">
        <f t="shared" si="28"/>
        <v>10.826556894474935</v>
      </c>
      <c r="T332" s="94">
        <f t="shared" si="29"/>
        <v>0.58430699896379379</v>
      </c>
      <c r="U332" s="101">
        <f t="shared" si="30"/>
        <v>0.22939301932219919</v>
      </c>
      <c r="V332" s="73">
        <v>2024</v>
      </c>
      <c r="W332" s="77" t="s">
        <v>137</v>
      </c>
    </row>
    <row r="333" spans="1:23" x14ac:dyDescent="0.2">
      <c r="A333" s="68">
        <v>1213</v>
      </c>
      <c r="B333" s="69" t="s">
        <v>70</v>
      </c>
      <c r="C333" s="69" t="s">
        <v>2</v>
      </c>
      <c r="D333" s="69" t="s">
        <v>39</v>
      </c>
      <c r="E333" s="69" t="s">
        <v>106</v>
      </c>
      <c r="F333" s="69" t="s">
        <v>134</v>
      </c>
      <c r="G333" s="69" t="s">
        <v>144</v>
      </c>
      <c r="H333" s="69" t="s">
        <v>107</v>
      </c>
      <c r="I333" s="69" t="s">
        <v>138</v>
      </c>
      <c r="J333" s="70" t="s">
        <v>35</v>
      </c>
      <c r="K333" s="70" t="s">
        <v>18</v>
      </c>
      <c r="L333" s="71">
        <v>240859</v>
      </c>
      <c r="M333" s="71">
        <v>1049984</v>
      </c>
      <c r="N333" s="71">
        <v>613513</v>
      </c>
      <c r="O333" s="70" t="s">
        <v>47</v>
      </c>
      <c r="P333" s="72">
        <v>13720837</v>
      </c>
      <c r="Q333" s="72">
        <f t="shared" si="26"/>
        <v>56.96626241909167</v>
      </c>
      <c r="R333" s="72">
        <f t="shared" si="27"/>
        <v>13.067662935816164</v>
      </c>
      <c r="S333" s="72">
        <f t="shared" si="28"/>
        <v>22.364378586924808</v>
      </c>
      <c r="T333" s="94">
        <f t="shared" si="29"/>
        <v>0.58430699896379379</v>
      </c>
      <c r="U333" s="101">
        <f t="shared" si="30"/>
        <v>0.22939301932219919</v>
      </c>
      <c r="V333" s="73">
        <v>2024</v>
      </c>
      <c r="W333" s="77" t="s">
        <v>137</v>
      </c>
    </row>
    <row r="334" spans="1:23" x14ac:dyDescent="0.2">
      <c r="A334" s="68">
        <v>1214</v>
      </c>
      <c r="B334" s="69" t="s">
        <v>70</v>
      </c>
      <c r="C334" s="69" t="s">
        <v>2</v>
      </c>
      <c r="D334" s="69" t="s">
        <v>39</v>
      </c>
      <c r="E334" s="69" t="s">
        <v>106</v>
      </c>
      <c r="F334" s="69" t="s">
        <v>134</v>
      </c>
      <c r="G334" s="69" t="s">
        <v>144</v>
      </c>
      <c r="H334" s="69" t="s">
        <v>107</v>
      </c>
      <c r="I334" s="69" t="s">
        <v>138</v>
      </c>
      <c r="J334" s="70" t="s">
        <v>35</v>
      </c>
      <c r="K334" s="70" t="s">
        <v>18</v>
      </c>
      <c r="L334" s="71">
        <v>240859</v>
      </c>
      <c r="M334" s="71">
        <v>1049984</v>
      </c>
      <c r="N334" s="71">
        <v>613513</v>
      </c>
      <c r="O334" s="70" t="s">
        <v>27</v>
      </c>
      <c r="P334" s="72">
        <v>21547274</v>
      </c>
      <c r="Q334" s="72">
        <f t="shared" si="26"/>
        <v>89.460115669333504</v>
      </c>
      <c r="R334" s="72">
        <f t="shared" si="27"/>
        <v>20.521526042301598</v>
      </c>
      <c r="S334" s="72">
        <f t="shared" si="28"/>
        <v>35.121136797427276</v>
      </c>
      <c r="T334" s="94">
        <f t="shared" si="29"/>
        <v>0.58430699896379379</v>
      </c>
      <c r="U334" s="101">
        <f t="shared" si="30"/>
        <v>0.22939301932219919</v>
      </c>
      <c r="V334" s="73">
        <v>2024</v>
      </c>
      <c r="W334" s="77" t="s">
        <v>137</v>
      </c>
    </row>
    <row r="335" spans="1:23" x14ac:dyDescent="0.2">
      <c r="A335" s="68">
        <v>1215</v>
      </c>
      <c r="B335" s="69" t="s">
        <v>70</v>
      </c>
      <c r="C335" s="69" t="s">
        <v>2</v>
      </c>
      <c r="D335" s="69" t="s">
        <v>39</v>
      </c>
      <c r="E335" s="69" t="s">
        <v>106</v>
      </c>
      <c r="F335" s="69" t="s">
        <v>134</v>
      </c>
      <c r="G335" s="69" t="s">
        <v>144</v>
      </c>
      <c r="H335" s="69" t="s">
        <v>107</v>
      </c>
      <c r="I335" s="69" t="s">
        <v>138</v>
      </c>
      <c r="J335" s="70" t="s">
        <v>35</v>
      </c>
      <c r="K335" s="70" t="s">
        <v>18</v>
      </c>
      <c r="L335" s="71">
        <v>240859</v>
      </c>
      <c r="M335" s="71">
        <v>1049984</v>
      </c>
      <c r="N335" s="71">
        <v>613513</v>
      </c>
      <c r="O335" s="70" t="s">
        <v>48</v>
      </c>
      <c r="P335" s="72">
        <v>0</v>
      </c>
      <c r="Q335" s="72">
        <f t="shared" si="26"/>
        <v>0</v>
      </c>
      <c r="R335" s="72">
        <f t="shared" si="27"/>
        <v>0</v>
      </c>
      <c r="S335" s="72">
        <f t="shared" si="28"/>
        <v>0</v>
      </c>
      <c r="T335" s="94">
        <f t="shared" si="29"/>
        <v>0.58430699896379379</v>
      </c>
      <c r="U335" s="101">
        <f t="shared" si="30"/>
        <v>0.22939301932219919</v>
      </c>
      <c r="V335" s="73">
        <v>2024</v>
      </c>
      <c r="W335" s="77" t="s">
        <v>137</v>
      </c>
    </row>
    <row r="336" spans="1:23" x14ac:dyDescent="0.2">
      <c r="A336" s="68">
        <v>1216</v>
      </c>
      <c r="B336" s="69" t="s">
        <v>70</v>
      </c>
      <c r="C336" s="69" t="s">
        <v>2</v>
      </c>
      <c r="D336" s="69" t="s">
        <v>39</v>
      </c>
      <c r="E336" s="69" t="s">
        <v>106</v>
      </c>
      <c r="F336" s="69" t="s">
        <v>134</v>
      </c>
      <c r="G336" s="69" t="s">
        <v>144</v>
      </c>
      <c r="H336" s="69" t="s">
        <v>107</v>
      </c>
      <c r="I336" s="69" t="s">
        <v>138</v>
      </c>
      <c r="J336" s="70" t="s">
        <v>35</v>
      </c>
      <c r="K336" s="70" t="s">
        <v>18</v>
      </c>
      <c r="L336" s="71">
        <v>240859</v>
      </c>
      <c r="M336" s="71">
        <v>1049984</v>
      </c>
      <c r="N336" s="71">
        <v>613513</v>
      </c>
      <c r="O336" s="70" t="s">
        <v>49</v>
      </c>
      <c r="P336" s="72">
        <v>0</v>
      </c>
      <c r="Q336" s="72">
        <f t="shared" si="26"/>
        <v>0</v>
      </c>
      <c r="R336" s="72">
        <f t="shared" si="27"/>
        <v>0</v>
      </c>
      <c r="S336" s="72">
        <f t="shared" si="28"/>
        <v>0</v>
      </c>
      <c r="T336" s="94">
        <f t="shared" si="29"/>
        <v>0.58430699896379379</v>
      </c>
      <c r="U336" s="101">
        <f t="shared" si="30"/>
        <v>0.22939301932219919</v>
      </c>
      <c r="V336" s="73">
        <v>2024</v>
      </c>
      <c r="W336" s="77" t="s">
        <v>137</v>
      </c>
    </row>
    <row r="337" spans="1:23" x14ac:dyDescent="0.2">
      <c r="A337" s="68">
        <v>1217</v>
      </c>
      <c r="B337" s="69" t="s">
        <v>70</v>
      </c>
      <c r="C337" s="69" t="s">
        <v>2</v>
      </c>
      <c r="D337" s="69" t="s">
        <v>39</v>
      </c>
      <c r="E337" s="69" t="s">
        <v>106</v>
      </c>
      <c r="F337" s="69" t="s">
        <v>134</v>
      </c>
      <c r="G337" s="69" t="s">
        <v>144</v>
      </c>
      <c r="H337" s="69" t="s">
        <v>107</v>
      </c>
      <c r="I337" s="69" t="s">
        <v>138</v>
      </c>
      <c r="J337" s="70" t="s">
        <v>35</v>
      </c>
      <c r="K337" s="70" t="s">
        <v>18</v>
      </c>
      <c r="L337" s="71">
        <v>240859</v>
      </c>
      <c r="M337" s="71">
        <v>1049984</v>
      </c>
      <c r="N337" s="71">
        <v>613513</v>
      </c>
      <c r="O337" s="70" t="s">
        <v>50</v>
      </c>
      <c r="P337" s="72">
        <v>0</v>
      </c>
      <c r="Q337" s="72">
        <f t="shared" si="26"/>
        <v>0</v>
      </c>
      <c r="R337" s="72">
        <f t="shared" si="27"/>
        <v>0</v>
      </c>
      <c r="S337" s="72">
        <f t="shared" si="28"/>
        <v>0</v>
      </c>
      <c r="T337" s="94">
        <f t="shared" si="29"/>
        <v>0.58430699896379379</v>
      </c>
      <c r="U337" s="101">
        <f t="shared" si="30"/>
        <v>0.22939301932219919</v>
      </c>
      <c r="V337" s="73">
        <v>2024</v>
      </c>
      <c r="W337" s="77" t="s">
        <v>137</v>
      </c>
    </row>
    <row r="338" spans="1:23" x14ac:dyDescent="0.2">
      <c r="A338" s="68">
        <v>1218</v>
      </c>
      <c r="B338" s="69" t="s">
        <v>70</v>
      </c>
      <c r="C338" s="69" t="s">
        <v>2</v>
      </c>
      <c r="D338" s="69" t="s">
        <v>39</v>
      </c>
      <c r="E338" s="69" t="s">
        <v>106</v>
      </c>
      <c r="F338" s="69" t="s">
        <v>134</v>
      </c>
      <c r="G338" s="69" t="s">
        <v>144</v>
      </c>
      <c r="H338" s="69" t="s">
        <v>107</v>
      </c>
      <c r="I338" s="69" t="s">
        <v>138</v>
      </c>
      <c r="J338" s="70" t="s">
        <v>35</v>
      </c>
      <c r="K338" s="70" t="s">
        <v>18</v>
      </c>
      <c r="L338" s="71">
        <v>240859</v>
      </c>
      <c r="M338" s="71">
        <v>1049984</v>
      </c>
      <c r="N338" s="71">
        <v>613513</v>
      </c>
      <c r="O338" s="70" t="s">
        <v>51</v>
      </c>
      <c r="P338" s="72">
        <v>30167666.129999999</v>
      </c>
      <c r="Q338" s="72">
        <f t="shared" si="26"/>
        <v>125.25031711499258</v>
      </c>
      <c r="R338" s="72">
        <f t="shared" si="27"/>
        <v>28.731548414071071</v>
      </c>
      <c r="S338" s="72">
        <f t="shared" si="28"/>
        <v>49.172007977011077</v>
      </c>
      <c r="T338" s="94">
        <f t="shared" si="29"/>
        <v>0.58430699896379379</v>
      </c>
      <c r="U338" s="101">
        <f t="shared" si="30"/>
        <v>0.22939301932219919</v>
      </c>
      <c r="V338" s="73">
        <v>2024</v>
      </c>
      <c r="W338" s="77" t="s">
        <v>137</v>
      </c>
    </row>
    <row r="339" spans="1:23" x14ac:dyDescent="0.2">
      <c r="A339" s="68">
        <v>1219</v>
      </c>
      <c r="B339" s="69" t="s">
        <v>70</v>
      </c>
      <c r="C339" s="69" t="s">
        <v>2</v>
      </c>
      <c r="D339" s="69" t="s">
        <v>39</v>
      </c>
      <c r="E339" s="69" t="s">
        <v>106</v>
      </c>
      <c r="F339" s="69" t="s">
        <v>134</v>
      </c>
      <c r="G339" s="69" t="s">
        <v>144</v>
      </c>
      <c r="H339" s="69" t="s">
        <v>107</v>
      </c>
      <c r="I339" s="69" t="s">
        <v>138</v>
      </c>
      <c r="J339" s="70" t="s">
        <v>35</v>
      </c>
      <c r="K339" s="70" t="s">
        <v>18</v>
      </c>
      <c r="L339" s="71">
        <v>240859</v>
      </c>
      <c r="M339" s="71">
        <v>1049984</v>
      </c>
      <c r="N339" s="71">
        <v>613513</v>
      </c>
      <c r="O339" s="70" t="s">
        <v>52</v>
      </c>
      <c r="P339" s="72">
        <v>0</v>
      </c>
      <c r="Q339" s="72">
        <f t="shared" si="26"/>
        <v>0</v>
      </c>
      <c r="R339" s="72">
        <f t="shared" si="27"/>
        <v>0</v>
      </c>
      <c r="S339" s="72">
        <f t="shared" si="28"/>
        <v>0</v>
      </c>
      <c r="T339" s="94">
        <f t="shared" si="29"/>
        <v>0.58430699896379379</v>
      </c>
      <c r="U339" s="101">
        <f t="shared" si="30"/>
        <v>0.22939301932219919</v>
      </c>
      <c r="V339" s="73">
        <v>2024</v>
      </c>
      <c r="W339" s="77" t="s">
        <v>137</v>
      </c>
    </row>
    <row r="340" spans="1:23" x14ac:dyDescent="0.2">
      <c r="A340" s="68">
        <v>1220</v>
      </c>
      <c r="B340" s="69" t="s">
        <v>70</v>
      </c>
      <c r="C340" s="69" t="s">
        <v>2</v>
      </c>
      <c r="D340" s="69" t="s">
        <v>39</v>
      </c>
      <c r="E340" s="69" t="s">
        <v>106</v>
      </c>
      <c r="F340" s="69" t="s">
        <v>134</v>
      </c>
      <c r="G340" s="69" t="s">
        <v>144</v>
      </c>
      <c r="H340" s="69" t="s">
        <v>107</v>
      </c>
      <c r="I340" s="69" t="s">
        <v>138</v>
      </c>
      <c r="J340" s="70" t="s">
        <v>35</v>
      </c>
      <c r="K340" s="70" t="s">
        <v>18</v>
      </c>
      <c r="L340" s="71">
        <v>240859</v>
      </c>
      <c r="M340" s="71">
        <v>1049984</v>
      </c>
      <c r="N340" s="71">
        <v>613513</v>
      </c>
      <c r="O340" s="70" t="s">
        <v>53</v>
      </c>
      <c r="P340" s="72">
        <v>0</v>
      </c>
      <c r="Q340" s="72">
        <f t="shared" si="26"/>
        <v>0</v>
      </c>
      <c r="R340" s="72">
        <f t="shared" si="27"/>
        <v>0</v>
      </c>
      <c r="S340" s="72">
        <f t="shared" si="28"/>
        <v>0</v>
      </c>
      <c r="T340" s="94">
        <f t="shared" si="29"/>
        <v>0.58430699896379379</v>
      </c>
      <c r="U340" s="101">
        <f t="shared" si="30"/>
        <v>0.22939301932219919</v>
      </c>
      <c r="V340" s="73">
        <v>2024</v>
      </c>
      <c r="W340" s="77" t="s">
        <v>137</v>
      </c>
    </row>
    <row r="341" spans="1:23" x14ac:dyDescent="0.2">
      <c r="A341" s="68">
        <v>1221</v>
      </c>
      <c r="B341" s="69" t="s">
        <v>70</v>
      </c>
      <c r="C341" s="69" t="s">
        <v>2</v>
      </c>
      <c r="D341" s="69" t="s">
        <v>39</v>
      </c>
      <c r="E341" s="69" t="s">
        <v>106</v>
      </c>
      <c r="F341" s="69" t="s">
        <v>134</v>
      </c>
      <c r="G341" s="69" t="s">
        <v>144</v>
      </c>
      <c r="H341" s="69" t="s">
        <v>107</v>
      </c>
      <c r="I341" s="69" t="s">
        <v>138</v>
      </c>
      <c r="J341" s="70" t="s">
        <v>35</v>
      </c>
      <c r="K341" s="70" t="s">
        <v>18</v>
      </c>
      <c r="L341" s="71">
        <v>240859</v>
      </c>
      <c r="M341" s="71">
        <v>1049984</v>
      </c>
      <c r="N341" s="71">
        <v>613513</v>
      </c>
      <c r="O341" s="70" t="s">
        <v>55</v>
      </c>
      <c r="P341" s="72">
        <v>0</v>
      </c>
      <c r="Q341" s="72">
        <f t="shared" si="26"/>
        <v>0</v>
      </c>
      <c r="R341" s="72">
        <f t="shared" si="27"/>
        <v>0</v>
      </c>
      <c r="S341" s="72">
        <f t="shared" si="28"/>
        <v>0</v>
      </c>
      <c r="T341" s="94">
        <f t="shared" si="29"/>
        <v>0.58430699896379379</v>
      </c>
      <c r="U341" s="101">
        <f t="shared" si="30"/>
        <v>0.22939301932219919</v>
      </c>
      <c r="V341" s="73">
        <v>2024</v>
      </c>
      <c r="W341" s="77" t="s">
        <v>137</v>
      </c>
    </row>
    <row r="342" spans="1:23" x14ac:dyDescent="0.2">
      <c r="A342" s="68">
        <v>1222</v>
      </c>
      <c r="B342" s="69" t="s">
        <v>70</v>
      </c>
      <c r="C342" s="69" t="s">
        <v>2</v>
      </c>
      <c r="D342" s="69" t="s">
        <v>39</v>
      </c>
      <c r="E342" s="69" t="s">
        <v>106</v>
      </c>
      <c r="F342" s="69" t="s">
        <v>134</v>
      </c>
      <c r="G342" s="69" t="s">
        <v>144</v>
      </c>
      <c r="H342" s="69" t="s">
        <v>107</v>
      </c>
      <c r="I342" s="69" t="s">
        <v>138</v>
      </c>
      <c r="J342" s="70" t="s">
        <v>35</v>
      </c>
      <c r="K342" s="70" t="s">
        <v>18</v>
      </c>
      <c r="L342" s="71">
        <v>240859</v>
      </c>
      <c r="M342" s="71">
        <v>1049984</v>
      </c>
      <c r="N342" s="71">
        <v>613513</v>
      </c>
      <c r="O342" s="70" t="s">
        <v>54</v>
      </c>
      <c r="P342" s="72">
        <v>0</v>
      </c>
      <c r="Q342" s="72">
        <f t="shared" si="26"/>
        <v>0</v>
      </c>
      <c r="R342" s="72">
        <f t="shared" si="27"/>
        <v>0</v>
      </c>
      <c r="S342" s="72">
        <f t="shared" si="28"/>
        <v>0</v>
      </c>
      <c r="T342" s="94">
        <f t="shared" si="29"/>
        <v>0.58430699896379379</v>
      </c>
      <c r="U342" s="101">
        <f t="shared" si="30"/>
        <v>0.22939301932219919</v>
      </c>
      <c r="V342" s="73">
        <v>2024</v>
      </c>
      <c r="W342" s="77" t="s">
        <v>137</v>
      </c>
    </row>
    <row r="343" spans="1:23" x14ac:dyDescent="0.2">
      <c r="A343" s="68">
        <v>1223</v>
      </c>
      <c r="B343" s="69" t="s">
        <v>70</v>
      </c>
      <c r="C343" s="69" t="s">
        <v>2</v>
      </c>
      <c r="D343" s="69" t="s">
        <v>39</v>
      </c>
      <c r="E343" s="69" t="s">
        <v>106</v>
      </c>
      <c r="F343" s="69" t="s">
        <v>134</v>
      </c>
      <c r="G343" s="69" t="s">
        <v>144</v>
      </c>
      <c r="H343" s="69" t="s">
        <v>107</v>
      </c>
      <c r="I343" s="69" t="s">
        <v>138</v>
      </c>
      <c r="J343" s="70" t="s">
        <v>35</v>
      </c>
      <c r="K343" s="70" t="s">
        <v>18</v>
      </c>
      <c r="L343" s="71">
        <v>240859</v>
      </c>
      <c r="M343" s="71">
        <v>1049984</v>
      </c>
      <c r="N343" s="71">
        <v>613513</v>
      </c>
      <c r="O343" s="70" t="s">
        <v>56</v>
      </c>
      <c r="P343" s="72">
        <v>0</v>
      </c>
      <c r="Q343" s="72">
        <f t="shared" si="26"/>
        <v>0</v>
      </c>
      <c r="R343" s="72">
        <f t="shared" si="27"/>
        <v>0</v>
      </c>
      <c r="S343" s="72">
        <f t="shared" si="28"/>
        <v>0</v>
      </c>
      <c r="T343" s="94">
        <f t="shared" si="29"/>
        <v>0.58430699896379379</v>
      </c>
      <c r="U343" s="101">
        <f t="shared" si="30"/>
        <v>0.22939301932219919</v>
      </c>
      <c r="V343" s="73">
        <v>2024</v>
      </c>
      <c r="W343" s="77" t="s">
        <v>137</v>
      </c>
    </row>
    <row r="344" spans="1:23" x14ac:dyDescent="0.2">
      <c r="A344" s="68">
        <v>1224</v>
      </c>
      <c r="B344" s="69" t="s">
        <v>70</v>
      </c>
      <c r="C344" s="69" t="s">
        <v>2</v>
      </c>
      <c r="D344" s="69" t="s">
        <v>39</v>
      </c>
      <c r="E344" s="69" t="s">
        <v>106</v>
      </c>
      <c r="F344" s="69" t="s">
        <v>134</v>
      </c>
      <c r="G344" s="69" t="s">
        <v>144</v>
      </c>
      <c r="H344" s="69" t="s">
        <v>107</v>
      </c>
      <c r="I344" s="69" t="s">
        <v>138</v>
      </c>
      <c r="J344" s="70" t="s">
        <v>35</v>
      </c>
      <c r="K344" s="70" t="s">
        <v>18</v>
      </c>
      <c r="L344" s="71">
        <v>240859</v>
      </c>
      <c r="M344" s="71">
        <v>1049984</v>
      </c>
      <c r="N344" s="71">
        <v>613513</v>
      </c>
      <c r="O344" s="70" t="s">
        <v>73</v>
      </c>
      <c r="P344" s="72">
        <v>53040463</v>
      </c>
      <c r="Q344" s="72">
        <f t="shared" si="26"/>
        <v>220.21374746220818</v>
      </c>
      <c r="R344" s="72">
        <f t="shared" si="27"/>
        <v>50.515496426612216</v>
      </c>
      <c r="S344" s="72">
        <f t="shared" si="28"/>
        <v>86.453690467846641</v>
      </c>
      <c r="T344" s="94">
        <f t="shared" si="29"/>
        <v>0.58430699896379379</v>
      </c>
      <c r="U344" s="101">
        <f t="shared" si="30"/>
        <v>0.22939301932219919</v>
      </c>
      <c r="V344" s="73">
        <v>2024</v>
      </c>
      <c r="W344" s="77" t="s">
        <v>137</v>
      </c>
    </row>
    <row r="345" spans="1:23" x14ac:dyDescent="0.2">
      <c r="A345" s="68">
        <v>1225</v>
      </c>
      <c r="B345" s="69" t="s">
        <v>70</v>
      </c>
      <c r="C345" s="69" t="s">
        <v>2</v>
      </c>
      <c r="D345" s="69" t="s">
        <v>39</v>
      </c>
      <c r="E345" s="69" t="s">
        <v>106</v>
      </c>
      <c r="F345" s="69" t="s">
        <v>134</v>
      </c>
      <c r="G345" s="69" t="s">
        <v>144</v>
      </c>
      <c r="H345" s="69" t="s">
        <v>107</v>
      </c>
      <c r="I345" s="69" t="s">
        <v>138</v>
      </c>
      <c r="J345" s="70" t="s">
        <v>35</v>
      </c>
      <c r="K345" s="70" t="s">
        <v>18</v>
      </c>
      <c r="L345" s="71">
        <v>240859</v>
      </c>
      <c r="M345" s="71">
        <v>1049984</v>
      </c>
      <c r="N345" s="71">
        <v>613513</v>
      </c>
      <c r="O345" s="70" t="s">
        <v>57</v>
      </c>
      <c r="P345" s="72">
        <v>45394020</v>
      </c>
      <c r="Q345" s="72">
        <f t="shared" si="26"/>
        <v>188.46719449968654</v>
      </c>
      <c r="R345" s="72">
        <f t="shared" si="27"/>
        <v>43.233058789467265</v>
      </c>
      <c r="S345" s="72">
        <f t="shared" si="28"/>
        <v>73.990314793655557</v>
      </c>
      <c r="T345" s="94">
        <f t="shared" si="29"/>
        <v>0.58430699896379379</v>
      </c>
      <c r="U345" s="101">
        <f t="shared" si="30"/>
        <v>0.22939301932219919</v>
      </c>
      <c r="V345" s="73">
        <v>2024</v>
      </c>
      <c r="W345" s="77" t="s">
        <v>137</v>
      </c>
    </row>
    <row r="346" spans="1:23" x14ac:dyDescent="0.2">
      <c r="A346" s="68">
        <v>1226</v>
      </c>
      <c r="B346" s="69" t="s">
        <v>70</v>
      </c>
      <c r="C346" s="69" t="s">
        <v>2</v>
      </c>
      <c r="D346" s="69" t="s">
        <v>39</v>
      </c>
      <c r="E346" s="69" t="s">
        <v>106</v>
      </c>
      <c r="F346" s="69" t="s">
        <v>134</v>
      </c>
      <c r="G346" s="69" t="s">
        <v>144</v>
      </c>
      <c r="H346" s="69" t="s">
        <v>107</v>
      </c>
      <c r="I346" s="69" t="s">
        <v>138</v>
      </c>
      <c r="J346" s="70" t="s">
        <v>35</v>
      </c>
      <c r="K346" s="70" t="s">
        <v>18</v>
      </c>
      <c r="L346" s="71">
        <v>240859</v>
      </c>
      <c r="M346" s="71">
        <v>1049984</v>
      </c>
      <c r="N346" s="71">
        <v>613513</v>
      </c>
      <c r="O346" s="70" t="s">
        <v>58</v>
      </c>
      <c r="P346" s="72">
        <v>0</v>
      </c>
      <c r="Q346" s="72">
        <f t="shared" si="26"/>
        <v>0</v>
      </c>
      <c r="R346" s="72">
        <f t="shared" si="27"/>
        <v>0</v>
      </c>
      <c r="S346" s="72">
        <f t="shared" si="28"/>
        <v>0</v>
      </c>
      <c r="T346" s="94">
        <f t="shared" si="29"/>
        <v>0.58430699896379379</v>
      </c>
      <c r="U346" s="101">
        <f t="shared" si="30"/>
        <v>0.22939301932219919</v>
      </c>
      <c r="V346" s="73">
        <v>2024</v>
      </c>
      <c r="W346" s="77" t="s">
        <v>137</v>
      </c>
    </row>
    <row r="347" spans="1:23" x14ac:dyDescent="0.2">
      <c r="A347" s="68">
        <v>1227</v>
      </c>
      <c r="B347" s="69" t="s">
        <v>70</v>
      </c>
      <c r="C347" s="69" t="s">
        <v>2</v>
      </c>
      <c r="D347" s="69" t="s">
        <v>39</v>
      </c>
      <c r="E347" s="69" t="s">
        <v>106</v>
      </c>
      <c r="F347" s="69" t="s">
        <v>134</v>
      </c>
      <c r="G347" s="69" t="s">
        <v>144</v>
      </c>
      <c r="H347" s="69" t="s">
        <v>107</v>
      </c>
      <c r="I347" s="69" t="s">
        <v>138</v>
      </c>
      <c r="J347" s="70" t="s">
        <v>35</v>
      </c>
      <c r="K347" s="70" t="s">
        <v>18</v>
      </c>
      <c r="L347" s="71">
        <v>240859</v>
      </c>
      <c r="M347" s="71">
        <v>1049984</v>
      </c>
      <c r="N347" s="71">
        <v>613513</v>
      </c>
      <c r="O347" s="70" t="s">
        <v>59</v>
      </c>
      <c r="P347" s="72">
        <v>0</v>
      </c>
      <c r="Q347" s="72">
        <f t="shared" si="26"/>
        <v>0</v>
      </c>
      <c r="R347" s="72">
        <f t="shared" si="27"/>
        <v>0</v>
      </c>
      <c r="S347" s="72">
        <f t="shared" si="28"/>
        <v>0</v>
      </c>
      <c r="T347" s="94">
        <f t="shared" si="29"/>
        <v>0.58430699896379379</v>
      </c>
      <c r="U347" s="101">
        <f t="shared" si="30"/>
        <v>0.22939301932219919</v>
      </c>
      <c r="V347" s="73">
        <v>2024</v>
      </c>
      <c r="W347" s="77" t="s">
        <v>137</v>
      </c>
    </row>
    <row r="348" spans="1:23" x14ac:dyDescent="0.2">
      <c r="A348" s="68">
        <v>1228</v>
      </c>
      <c r="B348" s="69" t="s">
        <v>70</v>
      </c>
      <c r="C348" s="69" t="s">
        <v>2</v>
      </c>
      <c r="D348" s="69" t="s">
        <v>39</v>
      </c>
      <c r="E348" s="69" t="s">
        <v>106</v>
      </c>
      <c r="F348" s="69" t="s">
        <v>134</v>
      </c>
      <c r="G348" s="69" t="s">
        <v>144</v>
      </c>
      <c r="H348" s="69" t="s">
        <v>107</v>
      </c>
      <c r="I348" s="69" t="s">
        <v>138</v>
      </c>
      <c r="J348" s="70" t="s">
        <v>35</v>
      </c>
      <c r="K348" s="70" t="s">
        <v>18</v>
      </c>
      <c r="L348" s="71">
        <v>240859</v>
      </c>
      <c r="M348" s="71">
        <v>1049984</v>
      </c>
      <c r="N348" s="71">
        <v>613513</v>
      </c>
      <c r="O348" s="70" t="s">
        <v>60</v>
      </c>
      <c r="P348" s="72">
        <v>24194596.5</v>
      </c>
      <c r="Q348" s="72">
        <f t="shared" si="26"/>
        <v>100.45128685247386</v>
      </c>
      <c r="R348" s="72">
        <f t="shared" si="27"/>
        <v>23.04282398588931</v>
      </c>
      <c r="S348" s="72">
        <f t="shared" si="28"/>
        <v>39.436159461983692</v>
      </c>
      <c r="T348" s="94">
        <f t="shared" si="29"/>
        <v>0.58430699896379379</v>
      </c>
      <c r="U348" s="101">
        <f t="shared" si="30"/>
        <v>0.22939301932219919</v>
      </c>
      <c r="V348" s="73">
        <v>2024</v>
      </c>
      <c r="W348" s="77" t="s">
        <v>137</v>
      </c>
    </row>
    <row r="349" spans="1:23" x14ac:dyDescent="0.2">
      <c r="A349" s="68">
        <v>1229</v>
      </c>
      <c r="B349" s="69" t="s">
        <v>70</v>
      </c>
      <c r="C349" s="69" t="s">
        <v>2</v>
      </c>
      <c r="D349" s="69" t="s">
        <v>39</v>
      </c>
      <c r="E349" s="69" t="s">
        <v>106</v>
      </c>
      <c r="F349" s="69" t="s">
        <v>134</v>
      </c>
      <c r="G349" s="69" t="s">
        <v>144</v>
      </c>
      <c r="H349" s="69" t="s">
        <v>107</v>
      </c>
      <c r="I349" s="69" t="s">
        <v>138</v>
      </c>
      <c r="J349" s="70" t="s">
        <v>35</v>
      </c>
      <c r="K349" s="70" t="s">
        <v>18</v>
      </c>
      <c r="L349" s="71">
        <v>240859</v>
      </c>
      <c r="M349" s="71">
        <v>1049984</v>
      </c>
      <c r="N349" s="71">
        <v>613513</v>
      </c>
      <c r="O349" s="70" t="s">
        <v>61</v>
      </c>
      <c r="P349" s="72">
        <v>0</v>
      </c>
      <c r="Q349" s="72">
        <f t="shared" si="26"/>
        <v>0</v>
      </c>
      <c r="R349" s="72">
        <f t="shared" si="27"/>
        <v>0</v>
      </c>
      <c r="S349" s="72">
        <f t="shared" si="28"/>
        <v>0</v>
      </c>
      <c r="T349" s="94">
        <f t="shared" si="29"/>
        <v>0.58430699896379379</v>
      </c>
      <c r="U349" s="101">
        <f t="shared" si="30"/>
        <v>0.22939301932219919</v>
      </c>
      <c r="V349" s="73">
        <v>2024</v>
      </c>
      <c r="W349" s="77" t="s">
        <v>137</v>
      </c>
    </row>
    <row r="350" spans="1:23" x14ac:dyDescent="0.2">
      <c r="L350" s="4"/>
      <c r="M350" s="4"/>
      <c r="N350" s="4"/>
      <c r="V350" s="9"/>
    </row>
    <row r="351" spans="1:23" x14ac:dyDescent="0.2">
      <c r="L351" s="83" t="s">
        <v>141</v>
      </c>
      <c r="M351" s="83" t="s">
        <v>64</v>
      </c>
      <c r="N351" s="83" t="s">
        <v>63</v>
      </c>
      <c r="O351" s="82"/>
      <c r="P351" s="84" t="s">
        <v>21</v>
      </c>
      <c r="Q351" s="84" t="s">
        <v>66</v>
      </c>
      <c r="R351" s="84" t="s">
        <v>67</v>
      </c>
      <c r="S351" s="84" t="s">
        <v>68</v>
      </c>
      <c r="T351" s="84" t="s">
        <v>145</v>
      </c>
      <c r="U351" s="84" t="s">
        <v>146</v>
      </c>
      <c r="V351" s="85" t="s">
        <v>0</v>
      </c>
    </row>
    <row r="352" spans="1:23" x14ac:dyDescent="0.2">
      <c r="L352" s="75">
        <f t="shared" ref="L352:M352" si="31">SUMIF($G$2:$G$349,$O352,L$2:L$349)/29</f>
        <v>100434</v>
      </c>
      <c r="M352" s="75">
        <f t="shared" si="31"/>
        <v>223475</v>
      </c>
      <c r="N352" s="75">
        <f>SUMIF($G$2:$G$349,$O352,N$2:N$349)/29</f>
        <v>150223</v>
      </c>
      <c r="O352" s="87" t="s">
        <v>33</v>
      </c>
      <c r="P352" s="75">
        <f t="shared" ref="P352:S363" si="32">SUMIF($G$2:$G$349,$O352,P$2:P$349)</f>
        <v>58882382</v>
      </c>
      <c r="Q352" s="75">
        <f t="shared" si="32"/>
        <v>586.2793675448554</v>
      </c>
      <c r="R352" s="75">
        <f t="shared" si="32"/>
        <v>263.48532050564938</v>
      </c>
      <c r="S352" s="75">
        <f t="shared" si="32"/>
        <v>391.96648981846988</v>
      </c>
      <c r="T352" s="95">
        <f>SUMIF($G$2:$G$349,$O352,T$2:T$349)/29</f>
        <v>0.6722138941716076</v>
      </c>
      <c r="U352" s="103">
        <f>SUMIF($G$2:$G$349,$O352,U$2:U$349)/29</f>
        <v>0.44941939814296866</v>
      </c>
      <c r="V352" s="91">
        <f>SUMIF($G$2:$G$349,$O352,V$2:V$349)/29</f>
        <v>2016</v>
      </c>
      <c r="W352" s="65">
        <f>COUNTIF(W$2:W$349,"NO")/29</f>
        <v>5</v>
      </c>
    </row>
    <row r="353" spans="12:23" x14ac:dyDescent="0.2">
      <c r="L353" s="75">
        <f t="shared" ref="L353:N363" si="33">SUMIF($G$2:$G$349,$O353,L$2:L$349)/29</f>
        <v>222037</v>
      </c>
      <c r="M353" s="75">
        <f t="shared" si="33"/>
        <v>645627</v>
      </c>
      <c r="N353" s="75">
        <f t="shared" si="33"/>
        <v>310994</v>
      </c>
      <c r="O353" s="87" t="s">
        <v>76</v>
      </c>
      <c r="P353" s="75">
        <f t="shared" si="32"/>
        <v>223918692</v>
      </c>
      <c r="Q353" s="75">
        <f t="shared" si="32"/>
        <v>1008.4746776438161</v>
      </c>
      <c r="R353" s="75">
        <f t="shared" si="32"/>
        <v>346.82361797136736</v>
      </c>
      <c r="S353" s="75">
        <f t="shared" si="32"/>
        <v>720.00968507431014</v>
      </c>
      <c r="T353" s="95">
        <f t="shared" ref="T353:U363" si="34">SUMIF($G$2:$G$349,$O353,T$2:T$349)/29</f>
        <v>0.48169298991522963</v>
      </c>
      <c r="U353" s="103">
        <f t="shared" si="34"/>
        <v>0.34390909921673068</v>
      </c>
      <c r="V353" s="91">
        <f t="shared" ref="V353:V363" si="35">SUMIF($G$2:$G$349,$O353,V$2:V$349)/29</f>
        <v>2016</v>
      </c>
      <c r="W353" s="88"/>
    </row>
    <row r="354" spans="12:23" x14ac:dyDescent="0.2">
      <c r="L354" s="75">
        <f t="shared" si="33"/>
        <v>121133</v>
      </c>
      <c r="M354" s="75">
        <f t="shared" si="33"/>
        <v>446985</v>
      </c>
      <c r="N354" s="75">
        <f t="shared" si="33"/>
        <v>282420</v>
      </c>
      <c r="O354" s="87" t="s">
        <v>75</v>
      </c>
      <c r="P354" s="75">
        <f t="shared" si="32"/>
        <v>171010585</v>
      </c>
      <c r="Q354" s="75">
        <f t="shared" si="32"/>
        <v>1411.7588518405389</v>
      </c>
      <c r="R354" s="75">
        <f t="shared" si="32"/>
        <v>382.58685414499371</v>
      </c>
      <c r="S354" s="75">
        <f t="shared" si="32"/>
        <v>605.51867785567595</v>
      </c>
      <c r="T354" s="95">
        <f t="shared" si="34"/>
        <v>0.63183328299607344</v>
      </c>
      <c r="U354" s="103">
        <f t="shared" si="34"/>
        <v>0.27100014541874989</v>
      </c>
      <c r="V354" s="91">
        <f t="shared" si="35"/>
        <v>2016</v>
      </c>
    </row>
    <row r="355" spans="12:23" x14ac:dyDescent="0.2">
      <c r="L355" s="75">
        <f t="shared" si="33"/>
        <v>580094</v>
      </c>
      <c r="M355" s="75">
        <f t="shared" si="33"/>
        <v>2044670</v>
      </c>
      <c r="N355" s="75">
        <f t="shared" si="33"/>
        <v>710886</v>
      </c>
      <c r="O355" s="87" t="s">
        <v>36</v>
      </c>
      <c r="P355" s="75">
        <f t="shared" si="32"/>
        <v>584876141</v>
      </c>
      <c r="Q355" s="75">
        <f t="shared" si="32"/>
        <v>1008.2437346361107</v>
      </c>
      <c r="R355" s="75">
        <f t="shared" si="32"/>
        <v>286.04916245653334</v>
      </c>
      <c r="S355" s="75">
        <f t="shared" si="32"/>
        <v>822.74252271109572</v>
      </c>
      <c r="T355" s="95">
        <f t="shared" si="34"/>
        <v>0.34767762034949412</v>
      </c>
      <c r="U355" s="103">
        <f t="shared" si="34"/>
        <v>0.28371032978426841</v>
      </c>
      <c r="V355" s="91">
        <f t="shared" si="35"/>
        <v>2016</v>
      </c>
    </row>
    <row r="356" spans="12:23" x14ac:dyDescent="0.2">
      <c r="L356" s="75">
        <f t="shared" si="33"/>
        <v>362564</v>
      </c>
      <c r="M356" s="75">
        <f t="shared" si="33"/>
        <v>830616</v>
      </c>
      <c r="N356" s="75">
        <f t="shared" si="33"/>
        <v>230390</v>
      </c>
      <c r="O356" s="87" t="s">
        <v>74</v>
      </c>
      <c r="P356" s="75">
        <f t="shared" si="32"/>
        <v>413153267</v>
      </c>
      <c r="Q356" s="75">
        <f t="shared" si="32"/>
        <v>1139.5319640118707</v>
      </c>
      <c r="R356" s="75">
        <f t="shared" si="32"/>
        <v>497.40586143296071</v>
      </c>
      <c r="S356" s="75">
        <f t="shared" si="32"/>
        <v>1793.2777768132298</v>
      </c>
      <c r="T356" s="95">
        <f t="shared" si="34"/>
        <v>0.27737245610486672</v>
      </c>
      <c r="U356" s="103">
        <f t="shared" si="34"/>
        <v>0.43650013965538831</v>
      </c>
      <c r="V356" s="91">
        <f t="shared" si="35"/>
        <v>2016</v>
      </c>
    </row>
    <row r="357" spans="12:23" x14ac:dyDescent="0.2">
      <c r="L357" s="89">
        <f t="shared" si="33"/>
        <v>157951</v>
      </c>
      <c r="M357" s="89">
        <f t="shared" si="33"/>
        <v>557289</v>
      </c>
      <c r="N357" s="89">
        <f t="shared" si="33"/>
        <v>119039</v>
      </c>
      <c r="O357" s="90" t="s">
        <v>31</v>
      </c>
      <c r="P357" s="89">
        <f t="shared" si="32"/>
        <v>181845675</v>
      </c>
      <c r="Q357" s="89">
        <f t="shared" si="32"/>
        <v>1151.2790359035396</v>
      </c>
      <c r="R357" s="89">
        <f t="shared" si="32"/>
        <v>326.30408100644371</v>
      </c>
      <c r="S357" s="89">
        <f t="shared" si="32"/>
        <v>1527.6142692730953</v>
      </c>
      <c r="T357" s="96">
        <f t="shared" si="34"/>
        <v>0.21360371369253645</v>
      </c>
      <c r="U357" s="104">
        <f t="shared" si="34"/>
        <v>0.28342744967153499</v>
      </c>
      <c r="V357" s="92">
        <f t="shared" si="35"/>
        <v>2019</v>
      </c>
      <c r="W357" s="93">
        <f>COUNTIF(W$2:W$349,"YES")/29</f>
        <v>7</v>
      </c>
    </row>
    <row r="358" spans="12:23" x14ac:dyDescent="0.2">
      <c r="L358" s="89">
        <f t="shared" si="33"/>
        <v>76187</v>
      </c>
      <c r="M358" s="89">
        <f t="shared" si="33"/>
        <v>224528</v>
      </c>
      <c r="N358" s="89">
        <f t="shared" si="33"/>
        <v>89355</v>
      </c>
      <c r="O358" s="90" t="s">
        <v>123</v>
      </c>
      <c r="P358" s="89">
        <f t="shared" si="32"/>
        <v>65252058.299334191</v>
      </c>
      <c r="Q358" s="89">
        <f t="shared" si="32"/>
        <v>856.47234172935259</v>
      </c>
      <c r="R358" s="89">
        <f t="shared" si="32"/>
        <v>290.61880166096955</v>
      </c>
      <c r="S358" s="89">
        <f t="shared" si="32"/>
        <v>730.25637400631399</v>
      </c>
      <c r="T358" s="96">
        <f t="shared" si="34"/>
        <v>0.39796818214209378</v>
      </c>
      <c r="U358" s="104">
        <f t="shared" si="34"/>
        <v>0.33932070833036404</v>
      </c>
      <c r="V358" s="92">
        <f t="shared" si="35"/>
        <v>2021</v>
      </c>
    </row>
    <row r="359" spans="12:23" x14ac:dyDescent="0.2">
      <c r="L359" s="89">
        <f t="shared" si="33"/>
        <v>80570</v>
      </c>
      <c r="M359" s="89">
        <f t="shared" si="33"/>
        <v>233506</v>
      </c>
      <c r="N359" s="89">
        <f t="shared" si="33"/>
        <v>79924</v>
      </c>
      <c r="O359" s="90" t="s">
        <v>122</v>
      </c>
      <c r="P359" s="89">
        <f t="shared" si="32"/>
        <v>68635668.199999988</v>
      </c>
      <c r="Q359" s="89">
        <f t="shared" si="32"/>
        <v>851.87623433039585</v>
      </c>
      <c r="R359" s="89">
        <f t="shared" si="32"/>
        <v>293.93535155413565</v>
      </c>
      <c r="S359" s="89">
        <f t="shared" si="32"/>
        <v>858.76167609228764</v>
      </c>
      <c r="T359" s="96">
        <f t="shared" si="34"/>
        <v>0.3422781427457966</v>
      </c>
      <c r="U359" s="104">
        <f t="shared" si="34"/>
        <v>0.34504466694645974</v>
      </c>
      <c r="V359" s="92">
        <f t="shared" si="35"/>
        <v>2021</v>
      </c>
    </row>
    <row r="360" spans="12:23" x14ac:dyDescent="0.2">
      <c r="L360" s="89">
        <f t="shared" si="33"/>
        <v>2904714</v>
      </c>
      <c r="M360" s="89">
        <f t="shared" si="33"/>
        <v>10851011</v>
      </c>
      <c r="N360" s="89">
        <f t="shared" si="33"/>
        <v>6412481</v>
      </c>
      <c r="O360" s="90" t="s">
        <v>40</v>
      </c>
      <c r="P360" s="89">
        <f t="shared" si="32"/>
        <v>6519252576.7451973</v>
      </c>
      <c r="Q360" s="89">
        <f t="shared" si="32"/>
        <v>2244.3698679956774</v>
      </c>
      <c r="R360" s="89">
        <f t="shared" si="32"/>
        <v>600.79678997147789</v>
      </c>
      <c r="S360" s="89">
        <f t="shared" si="32"/>
        <v>1016.6505876189257</v>
      </c>
      <c r="T360" s="96">
        <f t="shared" si="34"/>
        <v>0.59095700852206279</v>
      </c>
      <c r="U360" s="104">
        <f t="shared" si="34"/>
        <v>0.2676906326977273</v>
      </c>
      <c r="V360" s="92">
        <f t="shared" si="35"/>
        <v>2023</v>
      </c>
    </row>
    <row r="361" spans="12:23" x14ac:dyDescent="0.2">
      <c r="L361" s="89">
        <f t="shared" si="33"/>
        <v>180376</v>
      </c>
      <c r="M361" s="89">
        <f t="shared" si="33"/>
        <v>1771721</v>
      </c>
      <c r="N361" s="89">
        <f t="shared" si="33"/>
        <v>827528</v>
      </c>
      <c r="O361" s="90" t="s">
        <v>143</v>
      </c>
      <c r="P361" s="89">
        <f t="shared" si="32"/>
        <v>558787000.83800006</v>
      </c>
      <c r="Q361" s="89">
        <f t="shared" si="32"/>
        <v>3097.9010557834745</v>
      </c>
      <c r="R361" s="89">
        <f t="shared" si="32"/>
        <v>315.39220951718698</v>
      </c>
      <c r="S361" s="89">
        <f t="shared" si="32"/>
        <v>675.24845182036131</v>
      </c>
      <c r="T361" s="96">
        <f t="shared" si="34"/>
        <v>0.467075798051725</v>
      </c>
      <c r="U361" s="104">
        <f t="shared" si="34"/>
        <v>0.10180835470144566</v>
      </c>
      <c r="V361" s="92">
        <f t="shared" si="35"/>
        <v>2024</v>
      </c>
    </row>
    <row r="362" spans="12:23" x14ac:dyDescent="0.2">
      <c r="L362" s="89">
        <f t="shared" si="33"/>
        <v>106864</v>
      </c>
      <c r="M362" s="89">
        <f t="shared" si="33"/>
        <v>737134</v>
      </c>
      <c r="N362" s="89">
        <f t="shared" si="33"/>
        <v>777670</v>
      </c>
      <c r="O362" s="90" t="s">
        <v>142</v>
      </c>
      <c r="P362" s="89">
        <f t="shared" si="32"/>
        <v>292784901.40000004</v>
      </c>
      <c r="Q362" s="89">
        <f t="shared" si="32"/>
        <v>2739.7898394220692</v>
      </c>
      <c r="R362" s="89">
        <f t="shared" si="32"/>
        <v>397.19359220982892</v>
      </c>
      <c r="S362" s="89">
        <f t="shared" si="32"/>
        <v>376.48990111486876</v>
      </c>
      <c r="T362" s="96">
        <f t="shared" si="34"/>
        <v>1.0549913584232984</v>
      </c>
      <c r="U362" s="104">
        <f t="shared" si="34"/>
        <v>0.14497228455070579</v>
      </c>
      <c r="V362" s="92">
        <f t="shared" si="35"/>
        <v>2024</v>
      </c>
    </row>
    <row r="363" spans="12:23" x14ac:dyDescent="0.2">
      <c r="L363" s="89">
        <f t="shared" si="33"/>
        <v>240859</v>
      </c>
      <c r="M363" s="89">
        <f t="shared" si="33"/>
        <v>1049984</v>
      </c>
      <c r="N363" s="89">
        <f t="shared" si="33"/>
        <v>613513</v>
      </c>
      <c r="O363" s="90" t="s">
        <v>144</v>
      </c>
      <c r="P363" s="89">
        <f t="shared" si="32"/>
        <v>404424556.02900004</v>
      </c>
      <c r="Q363" s="89">
        <f t="shared" si="32"/>
        <v>1679.0925646498574</v>
      </c>
      <c r="R363" s="89">
        <f t="shared" si="32"/>
        <v>385.17211312648578</v>
      </c>
      <c r="S363" s="89">
        <f t="shared" si="32"/>
        <v>659.19476201645284</v>
      </c>
      <c r="T363" s="96">
        <f t="shared" si="34"/>
        <v>0.58430699896379357</v>
      </c>
      <c r="U363" s="104">
        <f t="shared" si="34"/>
        <v>0.22939301932219913</v>
      </c>
      <c r="V363" s="92">
        <f t="shared" si="35"/>
        <v>2024</v>
      </c>
    </row>
    <row r="364" spans="12:23" x14ac:dyDescent="0.2">
      <c r="P364" s="67"/>
      <c r="V364" s="9"/>
    </row>
    <row r="365" spans="12:23" x14ac:dyDescent="0.2">
      <c r="P365" s="67"/>
      <c r="V365" s="9"/>
    </row>
    <row r="366" spans="12:23" x14ac:dyDescent="0.2">
      <c r="P366" s="67"/>
      <c r="V366" s="9"/>
    </row>
    <row r="367" spans="12:23" x14ac:dyDescent="0.2">
      <c r="P367" s="67"/>
      <c r="V367" s="9"/>
    </row>
    <row r="368" spans="12:23" x14ac:dyDescent="0.2">
      <c r="P368" s="67"/>
      <c r="V368" s="9"/>
    </row>
    <row r="369" spans="16:22" x14ac:dyDescent="0.2">
      <c r="P369" s="67"/>
      <c r="V369" s="9"/>
    </row>
    <row r="370" spans="16:22" x14ac:dyDescent="0.2">
      <c r="P370" s="67"/>
      <c r="V370" s="9"/>
    </row>
    <row r="371" spans="16:22" x14ac:dyDescent="0.2">
      <c r="P371" s="67"/>
      <c r="V371" s="9"/>
    </row>
    <row r="372" spans="16:22" x14ac:dyDescent="0.2">
      <c r="P372" s="67"/>
      <c r="V372" s="9"/>
    </row>
    <row r="373" spans="16:22" x14ac:dyDescent="0.2">
      <c r="P373" s="67"/>
      <c r="V373" s="9"/>
    </row>
    <row r="374" spans="16:22" x14ac:dyDescent="0.2">
      <c r="P374" s="67"/>
      <c r="V374" s="9"/>
    </row>
    <row r="375" spans="16:22" x14ac:dyDescent="0.2">
      <c r="P375" s="67"/>
      <c r="V375" s="9"/>
    </row>
    <row r="376" spans="16:22" x14ac:dyDescent="0.2">
      <c r="P376" s="67"/>
      <c r="V376" s="9"/>
    </row>
    <row r="377" spans="16:22" x14ac:dyDescent="0.2">
      <c r="P377" s="67"/>
      <c r="V377" s="9"/>
    </row>
    <row r="378" spans="16:22" x14ac:dyDescent="0.2">
      <c r="P378" s="67"/>
      <c r="V378" s="9"/>
    </row>
    <row r="379" spans="16:22" x14ac:dyDescent="0.2">
      <c r="P379" s="67"/>
      <c r="V379" s="9"/>
    </row>
    <row r="380" spans="16:22" x14ac:dyDescent="0.2">
      <c r="P380" s="67"/>
      <c r="V380" s="9"/>
    </row>
    <row r="381" spans="16:22" x14ac:dyDescent="0.2">
      <c r="P381" s="67"/>
      <c r="V381" s="9"/>
    </row>
    <row r="382" spans="16:22" x14ac:dyDescent="0.2">
      <c r="P382" s="67"/>
      <c r="V382" s="9"/>
    </row>
    <row r="383" spans="16:22" x14ac:dyDescent="0.2">
      <c r="P383" s="67"/>
      <c r="V383" s="9"/>
    </row>
    <row r="384" spans="16:22" x14ac:dyDescent="0.2">
      <c r="P384" s="67"/>
      <c r="V384" s="9"/>
    </row>
    <row r="385" spans="16:22" x14ac:dyDescent="0.2">
      <c r="P385" s="67"/>
      <c r="V385" s="9"/>
    </row>
    <row r="386" spans="16:22" x14ac:dyDescent="0.2">
      <c r="P386" s="67"/>
      <c r="V386" s="9"/>
    </row>
    <row r="387" spans="16:22" x14ac:dyDescent="0.2">
      <c r="P387" s="67"/>
      <c r="V387" s="9"/>
    </row>
    <row r="388" spans="16:22" x14ac:dyDescent="0.2">
      <c r="P388" s="67"/>
      <c r="V388" s="9"/>
    </row>
    <row r="389" spans="16:22" x14ac:dyDescent="0.2">
      <c r="P389" s="67"/>
      <c r="V389" s="9"/>
    </row>
    <row r="390" spans="16:22" x14ac:dyDescent="0.2">
      <c r="P390" s="67"/>
      <c r="V390" s="9"/>
    </row>
    <row r="391" spans="16:22" x14ac:dyDescent="0.2">
      <c r="P391" s="67"/>
      <c r="V391" s="9"/>
    </row>
    <row r="392" spans="16:22" x14ac:dyDescent="0.2">
      <c r="P392" s="67"/>
      <c r="V392" s="9"/>
    </row>
    <row r="393" spans="16:22" x14ac:dyDescent="0.2">
      <c r="P393" s="67"/>
      <c r="V393" s="9"/>
    </row>
    <row r="394" spans="16:22" x14ac:dyDescent="0.2">
      <c r="P394" s="67"/>
      <c r="V394" s="9"/>
    </row>
    <row r="395" spans="16:22" x14ac:dyDescent="0.2">
      <c r="P395" s="67"/>
      <c r="V395" s="9"/>
    </row>
    <row r="396" spans="16:22" x14ac:dyDescent="0.2">
      <c r="P396" s="67"/>
      <c r="V396" s="9"/>
    </row>
    <row r="397" spans="16:22" x14ac:dyDescent="0.2">
      <c r="P397" s="67"/>
      <c r="V397" s="9"/>
    </row>
    <row r="398" spans="16:22" x14ac:dyDescent="0.2">
      <c r="P398" s="67"/>
      <c r="V398" s="9"/>
    </row>
    <row r="399" spans="16:22" x14ac:dyDescent="0.2">
      <c r="P399" s="67"/>
      <c r="V399" s="9"/>
    </row>
    <row r="400" spans="16:22" x14ac:dyDescent="0.2">
      <c r="P400" s="67"/>
      <c r="V400" s="9"/>
    </row>
    <row r="401" spans="16:22" x14ac:dyDescent="0.2">
      <c r="P401" s="67"/>
      <c r="V401" s="9"/>
    </row>
    <row r="402" spans="16:22" x14ac:dyDescent="0.2">
      <c r="P402" s="67"/>
      <c r="V402" s="9"/>
    </row>
    <row r="403" spans="16:22" x14ac:dyDescent="0.2">
      <c r="P403" s="67"/>
      <c r="V403" s="9"/>
    </row>
    <row r="404" spans="16:22" x14ac:dyDescent="0.2">
      <c r="P404" s="67"/>
      <c r="V404" s="9"/>
    </row>
    <row r="405" spans="16:22" x14ac:dyDescent="0.2">
      <c r="P405" s="67"/>
      <c r="V405" s="9"/>
    </row>
    <row r="406" spans="16:22" x14ac:dyDescent="0.2">
      <c r="P406" s="67"/>
      <c r="V406" s="9"/>
    </row>
    <row r="407" spans="16:22" x14ac:dyDescent="0.2">
      <c r="P407" s="67"/>
      <c r="V407" s="9"/>
    </row>
    <row r="408" spans="16:22" x14ac:dyDescent="0.2">
      <c r="P408" s="67"/>
      <c r="V408" s="9"/>
    </row>
    <row r="409" spans="16:22" x14ac:dyDescent="0.2">
      <c r="P409" s="67"/>
      <c r="V409" s="9"/>
    </row>
    <row r="410" spans="16:22" x14ac:dyDescent="0.2">
      <c r="P410" s="67"/>
      <c r="V410" s="9"/>
    </row>
    <row r="411" spans="16:22" x14ac:dyDescent="0.2">
      <c r="P411" s="67"/>
      <c r="V411" s="9"/>
    </row>
    <row r="412" spans="16:22" x14ac:dyDescent="0.2">
      <c r="P412" s="67"/>
      <c r="V412" s="9"/>
    </row>
    <row r="413" spans="16:22" x14ac:dyDescent="0.2">
      <c r="P413" s="67"/>
      <c r="V413" s="9"/>
    </row>
    <row r="414" spans="16:22" x14ac:dyDescent="0.2">
      <c r="P414" s="67"/>
      <c r="V414" s="9"/>
    </row>
    <row r="415" spans="16:22" x14ac:dyDescent="0.2">
      <c r="P415" s="67"/>
      <c r="V415" s="9"/>
    </row>
    <row r="416" spans="16:22" x14ac:dyDescent="0.2">
      <c r="P416" s="67"/>
      <c r="V416" s="9"/>
    </row>
    <row r="417" spans="16:22" x14ac:dyDescent="0.2">
      <c r="P417" s="67"/>
      <c r="V417" s="9"/>
    </row>
    <row r="418" spans="16:22" x14ac:dyDescent="0.2">
      <c r="P418" s="67"/>
      <c r="V418" s="9"/>
    </row>
    <row r="419" spans="16:22" x14ac:dyDescent="0.2">
      <c r="P419" s="67"/>
      <c r="V419" s="9"/>
    </row>
    <row r="420" spans="16:22" x14ac:dyDescent="0.2">
      <c r="P420" s="67"/>
      <c r="V420" s="9"/>
    </row>
    <row r="421" spans="16:22" x14ac:dyDescent="0.2">
      <c r="P421" s="67"/>
      <c r="V421" s="9"/>
    </row>
    <row r="422" spans="16:22" x14ac:dyDescent="0.2">
      <c r="P422" s="67"/>
      <c r="V422" s="9"/>
    </row>
    <row r="423" spans="16:22" x14ac:dyDescent="0.2">
      <c r="P423" s="67"/>
      <c r="V423" s="9"/>
    </row>
    <row r="424" spans="16:22" x14ac:dyDescent="0.2">
      <c r="P424" s="67"/>
      <c r="V424" s="9"/>
    </row>
    <row r="425" spans="16:22" x14ac:dyDescent="0.2">
      <c r="P425" s="67"/>
      <c r="V425" s="9"/>
    </row>
    <row r="426" spans="16:22" x14ac:dyDescent="0.2">
      <c r="P426" s="67"/>
      <c r="V426" s="9"/>
    </row>
    <row r="427" spans="16:22" x14ac:dyDescent="0.2">
      <c r="P427" s="67"/>
      <c r="V427" s="9"/>
    </row>
    <row r="428" spans="16:22" x14ac:dyDescent="0.2">
      <c r="P428" s="67"/>
      <c r="V428" s="9"/>
    </row>
    <row r="429" spans="16:22" x14ac:dyDescent="0.2">
      <c r="P429" s="67"/>
      <c r="V429" s="9"/>
    </row>
    <row r="430" spans="16:22" x14ac:dyDescent="0.2">
      <c r="P430" s="67"/>
      <c r="V430" s="9"/>
    </row>
    <row r="431" spans="16:22" x14ac:dyDescent="0.2">
      <c r="P431" s="67"/>
      <c r="V431" s="9"/>
    </row>
    <row r="432" spans="16:22" x14ac:dyDescent="0.2">
      <c r="P432" s="67"/>
      <c r="V432" s="9"/>
    </row>
    <row r="433" spans="16:22" x14ac:dyDescent="0.2">
      <c r="P433" s="67"/>
      <c r="V433" s="9"/>
    </row>
    <row r="434" spans="16:22" x14ac:dyDescent="0.2">
      <c r="P434" s="67"/>
      <c r="V434" s="9"/>
    </row>
    <row r="435" spans="16:22" x14ac:dyDescent="0.2">
      <c r="P435" s="67"/>
      <c r="V435" s="9"/>
    </row>
    <row r="436" spans="16:22" x14ac:dyDescent="0.2">
      <c r="P436" s="67"/>
      <c r="V436" s="9"/>
    </row>
    <row r="437" spans="16:22" x14ac:dyDescent="0.2">
      <c r="P437" s="67"/>
      <c r="V437" s="9"/>
    </row>
    <row r="438" spans="16:22" x14ac:dyDescent="0.2">
      <c r="P438" s="67"/>
      <c r="V438" s="9"/>
    </row>
    <row r="439" spans="16:22" x14ac:dyDescent="0.2">
      <c r="P439" s="67"/>
      <c r="V439" s="9"/>
    </row>
    <row r="440" spans="16:22" x14ac:dyDescent="0.2">
      <c r="P440" s="67"/>
      <c r="V440" s="9"/>
    </row>
    <row r="441" spans="16:22" x14ac:dyDescent="0.2">
      <c r="P441" s="67"/>
      <c r="V441" s="9"/>
    </row>
    <row r="442" spans="16:22" x14ac:dyDescent="0.2">
      <c r="P442" s="67"/>
      <c r="V442" s="9"/>
    </row>
    <row r="443" spans="16:22" x14ac:dyDescent="0.2">
      <c r="P443" s="67"/>
      <c r="V443" s="9"/>
    </row>
    <row r="444" spans="16:22" x14ac:dyDescent="0.2">
      <c r="P444" s="67"/>
      <c r="V444" s="9"/>
    </row>
    <row r="445" spans="16:22" x14ac:dyDescent="0.2">
      <c r="P445" s="67"/>
      <c r="V445" s="9"/>
    </row>
    <row r="446" spans="16:22" x14ac:dyDescent="0.2">
      <c r="P446" s="67"/>
      <c r="V446" s="9"/>
    </row>
    <row r="447" spans="16:22" x14ac:dyDescent="0.2">
      <c r="P447" s="67"/>
      <c r="V447" s="9"/>
    </row>
    <row r="448" spans="16:22" x14ac:dyDescent="0.2">
      <c r="P448" s="67"/>
      <c r="V448" s="9"/>
    </row>
    <row r="449" spans="16:22" x14ac:dyDescent="0.2">
      <c r="P449" s="67"/>
      <c r="V449" s="9"/>
    </row>
    <row r="450" spans="16:22" x14ac:dyDescent="0.2">
      <c r="P450" s="67"/>
      <c r="V450" s="9"/>
    </row>
    <row r="451" spans="16:22" x14ac:dyDescent="0.2">
      <c r="P451" s="67"/>
      <c r="V451" s="9"/>
    </row>
    <row r="452" spans="16:22" x14ac:dyDescent="0.2">
      <c r="P452" s="67"/>
      <c r="V452" s="8"/>
    </row>
    <row r="453" spans="16:22" x14ac:dyDescent="0.2">
      <c r="P453" s="67"/>
      <c r="V453" s="8"/>
    </row>
    <row r="454" spans="16:22" x14ac:dyDescent="0.2">
      <c r="P454" s="67"/>
      <c r="V454" s="8"/>
    </row>
    <row r="455" spans="16:22" x14ac:dyDescent="0.2">
      <c r="P455" s="67"/>
      <c r="V455" s="8"/>
    </row>
    <row r="456" spans="16:22" x14ac:dyDescent="0.2">
      <c r="P456" s="67"/>
      <c r="V456" s="8"/>
    </row>
    <row r="457" spans="16:22" x14ac:dyDescent="0.2">
      <c r="P457" s="67"/>
      <c r="V457" s="8"/>
    </row>
    <row r="458" spans="16:22" x14ac:dyDescent="0.2">
      <c r="P458" s="67"/>
      <c r="V458" s="8"/>
    </row>
    <row r="459" spans="16:22" x14ac:dyDescent="0.2">
      <c r="P459" s="67"/>
      <c r="V459" s="8"/>
    </row>
    <row r="460" spans="16:22" x14ac:dyDescent="0.2">
      <c r="P460" s="67"/>
      <c r="V460" s="8"/>
    </row>
    <row r="461" spans="16:22" x14ac:dyDescent="0.2">
      <c r="P461" s="67"/>
      <c r="V461" s="8"/>
    </row>
    <row r="462" spans="16:22" x14ac:dyDescent="0.2">
      <c r="P462" s="67"/>
      <c r="V462" s="8"/>
    </row>
    <row r="463" spans="16:22" x14ac:dyDescent="0.2">
      <c r="P463" s="67"/>
      <c r="V463" s="8"/>
    </row>
    <row r="464" spans="16:22" x14ac:dyDescent="0.2">
      <c r="P464" s="67"/>
      <c r="V464" s="8"/>
    </row>
    <row r="465" spans="16:22" x14ac:dyDescent="0.2">
      <c r="P465" s="67"/>
      <c r="V465" s="8"/>
    </row>
    <row r="466" spans="16:22" x14ac:dyDescent="0.2">
      <c r="P466" s="67"/>
      <c r="V466" s="8"/>
    </row>
    <row r="467" spans="16:22" x14ac:dyDescent="0.2">
      <c r="P467" s="67"/>
      <c r="V467" s="8"/>
    </row>
    <row r="468" spans="16:22" x14ac:dyDescent="0.2">
      <c r="P468" s="67"/>
      <c r="V468" s="8"/>
    </row>
    <row r="469" spans="16:22" x14ac:dyDescent="0.2">
      <c r="P469" s="67"/>
      <c r="V469" s="8"/>
    </row>
    <row r="470" spans="16:22" x14ac:dyDescent="0.2">
      <c r="P470" s="67"/>
      <c r="V470" s="8"/>
    </row>
    <row r="471" spans="16:22" x14ac:dyDescent="0.2">
      <c r="P471" s="67"/>
      <c r="V471" s="8"/>
    </row>
    <row r="472" spans="16:22" x14ac:dyDescent="0.2">
      <c r="P472" s="67"/>
      <c r="V472" s="8"/>
    </row>
    <row r="473" spans="16:22" x14ac:dyDescent="0.2">
      <c r="P473" s="67"/>
      <c r="V473" s="8"/>
    </row>
    <row r="474" spans="16:22" x14ac:dyDescent="0.2">
      <c r="P474" s="67"/>
      <c r="V474" s="8"/>
    </row>
    <row r="475" spans="16:22" x14ac:dyDescent="0.2">
      <c r="P475" s="67"/>
      <c r="V475" s="8"/>
    </row>
    <row r="476" spans="16:22" x14ac:dyDescent="0.2">
      <c r="P476" s="67"/>
      <c r="V476" s="8"/>
    </row>
    <row r="477" spans="16:22" x14ac:dyDescent="0.2">
      <c r="P477" s="67"/>
      <c r="V477" s="8"/>
    </row>
    <row r="478" spans="16:22" x14ac:dyDescent="0.2">
      <c r="P478" s="67"/>
      <c r="V478" s="8"/>
    </row>
    <row r="479" spans="16:22" x14ac:dyDescent="0.2">
      <c r="P479" s="67"/>
      <c r="V479" s="8"/>
    </row>
    <row r="480" spans="16:22" x14ac:dyDescent="0.2">
      <c r="P480" s="67"/>
      <c r="V480" s="8"/>
    </row>
    <row r="481" spans="16:22" x14ac:dyDescent="0.2">
      <c r="P481" s="67"/>
      <c r="V481" s="8"/>
    </row>
    <row r="482" spans="16:22" x14ac:dyDescent="0.2">
      <c r="P482" s="67"/>
      <c r="V482" s="8"/>
    </row>
    <row r="483" spans="16:22" x14ac:dyDescent="0.2">
      <c r="P483" s="67"/>
      <c r="V483" s="8"/>
    </row>
    <row r="484" spans="16:22" x14ac:dyDescent="0.2">
      <c r="P484" s="67"/>
      <c r="V484" s="8"/>
    </row>
    <row r="485" spans="16:22" x14ac:dyDescent="0.2">
      <c r="P485" s="67"/>
      <c r="V485" s="8"/>
    </row>
    <row r="486" spans="16:22" x14ac:dyDescent="0.2">
      <c r="P486" s="67"/>
      <c r="V486" s="8"/>
    </row>
    <row r="487" spans="16:22" x14ac:dyDescent="0.2">
      <c r="P487" s="67"/>
      <c r="V487" s="8"/>
    </row>
    <row r="488" spans="16:22" x14ac:dyDescent="0.2">
      <c r="P488" s="67"/>
      <c r="V488" s="8"/>
    </row>
    <row r="489" spans="16:22" x14ac:dyDescent="0.2">
      <c r="P489" s="67"/>
      <c r="V489" s="8"/>
    </row>
    <row r="490" spans="16:22" x14ac:dyDescent="0.2">
      <c r="P490" s="67"/>
      <c r="V490" s="8"/>
    </row>
    <row r="491" spans="16:22" x14ac:dyDescent="0.2">
      <c r="P491" s="67"/>
      <c r="V491" s="8"/>
    </row>
    <row r="492" spans="16:22" x14ac:dyDescent="0.2">
      <c r="P492" s="67"/>
      <c r="V492" s="8"/>
    </row>
    <row r="493" spans="16:22" x14ac:dyDescent="0.2">
      <c r="P493" s="67"/>
      <c r="V493" s="8"/>
    </row>
    <row r="494" spans="16:22" x14ac:dyDescent="0.2">
      <c r="P494" s="67"/>
      <c r="V494" s="8"/>
    </row>
    <row r="495" spans="16:22" x14ac:dyDescent="0.2">
      <c r="P495" s="67"/>
      <c r="V495" s="8"/>
    </row>
    <row r="496" spans="16:22" x14ac:dyDescent="0.2">
      <c r="P496" s="67"/>
      <c r="V496" s="8"/>
    </row>
    <row r="497" spans="16:22" x14ac:dyDescent="0.2">
      <c r="P497" s="67"/>
      <c r="V497" s="8"/>
    </row>
    <row r="498" spans="16:22" x14ac:dyDescent="0.2">
      <c r="P498" s="67"/>
      <c r="V498" s="8"/>
    </row>
    <row r="499" spans="16:22" x14ac:dyDescent="0.2">
      <c r="P499" s="67"/>
      <c r="V499" s="8"/>
    </row>
    <row r="500" spans="16:22" x14ac:dyDescent="0.2">
      <c r="P500" s="67"/>
      <c r="V500" s="8"/>
    </row>
    <row r="501" spans="16:22" x14ac:dyDescent="0.2">
      <c r="P501" s="67"/>
      <c r="V501" s="8"/>
    </row>
    <row r="502" spans="16:22" x14ac:dyDescent="0.2">
      <c r="P502" s="67"/>
      <c r="V502" s="8"/>
    </row>
    <row r="503" spans="16:22" x14ac:dyDescent="0.2">
      <c r="P503" s="67"/>
      <c r="V503" s="8"/>
    </row>
    <row r="504" spans="16:22" x14ac:dyDescent="0.2">
      <c r="P504" s="67"/>
      <c r="V504" s="8"/>
    </row>
    <row r="505" spans="16:22" x14ac:dyDescent="0.2">
      <c r="P505" s="67"/>
      <c r="V505" s="8"/>
    </row>
    <row r="506" spans="16:22" x14ac:dyDescent="0.2">
      <c r="P506" s="67"/>
      <c r="V506" s="8"/>
    </row>
    <row r="507" spans="16:22" x14ac:dyDescent="0.2">
      <c r="P507" s="67"/>
      <c r="V507" s="8"/>
    </row>
    <row r="508" spans="16:22" x14ac:dyDescent="0.2">
      <c r="P508" s="67"/>
      <c r="V508" s="8"/>
    </row>
    <row r="509" spans="16:22" x14ac:dyDescent="0.2">
      <c r="P509" s="67"/>
      <c r="V509" s="8"/>
    </row>
    <row r="510" spans="16:22" x14ac:dyDescent="0.2">
      <c r="P510" s="67"/>
      <c r="V510" s="8"/>
    </row>
    <row r="511" spans="16:22" x14ac:dyDescent="0.2">
      <c r="P511" s="67"/>
      <c r="V511" s="8"/>
    </row>
    <row r="512" spans="16:22" x14ac:dyDescent="0.2">
      <c r="P512" s="67"/>
      <c r="V512" s="8"/>
    </row>
    <row r="513" spans="16:22" x14ac:dyDescent="0.2">
      <c r="P513" s="67"/>
      <c r="V513" s="8"/>
    </row>
    <row r="514" spans="16:22" x14ac:dyDescent="0.2">
      <c r="P514" s="67"/>
      <c r="V514" s="8"/>
    </row>
    <row r="515" spans="16:22" x14ac:dyDescent="0.2">
      <c r="P515" s="67"/>
      <c r="V515" s="8"/>
    </row>
    <row r="516" spans="16:22" x14ac:dyDescent="0.2">
      <c r="P516" s="67"/>
      <c r="V516" s="8"/>
    </row>
    <row r="517" spans="16:22" x14ac:dyDescent="0.2">
      <c r="P517" s="67"/>
      <c r="V517" s="8"/>
    </row>
    <row r="518" spans="16:22" x14ac:dyDescent="0.2">
      <c r="P518" s="67"/>
      <c r="V518" s="8"/>
    </row>
    <row r="519" spans="16:22" x14ac:dyDescent="0.2">
      <c r="P519" s="67"/>
      <c r="V519" s="8"/>
    </row>
    <row r="520" spans="16:22" x14ac:dyDescent="0.2">
      <c r="P520" s="67"/>
      <c r="V520" s="8"/>
    </row>
    <row r="521" spans="16:22" x14ac:dyDescent="0.2">
      <c r="P521" s="67"/>
      <c r="V521" s="8"/>
    </row>
    <row r="522" spans="16:22" x14ac:dyDescent="0.2">
      <c r="P522" s="67"/>
      <c r="V522" s="8"/>
    </row>
    <row r="523" spans="16:22" x14ac:dyDescent="0.2">
      <c r="P523" s="67"/>
      <c r="V523" s="8"/>
    </row>
    <row r="524" spans="16:22" x14ac:dyDescent="0.2">
      <c r="P524" s="67"/>
      <c r="V524" s="8"/>
    </row>
    <row r="525" spans="16:22" x14ac:dyDescent="0.2">
      <c r="P525" s="67"/>
      <c r="V525" s="8"/>
    </row>
    <row r="526" spans="16:22" x14ac:dyDescent="0.2">
      <c r="P526" s="67"/>
      <c r="V526" s="8"/>
    </row>
    <row r="527" spans="16:22" x14ac:dyDescent="0.2">
      <c r="P527" s="67"/>
      <c r="V527" s="8"/>
    </row>
    <row r="528" spans="16:22" x14ac:dyDescent="0.2">
      <c r="P528" s="67"/>
      <c r="V528" s="8"/>
    </row>
    <row r="529" spans="16:22" x14ac:dyDescent="0.2">
      <c r="P529" s="67"/>
      <c r="V529" s="8"/>
    </row>
    <row r="530" spans="16:22" x14ac:dyDescent="0.2">
      <c r="P530" s="67"/>
      <c r="V530" s="8"/>
    </row>
    <row r="531" spans="16:22" x14ac:dyDescent="0.2">
      <c r="P531" s="67"/>
      <c r="V531" s="8"/>
    </row>
    <row r="532" spans="16:22" x14ac:dyDescent="0.2">
      <c r="P532" s="67"/>
      <c r="V532" s="8"/>
    </row>
    <row r="533" spans="16:22" x14ac:dyDescent="0.2">
      <c r="P533" s="67"/>
      <c r="V533" s="8"/>
    </row>
    <row r="534" spans="16:22" x14ac:dyDescent="0.2">
      <c r="P534" s="67"/>
      <c r="V534" s="8"/>
    </row>
    <row r="535" spans="16:22" x14ac:dyDescent="0.2">
      <c r="P535" s="67"/>
      <c r="V535" s="8"/>
    </row>
    <row r="536" spans="16:22" x14ac:dyDescent="0.2">
      <c r="P536" s="67"/>
      <c r="V536" s="8"/>
    </row>
    <row r="537" spans="16:22" x14ac:dyDescent="0.2">
      <c r="P537" s="67"/>
      <c r="V537" s="8"/>
    </row>
    <row r="538" spans="16:22" x14ac:dyDescent="0.2">
      <c r="P538" s="67"/>
      <c r="V538" s="8"/>
    </row>
    <row r="539" spans="16:22" x14ac:dyDescent="0.2">
      <c r="P539" s="67"/>
      <c r="V539" s="8"/>
    </row>
    <row r="540" spans="16:22" x14ac:dyDescent="0.2">
      <c r="P540" s="67"/>
      <c r="V540" s="8"/>
    </row>
    <row r="541" spans="16:22" x14ac:dyDescent="0.2">
      <c r="P541" s="67"/>
      <c r="V541" s="8"/>
    </row>
    <row r="542" spans="16:22" x14ac:dyDescent="0.2">
      <c r="P542" s="67"/>
      <c r="V542" s="8"/>
    </row>
    <row r="543" spans="16:22" x14ac:dyDescent="0.2">
      <c r="P543" s="67"/>
      <c r="V543" s="8"/>
    </row>
    <row r="544" spans="16:22" x14ac:dyDescent="0.2">
      <c r="P544" s="67"/>
      <c r="V544" s="8"/>
    </row>
    <row r="545" spans="16:22" x14ac:dyDescent="0.2">
      <c r="P545" s="67"/>
      <c r="V545" s="8"/>
    </row>
    <row r="546" spans="16:22" x14ac:dyDescent="0.2">
      <c r="P546" s="67"/>
      <c r="V546" s="8"/>
    </row>
    <row r="547" spans="16:22" x14ac:dyDescent="0.2">
      <c r="P547" s="67"/>
      <c r="V547" s="8"/>
    </row>
    <row r="548" spans="16:22" x14ac:dyDescent="0.2">
      <c r="P548" s="67"/>
      <c r="V548" s="8"/>
    </row>
    <row r="549" spans="16:22" x14ac:dyDescent="0.2">
      <c r="P549" s="67"/>
      <c r="V549" s="8"/>
    </row>
    <row r="550" spans="16:22" x14ac:dyDescent="0.2">
      <c r="P550" s="67"/>
      <c r="V550" s="8"/>
    </row>
    <row r="551" spans="16:22" x14ac:dyDescent="0.2">
      <c r="P551" s="67"/>
      <c r="V551" s="8"/>
    </row>
    <row r="552" spans="16:22" x14ac:dyDescent="0.2">
      <c r="P552" s="67"/>
      <c r="V552" s="8"/>
    </row>
    <row r="553" spans="16:22" x14ac:dyDescent="0.2">
      <c r="P553" s="67"/>
      <c r="V553" s="8"/>
    </row>
    <row r="554" spans="16:22" x14ac:dyDescent="0.2">
      <c r="P554" s="67"/>
      <c r="V554" s="8"/>
    </row>
    <row r="555" spans="16:22" x14ac:dyDescent="0.2">
      <c r="P555" s="67"/>
      <c r="V555" s="8"/>
    </row>
    <row r="556" spans="16:22" x14ac:dyDescent="0.2">
      <c r="P556" s="67"/>
      <c r="V556" s="8"/>
    </row>
    <row r="557" spans="16:22" x14ac:dyDescent="0.2">
      <c r="P557" s="67"/>
      <c r="V557" s="8"/>
    </row>
    <row r="558" spans="16:22" x14ac:dyDescent="0.2">
      <c r="P558" s="67"/>
      <c r="V558" s="8"/>
    </row>
    <row r="559" spans="16:22" x14ac:dyDescent="0.2">
      <c r="P559" s="67"/>
      <c r="V559" s="8"/>
    </row>
    <row r="560" spans="16:22" x14ac:dyDescent="0.2">
      <c r="P560" s="67"/>
      <c r="V560" s="8"/>
    </row>
    <row r="561" spans="16:22" x14ac:dyDescent="0.2">
      <c r="P561" s="67"/>
      <c r="V561" s="8"/>
    </row>
    <row r="562" spans="16:22" x14ac:dyDescent="0.2">
      <c r="P562" s="67"/>
      <c r="V562" s="8"/>
    </row>
    <row r="563" spans="16:22" x14ac:dyDescent="0.2">
      <c r="P563" s="67"/>
      <c r="V563" s="8"/>
    </row>
    <row r="564" spans="16:22" x14ac:dyDescent="0.2">
      <c r="P564" s="67"/>
      <c r="V564" s="8"/>
    </row>
    <row r="565" spans="16:22" x14ac:dyDescent="0.2">
      <c r="P565" s="67"/>
      <c r="V565" s="8"/>
    </row>
    <row r="566" spans="16:22" x14ac:dyDescent="0.2">
      <c r="P566" s="67"/>
      <c r="V566" s="8"/>
    </row>
    <row r="567" spans="16:22" x14ac:dyDescent="0.2">
      <c r="P567" s="67"/>
      <c r="V567" s="8"/>
    </row>
    <row r="568" spans="16:22" x14ac:dyDescent="0.2">
      <c r="P568" s="67"/>
      <c r="V568" s="8"/>
    </row>
    <row r="569" spans="16:22" x14ac:dyDescent="0.2">
      <c r="P569" s="67"/>
      <c r="V569" s="8"/>
    </row>
    <row r="570" spans="16:22" x14ac:dyDescent="0.2">
      <c r="P570" s="67"/>
      <c r="V570" s="8"/>
    </row>
    <row r="571" spans="16:22" x14ac:dyDescent="0.2">
      <c r="P571" s="67"/>
      <c r="V571" s="8"/>
    </row>
    <row r="572" spans="16:22" x14ac:dyDescent="0.2">
      <c r="P572" s="67"/>
      <c r="V572" s="8"/>
    </row>
    <row r="573" spans="16:22" x14ac:dyDescent="0.2">
      <c r="P573" s="67"/>
      <c r="V573" s="8"/>
    </row>
    <row r="574" spans="16:22" x14ac:dyDescent="0.2">
      <c r="P574" s="67"/>
      <c r="V574" s="8"/>
    </row>
    <row r="575" spans="16:22" x14ac:dyDescent="0.2">
      <c r="P575" s="67"/>
      <c r="V575" s="8"/>
    </row>
    <row r="576" spans="16:22" x14ac:dyDescent="0.2">
      <c r="P576" s="67"/>
      <c r="V576" s="8"/>
    </row>
    <row r="577" spans="16:22" x14ac:dyDescent="0.2">
      <c r="P577" s="67"/>
      <c r="V577" s="8"/>
    </row>
    <row r="578" spans="16:22" x14ac:dyDescent="0.2">
      <c r="P578" s="67"/>
      <c r="V578" s="8"/>
    </row>
    <row r="579" spans="16:22" x14ac:dyDescent="0.2">
      <c r="P579" s="67"/>
      <c r="V579" s="8"/>
    </row>
    <row r="580" spans="16:22" x14ac:dyDescent="0.2">
      <c r="P580" s="67"/>
      <c r="V580" s="8"/>
    </row>
    <row r="581" spans="16:22" x14ac:dyDescent="0.2">
      <c r="P581" s="67"/>
      <c r="V581" s="8"/>
    </row>
    <row r="582" spans="16:22" x14ac:dyDescent="0.2">
      <c r="P582" s="67"/>
      <c r="V582" s="8"/>
    </row>
    <row r="583" spans="16:22" x14ac:dyDescent="0.2">
      <c r="P583" s="67"/>
      <c r="V583" s="8"/>
    </row>
    <row r="584" spans="16:22" x14ac:dyDescent="0.2">
      <c r="P584" s="67"/>
      <c r="V584" s="8"/>
    </row>
    <row r="585" spans="16:22" x14ac:dyDescent="0.2">
      <c r="P585" s="67"/>
      <c r="V585" s="8"/>
    </row>
    <row r="586" spans="16:22" x14ac:dyDescent="0.2">
      <c r="P586" s="67"/>
      <c r="V586" s="8"/>
    </row>
    <row r="587" spans="16:22" x14ac:dyDescent="0.2">
      <c r="P587" s="67"/>
      <c r="V587" s="8"/>
    </row>
    <row r="588" spans="16:22" x14ac:dyDescent="0.2">
      <c r="P588" s="67"/>
      <c r="V588" s="8"/>
    </row>
    <row r="589" spans="16:22" x14ac:dyDescent="0.2">
      <c r="P589" s="67"/>
      <c r="V589" s="8"/>
    </row>
    <row r="590" spans="16:22" x14ac:dyDescent="0.2">
      <c r="P590" s="67"/>
      <c r="V590" s="8"/>
    </row>
    <row r="591" spans="16:22" x14ac:dyDescent="0.2">
      <c r="P591" s="67"/>
      <c r="V591" s="8"/>
    </row>
    <row r="592" spans="16:22" x14ac:dyDescent="0.2">
      <c r="P592" s="67"/>
      <c r="V592" s="8"/>
    </row>
    <row r="593" spans="16:22" x14ac:dyDescent="0.2">
      <c r="P593" s="67"/>
      <c r="V593" s="8"/>
    </row>
    <row r="594" spans="16:22" x14ac:dyDescent="0.2">
      <c r="P594" s="67"/>
      <c r="V594" s="8"/>
    </row>
    <row r="595" spans="16:22" x14ac:dyDescent="0.2">
      <c r="P595" s="67"/>
      <c r="V595" s="8"/>
    </row>
    <row r="596" spans="16:22" x14ac:dyDescent="0.2">
      <c r="P596" s="67"/>
      <c r="V596" s="8"/>
    </row>
    <row r="597" spans="16:22" x14ac:dyDescent="0.2">
      <c r="P597" s="67"/>
      <c r="V597" s="8"/>
    </row>
    <row r="598" spans="16:22" x14ac:dyDescent="0.2">
      <c r="P598" s="67"/>
      <c r="V598" s="8"/>
    </row>
    <row r="599" spans="16:22" x14ac:dyDescent="0.2">
      <c r="P599" s="67"/>
      <c r="V599" s="8"/>
    </row>
    <row r="600" spans="16:22" x14ac:dyDescent="0.2">
      <c r="P600" s="67"/>
      <c r="V600" s="8"/>
    </row>
    <row r="601" spans="16:22" x14ac:dyDescent="0.2">
      <c r="P601" s="67"/>
      <c r="V601" s="8"/>
    </row>
    <row r="602" spans="16:22" x14ac:dyDescent="0.2">
      <c r="P602" s="67"/>
      <c r="V602" s="8"/>
    </row>
    <row r="603" spans="16:22" x14ac:dyDescent="0.2">
      <c r="P603" s="67"/>
      <c r="V603" s="8"/>
    </row>
    <row r="604" spans="16:22" x14ac:dyDescent="0.2">
      <c r="P604" s="67"/>
      <c r="V604" s="8"/>
    </row>
    <row r="605" spans="16:22" x14ac:dyDescent="0.2">
      <c r="P605" s="67"/>
      <c r="V605" s="8"/>
    </row>
    <row r="606" spans="16:22" x14ac:dyDescent="0.2">
      <c r="P606" s="67"/>
      <c r="V606" s="8"/>
    </row>
    <row r="607" spans="16:22" x14ac:dyDescent="0.2">
      <c r="P607" s="67"/>
      <c r="V607" s="8"/>
    </row>
    <row r="608" spans="16:22" x14ac:dyDescent="0.2">
      <c r="P608" s="67"/>
      <c r="V608" s="8"/>
    </row>
    <row r="609" spans="16:22" x14ac:dyDescent="0.2">
      <c r="P609" s="67"/>
      <c r="V609" s="8"/>
    </row>
    <row r="610" spans="16:22" x14ac:dyDescent="0.2">
      <c r="P610" s="67"/>
      <c r="V610" s="8"/>
    </row>
    <row r="611" spans="16:22" x14ac:dyDescent="0.2">
      <c r="P611" s="67"/>
      <c r="V611" s="8"/>
    </row>
    <row r="612" spans="16:22" x14ac:dyDescent="0.2">
      <c r="P612" s="67"/>
      <c r="V612" s="8"/>
    </row>
    <row r="613" spans="16:22" x14ac:dyDescent="0.2">
      <c r="P613" s="67"/>
      <c r="V613" s="8"/>
    </row>
    <row r="614" spans="16:22" x14ac:dyDescent="0.2">
      <c r="P614" s="67"/>
      <c r="V614" s="8"/>
    </row>
    <row r="615" spans="16:22" x14ac:dyDescent="0.2">
      <c r="P615" s="67"/>
      <c r="V615" s="8"/>
    </row>
    <row r="616" spans="16:22" x14ac:dyDescent="0.2">
      <c r="P616" s="67"/>
      <c r="V616" s="8"/>
    </row>
    <row r="617" spans="16:22" x14ac:dyDescent="0.2">
      <c r="P617" s="67"/>
      <c r="V617" s="8"/>
    </row>
    <row r="618" spans="16:22" x14ac:dyDescent="0.2">
      <c r="P618" s="67"/>
      <c r="V618" s="8"/>
    </row>
    <row r="619" spans="16:22" x14ac:dyDescent="0.2">
      <c r="P619" s="67"/>
      <c r="V619" s="8"/>
    </row>
    <row r="620" spans="16:22" x14ac:dyDescent="0.2">
      <c r="P620" s="67"/>
      <c r="V620" s="8"/>
    </row>
    <row r="621" spans="16:22" x14ac:dyDescent="0.2">
      <c r="P621" s="67"/>
      <c r="V621" s="8"/>
    </row>
    <row r="622" spans="16:22" x14ac:dyDescent="0.2">
      <c r="P622" s="67"/>
      <c r="V622" s="8"/>
    </row>
    <row r="623" spans="16:22" x14ac:dyDescent="0.2">
      <c r="P623" s="67"/>
      <c r="V623" s="8"/>
    </row>
    <row r="624" spans="16:22" x14ac:dyDescent="0.2">
      <c r="P624" s="67"/>
      <c r="V624" s="8"/>
    </row>
    <row r="625" spans="16:22" x14ac:dyDescent="0.2">
      <c r="P625" s="67"/>
      <c r="V625" s="8"/>
    </row>
    <row r="626" spans="16:22" x14ac:dyDescent="0.2">
      <c r="P626" s="67"/>
      <c r="V626" s="8"/>
    </row>
    <row r="627" spans="16:22" x14ac:dyDescent="0.2">
      <c r="P627" s="67"/>
      <c r="V627" s="8"/>
    </row>
    <row r="628" spans="16:22" x14ac:dyDescent="0.2">
      <c r="P628" s="67"/>
      <c r="V628" s="8"/>
    </row>
    <row r="629" spans="16:22" x14ac:dyDescent="0.2">
      <c r="P629" s="67"/>
      <c r="V629" s="8"/>
    </row>
    <row r="630" spans="16:22" x14ac:dyDescent="0.2">
      <c r="P630" s="67"/>
      <c r="V630" s="8"/>
    </row>
    <row r="631" spans="16:22" x14ac:dyDescent="0.2">
      <c r="P631" s="67"/>
      <c r="V631" s="8"/>
    </row>
    <row r="632" spans="16:22" x14ac:dyDescent="0.2">
      <c r="P632" s="67"/>
      <c r="V632" s="8"/>
    </row>
    <row r="633" spans="16:22" x14ac:dyDescent="0.2">
      <c r="P633" s="67"/>
      <c r="V633" s="8"/>
    </row>
    <row r="634" spans="16:22" x14ac:dyDescent="0.2">
      <c r="P634" s="67"/>
      <c r="V634" s="8"/>
    </row>
    <row r="635" spans="16:22" x14ac:dyDescent="0.2">
      <c r="P635" s="67"/>
      <c r="V635" s="8"/>
    </row>
    <row r="636" spans="16:22" x14ac:dyDescent="0.2">
      <c r="P636" s="67"/>
      <c r="V636" s="8"/>
    </row>
    <row r="637" spans="16:22" x14ac:dyDescent="0.2">
      <c r="P637" s="67"/>
      <c r="V637" s="8"/>
    </row>
    <row r="638" spans="16:22" x14ac:dyDescent="0.2">
      <c r="P638" s="67"/>
      <c r="V638" s="8"/>
    </row>
    <row r="639" spans="16:22" x14ac:dyDescent="0.2">
      <c r="P639" s="67"/>
      <c r="V639" s="8"/>
    </row>
    <row r="640" spans="16:22" x14ac:dyDescent="0.2">
      <c r="P640" s="67"/>
      <c r="V640" s="8"/>
    </row>
    <row r="641" spans="16:22" x14ac:dyDescent="0.2">
      <c r="P641" s="67"/>
      <c r="V641" s="8"/>
    </row>
    <row r="642" spans="16:22" x14ac:dyDescent="0.2">
      <c r="P642" s="67"/>
      <c r="V642" s="8"/>
    </row>
    <row r="643" spans="16:22" x14ac:dyDescent="0.2">
      <c r="P643" s="67"/>
      <c r="V643" s="8"/>
    </row>
    <row r="644" spans="16:22" x14ac:dyDescent="0.2">
      <c r="P644" s="67"/>
      <c r="V644" s="8"/>
    </row>
    <row r="645" spans="16:22" x14ac:dyDescent="0.2">
      <c r="P645" s="67"/>
      <c r="V645" s="8"/>
    </row>
    <row r="646" spans="16:22" x14ac:dyDescent="0.2">
      <c r="P646" s="67"/>
      <c r="V646" s="8"/>
    </row>
    <row r="647" spans="16:22" x14ac:dyDescent="0.2">
      <c r="P647" s="67"/>
      <c r="V647" s="8"/>
    </row>
    <row r="648" spans="16:22" x14ac:dyDescent="0.2">
      <c r="P648" s="67"/>
      <c r="V648" s="8"/>
    </row>
    <row r="649" spans="16:22" x14ac:dyDescent="0.2">
      <c r="P649" s="67"/>
      <c r="V649" s="8"/>
    </row>
    <row r="650" spans="16:22" x14ac:dyDescent="0.2">
      <c r="P650" s="67"/>
      <c r="V650" s="8"/>
    </row>
    <row r="651" spans="16:22" x14ac:dyDescent="0.2">
      <c r="P651" s="67"/>
      <c r="V651" s="8"/>
    </row>
    <row r="652" spans="16:22" x14ac:dyDescent="0.2">
      <c r="P652" s="67"/>
      <c r="V652" s="8"/>
    </row>
    <row r="653" spans="16:22" x14ac:dyDescent="0.2">
      <c r="P653" s="67"/>
      <c r="V653" s="8"/>
    </row>
    <row r="654" spans="16:22" x14ac:dyDescent="0.2">
      <c r="P654" s="67"/>
      <c r="V654" s="8"/>
    </row>
    <row r="655" spans="16:22" x14ac:dyDescent="0.2">
      <c r="P655" s="67"/>
      <c r="V655" s="8"/>
    </row>
    <row r="656" spans="16:22" x14ac:dyDescent="0.2">
      <c r="P656" s="67"/>
      <c r="V656" s="8"/>
    </row>
    <row r="657" spans="16:22" x14ac:dyDescent="0.2">
      <c r="P657" s="67"/>
      <c r="V657" s="8"/>
    </row>
    <row r="658" spans="16:22" x14ac:dyDescent="0.2">
      <c r="P658" s="67"/>
      <c r="V658" s="8"/>
    </row>
    <row r="659" spans="16:22" x14ac:dyDescent="0.2">
      <c r="P659" s="67"/>
      <c r="V659" s="8"/>
    </row>
    <row r="660" spans="16:22" x14ac:dyDescent="0.2">
      <c r="P660" s="67"/>
      <c r="V660" s="8"/>
    </row>
    <row r="661" spans="16:22" x14ac:dyDescent="0.2">
      <c r="P661" s="67"/>
      <c r="V661" s="8"/>
    </row>
    <row r="662" spans="16:22" x14ac:dyDescent="0.2">
      <c r="P662" s="67"/>
      <c r="V662" s="8"/>
    </row>
    <row r="663" spans="16:22" x14ac:dyDescent="0.2">
      <c r="P663" s="67"/>
      <c r="V663" s="8"/>
    </row>
    <row r="664" spans="16:22" x14ac:dyDescent="0.2">
      <c r="P664" s="67"/>
      <c r="V664" s="8"/>
    </row>
    <row r="665" spans="16:22" x14ac:dyDescent="0.2">
      <c r="P665" s="67"/>
      <c r="V665" s="8"/>
    </row>
    <row r="666" spans="16:22" x14ac:dyDescent="0.2">
      <c r="P666" s="67"/>
      <c r="V666" s="8"/>
    </row>
    <row r="667" spans="16:22" x14ac:dyDescent="0.2">
      <c r="P667" s="67"/>
      <c r="V667" s="8"/>
    </row>
    <row r="668" spans="16:22" x14ac:dyDescent="0.2">
      <c r="P668" s="67"/>
      <c r="V668" s="8"/>
    </row>
    <row r="669" spans="16:22" x14ac:dyDescent="0.2">
      <c r="P669" s="67"/>
      <c r="V669" s="8"/>
    </row>
    <row r="670" spans="16:22" x14ac:dyDescent="0.2">
      <c r="P670" s="67"/>
      <c r="V670" s="8"/>
    </row>
    <row r="671" spans="16:22" x14ac:dyDescent="0.2">
      <c r="P671" s="67"/>
      <c r="V671" s="8"/>
    </row>
    <row r="672" spans="16:22" x14ac:dyDescent="0.2">
      <c r="P672" s="67"/>
      <c r="V672" s="8"/>
    </row>
    <row r="673" spans="16:22" x14ac:dyDescent="0.2">
      <c r="P673" s="67"/>
      <c r="V673" s="8"/>
    </row>
    <row r="674" spans="16:22" x14ac:dyDescent="0.2">
      <c r="P674" s="67"/>
      <c r="V674" s="8"/>
    </row>
    <row r="675" spans="16:22" x14ac:dyDescent="0.2">
      <c r="P675" s="67"/>
      <c r="V675" s="8"/>
    </row>
    <row r="676" spans="16:22" x14ac:dyDescent="0.2">
      <c r="P676" s="67"/>
      <c r="V676" s="8"/>
    </row>
    <row r="677" spans="16:22" x14ac:dyDescent="0.2">
      <c r="P677" s="67"/>
      <c r="V677" s="8"/>
    </row>
    <row r="678" spans="16:22" x14ac:dyDescent="0.2">
      <c r="P678" s="67"/>
      <c r="V678" s="8"/>
    </row>
    <row r="679" spans="16:22" x14ac:dyDescent="0.2">
      <c r="P679" s="67"/>
      <c r="V679" s="8"/>
    </row>
    <row r="680" spans="16:22" x14ac:dyDescent="0.2">
      <c r="P680" s="67"/>
      <c r="V680" s="8"/>
    </row>
    <row r="681" spans="16:22" x14ac:dyDescent="0.2">
      <c r="P681" s="67"/>
      <c r="V681" s="8"/>
    </row>
    <row r="682" spans="16:22" x14ac:dyDescent="0.2">
      <c r="P682" s="67"/>
      <c r="V682" s="8"/>
    </row>
    <row r="683" spans="16:22" x14ac:dyDescent="0.2">
      <c r="P683" s="67"/>
      <c r="V683" s="8"/>
    </row>
    <row r="684" spans="16:22" x14ac:dyDescent="0.2">
      <c r="P684" s="67"/>
      <c r="V684" s="8"/>
    </row>
    <row r="685" spans="16:22" x14ac:dyDescent="0.2">
      <c r="P685" s="67"/>
      <c r="V685" s="8"/>
    </row>
    <row r="686" spans="16:22" x14ac:dyDescent="0.2">
      <c r="P686" s="67"/>
      <c r="V686" s="8"/>
    </row>
    <row r="687" spans="16:22" x14ac:dyDescent="0.2">
      <c r="P687" s="67"/>
      <c r="V687" s="8"/>
    </row>
    <row r="688" spans="16:22" x14ac:dyDescent="0.2">
      <c r="P688" s="67"/>
      <c r="V688" s="8"/>
    </row>
    <row r="689" spans="16:22" x14ac:dyDescent="0.2">
      <c r="P689" s="67"/>
      <c r="V689" s="8"/>
    </row>
    <row r="690" spans="16:22" x14ac:dyDescent="0.2">
      <c r="P690" s="67"/>
      <c r="V690" s="8"/>
    </row>
    <row r="691" spans="16:22" x14ac:dyDescent="0.2">
      <c r="P691" s="67"/>
      <c r="V691" s="8"/>
    </row>
    <row r="692" spans="16:22" x14ac:dyDescent="0.2">
      <c r="P692" s="67"/>
      <c r="V692" s="8"/>
    </row>
    <row r="693" spans="16:22" x14ac:dyDescent="0.2">
      <c r="P693" s="67"/>
      <c r="V693" s="8"/>
    </row>
    <row r="694" spans="16:22" x14ac:dyDescent="0.2">
      <c r="P694" s="67"/>
      <c r="V694" s="8"/>
    </row>
    <row r="695" spans="16:22" x14ac:dyDescent="0.2">
      <c r="P695" s="67"/>
      <c r="V695" s="8"/>
    </row>
    <row r="696" spans="16:22" x14ac:dyDescent="0.2">
      <c r="P696" s="67"/>
      <c r="V696" s="8"/>
    </row>
    <row r="697" spans="16:22" x14ac:dyDescent="0.2">
      <c r="P697" s="67"/>
      <c r="V697" s="8"/>
    </row>
    <row r="698" spans="16:22" x14ac:dyDescent="0.2">
      <c r="P698" s="67"/>
      <c r="V698" s="8"/>
    </row>
    <row r="699" spans="16:22" x14ac:dyDescent="0.2">
      <c r="P699" s="67"/>
      <c r="V699" s="8"/>
    </row>
    <row r="700" spans="16:22" x14ac:dyDescent="0.2">
      <c r="P700" s="67"/>
      <c r="V700" s="8"/>
    </row>
    <row r="701" spans="16:22" x14ac:dyDescent="0.2">
      <c r="P701" s="67"/>
      <c r="V701" s="8"/>
    </row>
    <row r="702" spans="16:22" x14ac:dyDescent="0.2">
      <c r="P702" s="67"/>
      <c r="V702" s="8"/>
    </row>
    <row r="703" spans="16:22" x14ac:dyDescent="0.2">
      <c r="P703" s="67"/>
      <c r="V703" s="8"/>
    </row>
    <row r="704" spans="16:22" x14ac:dyDescent="0.2">
      <c r="P704" s="67"/>
      <c r="V704" s="8"/>
    </row>
    <row r="705" spans="16:22" x14ac:dyDescent="0.2">
      <c r="P705" s="67"/>
      <c r="V705" s="8"/>
    </row>
    <row r="706" spans="16:22" x14ac:dyDescent="0.2">
      <c r="P706" s="67"/>
      <c r="V706" s="8"/>
    </row>
    <row r="707" spans="16:22" x14ac:dyDescent="0.2">
      <c r="P707" s="67"/>
      <c r="V707" s="8"/>
    </row>
    <row r="708" spans="16:22" x14ac:dyDescent="0.2">
      <c r="P708" s="67"/>
      <c r="V708" s="8"/>
    </row>
    <row r="709" spans="16:22" x14ac:dyDescent="0.2">
      <c r="P709" s="67"/>
      <c r="V709" s="8"/>
    </row>
    <row r="710" spans="16:22" x14ac:dyDescent="0.2">
      <c r="P710" s="67"/>
      <c r="V710" s="8"/>
    </row>
    <row r="711" spans="16:22" x14ac:dyDescent="0.2">
      <c r="P711" s="67"/>
      <c r="V711" s="8"/>
    </row>
    <row r="712" spans="16:22" x14ac:dyDescent="0.2">
      <c r="P712" s="67"/>
      <c r="V712" s="8"/>
    </row>
    <row r="713" spans="16:22" x14ac:dyDescent="0.2">
      <c r="P713" s="67"/>
      <c r="V713" s="8"/>
    </row>
    <row r="714" spans="16:22" x14ac:dyDescent="0.2">
      <c r="P714" s="67"/>
      <c r="V714" s="8"/>
    </row>
    <row r="715" spans="16:22" x14ac:dyDescent="0.2">
      <c r="P715" s="67"/>
      <c r="V715" s="8"/>
    </row>
    <row r="716" spans="16:22" x14ac:dyDescent="0.2">
      <c r="P716" s="67"/>
      <c r="V716" s="8"/>
    </row>
    <row r="717" spans="16:22" x14ac:dyDescent="0.2">
      <c r="P717" s="67"/>
      <c r="V717" s="8"/>
    </row>
    <row r="718" spans="16:22" x14ac:dyDescent="0.2">
      <c r="P718" s="67"/>
      <c r="V718" s="8"/>
    </row>
    <row r="719" spans="16:22" x14ac:dyDescent="0.2">
      <c r="P719" s="67"/>
      <c r="V719" s="8"/>
    </row>
    <row r="720" spans="16:22" x14ac:dyDescent="0.2">
      <c r="P720" s="67"/>
      <c r="V720" s="8"/>
    </row>
    <row r="721" spans="16:22" x14ac:dyDescent="0.2">
      <c r="P721" s="67"/>
      <c r="V721" s="8"/>
    </row>
    <row r="722" spans="16:22" x14ac:dyDescent="0.2">
      <c r="P722" s="67"/>
      <c r="V722" s="8"/>
    </row>
    <row r="723" spans="16:22" x14ac:dyDescent="0.2">
      <c r="P723" s="67"/>
      <c r="V723" s="8"/>
    </row>
    <row r="724" spans="16:22" x14ac:dyDescent="0.2">
      <c r="P724" s="67"/>
      <c r="V724" s="8"/>
    </row>
    <row r="725" spans="16:22" x14ac:dyDescent="0.2">
      <c r="P725" s="67"/>
      <c r="V725" s="8"/>
    </row>
    <row r="726" spans="16:22" x14ac:dyDescent="0.2">
      <c r="P726" s="67"/>
      <c r="V726" s="8"/>
    </row>
    <row r="727" spans="16:22" x14ac:dyDescent="0.2">
      <c r="P727" s="67"/>
      <c r="V727" s="8"/>
    </row>
    <row r="728" spans="16:22" x14ac:dyDescent="0.2">
      <c r="P728" s="67"/>
      <c r="V728" s="8"/>
    </row>
    <row r="729" spans="16:22" x14ac:dyDescent="0.2">
      <c r="P729" s="67"/>
      <c r="V729" s="8"/>
    </row>
    <row r="730" spans="16:22" x14ac:dyDescent="0.2">
      <c r="P730" s="67"/>
      <c r="V730" s="8"/>
    </row>
    <row r="731" spans="16:22" x14ac:dyDescent="0.2">
      <c r="P731" s="67"/>
      <c r="V731" s="8"/>
    </row>
    <row r="732" spans="16:22" x14ac:dyDescent="0.2">
      <c r="P732" s="67"/>
      <c r="V732" s="8"/>
    </row>
    <row r="733" spans="16:22" x14ac:dyDescent="0.2">
      <c r="P733" s="67"/>
      <c r="V733" s="8"/>
    </row>
    <row r="734" spans="16:22" x14ac:dyDescent="0.2">
      <c r="P734" s="67"/>
      <c r="V734" s="8"/>
    </row>
    <row r="735" spans="16:22" x14ac:dyDescent="0.2">
      <c r="P735" s="67"/>
      <c r="V735" s="8"/>
    </row>
    <row r="736" spans="16:22" x14ac:dyDescent="0.2">
      <c r="P736" s="67"/>
      <c r="V736" s="8"/>
    </row>
    <row r="737" spans="16:22" x14ac:dyDescent="0.2">
      <c r="P737" s="67"/>
      <c r="V737" s="8"/>
    </row>
    <row r="738" spans="16:22" x14ac:dyDescent="0.2">
      <c r="P738" s="67"/>
      <c r="V738" s="8"/>
    </row>
    <row r="739" spans="16:22" x14ac:dyDescent="0.2">
      <c r="P739" s="67"/>
      <c r="V739" s="8"/>
    </row>
    <row r="740" spans="16:22" x14ac:dyDescent="0.2">
      <c r="P740" s="67"/>
      <c r="V740" s="8"/>
    </row>
    <row r="741" spans="16:22" x14ac:dyDescent="0.2">
      <c r="P741" s="67"/>
      <c r="V741" s="8"/>
    </row>
    <row r="742" spans="16:22" x14ac:dyDescent="0.2">
      <c r="P742" s="67"/>
      <c r="V742" s="8"/>
    </row>
    <row r="743" spans="16:22" x14ac:dyDescent="0.2">
      <c r="P743" s="67"/>
      <c r="V743" s="8"/>
    </row>
    <row r="744" spans="16:22" x14ac:dyDescent="0.2">
      <c r="P744" s="67"/>
      <c r="V744" s="8"/>
    </row>
    <row r="745" spans="16:22" x14ac:dyDescent="0.2">
      <c r="P745" s="67"/>
      <c r="V745" s="8"/>
    </row>
    <row r="746" spans="16:22" x14ac:dyDescent="0.2">
      <c r="P746" s="67"/>
      <c r="V746" s="8"/>
    </row>
    <row r="747" spans="16:22" x14ac:dyDescent="0.2">
      <c r="P747" s="67"/>
      <c r="V747" s="8"/>
    </row>
    <row r="748" spans="16:22" x14ac:dyDescent="0.2">
      <c r="P748" s="67"/>
      <c r="V748" s="8"/>
    </row>
    <row r="749" spans="16:22" x14ac:dyDescent="0.2">
      <c r="P749" s="67"/>
      <c r="V749" s="8"/>
    </row>
    <row r="750" spans="16:22" x14ac:dyDescent="0.2">
      <c r="P750" s="67"/>
      <c r="V750" s="8"/>
    </row>
    <row r="751" spans="16:22" x14ac:dyDescent="0.2">
      <c r="P751" s="67"/>
      <c r="V751" s="8"/>
    </row>
    <row r="752" spans="16:22" x14ac:dyDescent="0.2">
      <c r="P752" s="67"/>
      <c r="V752" s="8"/>
    </row>
    <row r="753" spans="16:22" x14ac:dyDescent="0.2">
      <c r="P753" s="67"/>
      <c r="V753" s="8"/>
    </row>
    <row r="754" spans="16:22" x14ac:dyDescent="0.2">
      <c r="P754" s="67"/>
      <c r="V754" s="8"/>
    </row>
    <row r="755" spans="16:22" x14ac:dyDescent="0.2">
      <c r="P755" s="67"/>
      <c r="V755" s="8"/>
    </row>
    <row r="756" spans="16:22" x14ac:dyDescent="0.2">
      <c r="P756" s="67"/>
      <c r="V756" s="8"/>
    </row>
    <row r="757" spans="16:22" x14ac:dyDescent="0.2">
      <c r="P757" s="67"/>
      <c r="V757" s="8"/>
    </row>
    <row r="758" spans="16:22" x14ac:dyDescent="0.2">
      <c r="P758" s="67"/>
      <c r="V758" s="8"/>
    </row>
    <row r="759" spans="16:22" x14ac:dyDescent="0.2">
      <c r="P759" s="67"/>
      <c r="V759" s="8"/>
    </row>
    <row r="760" spans="16:22" x14ac:dyDescent="0.2">
      <c r="P760" s="67"/>
      <c r="V760" s="8"/>
    </row>
    <row r="761" spans="16:22" x14ac:dyDescent="0.2">
      <c r="P761" s="67"/>
      <c r="V761" s="8"/>
    </row>
    <row r="762" spans="16:22" x14ac:dyDescent="0.2">
      <c r="P762" s="67"/>
      <c r="V762" s="8"/>
    </row>
    <row r="763" spans="16:22" x14ac:dyDescent="0.2">
      <c r="P763" s="67"/>
      <c r="V763" s="8"/>
    </row>
    <row r="764" spans="16:22" x14ac:dyDescent="0.2">
      <c r="P764" s="67"/>
      <c r="V764" s="8"/>
    </row>
    <row r="765" spans="16:22" x14ac:dyDescent="0.2">
      <c r="P765" s="67"/>
      <c r="V765" s="8"/>
    </row>
    <row r="766" spans="16:22" x14ac:dyDescent="0.2">
      <c r="P766" s="67"/>
      <c r="V766" s="8"/>
    </row>
    <row r="767" spans="16:22" x14ac:dyDescent="0.2">
      <c r="P767" s="67"/>
      <c r="V767" s="8"/>
    </row>
    <row r="768" spans="16:22" x14ac:dyDescent="0.2">
      <c r="P768" s="67"/>
      <c r="V768" s="8"/>
    </row>
    <row r="769" spans="16:22" x14ac:dyDescent="0.2">
      <c r="P769" s="67"/>
      <c r="V769" s="8"/>
    </row>
    <row r="770" spans="16:22" x14ac:dyDescent="0.2">
      <c r="P770" s="67"/>
      <c r="V770" s="8"/>
    </row>
    <row r="771" spans="16:22" x14ac:dyDescent="0.2">
      <c r="P771" s="67"/>
      <c r="V771" s="8"/>
    </row>
    <row r="772" spans="16:22" x14ac:dyDescent="0.2">
      <c r="P772" s="67"/>
      <c r="V772" s="8"/>
    </row>
    <row r="773" spans="16:22" x14ac:dyDescent="0.2">
      <c r="P773" s="67"/>
      <c r="V773" s="8"/>
    </row>
    <row r="774" spans="16:22" x14ac:dyDescent="0.2">
      <c r="P774" s="67"/>
      <c r="V774" s="8"/>
    </row>
    <row r="775" spans="16:22" x14ac:dyDescent="0.2">
      <c r="P775" s="67"/>
      <c r="V775" s="8"/>
    </row>
    <row r="776" spans="16:22" x14ac:dyDescent="0.2">
      <c r="P776" s="67"/>
      <c r="V776" s="8"/>
    </row>
    <row r="777" spans="16:22" x14ac:dyDescent="0.2">
      <c r="P777" s="67"/>
      <c r="V777" s="8"/>
    </row>
    <row r="778" spans="16:22" x14ac:dyDescent="0.2">
      <c r="P778" s="67"/>
      <c r="V778" s="8"/>
    </row>
    <row r="779" spans="16:22" x14ac:dyDescent="0.2">
      <c r="P779" s="67"/>
      <c r="V779" s="8"/>
    </row>
    <row r="780" spans="16:22" x14ac:dyDescent="0.2">
      <c r="P780" s="67"/>
      <c r="V780" s="8"/>
    </row>
    <row r="781" spans="16:22" x14ac:dyDescent="0.2">
      <c r="P781" s="67"/>
      <c r="V781" s="8"/>
    </row>
    <row r="782" spans="16:22" x14ac:dyDescent="0.2">
      <c r="P782" s="67"/>
      <c r="V782" s="8"/>
    </row>
    <row r="783" spans="16:22" x14ac:dyDescent="0.2">
      <c r="P783" s="67"/>
      <c r="V783" s="8"/>
    </row>
    <row r="784" spans="16:22" x14ac:dyDescent="0.2">
      <c r="P784" s="67"/>
      <c r="V784" s="8"/>
    </row>
    <row r="785" spans="16:22" x14ac:dyDescent="0.2">
      <c r="P785" s="67"/>
      <c r="V785" s="8"/>
    </row>
    <row r="786" spans="16:22" x14ac:dyDescent="0.2">
      <c r="P786" s="67"/>
      <c r="V786" s="8"/>
    </row>
    <row r="787" spans="16:22" x14ac:dyDescent="0.2">
      <c r="P787" s="67"/>
      <c r="V787" s="8"/>
    </row>
    <row r="788" spans="16:22" x14ac:dyDescent="0.2">
      <c r="P788" s="67"/>
      <c r="V788" s="8"/>
    </row>
    <row r="789" spans="16:22" x14ac:dyDescent="0.2">
      <c r="P789" s="67"/>
      <c r="V789" s="8"/>
    </row>
    <row r="790" spans="16:22" x14ac:dyDescent="0.2">
      <c r="P790" s="67"/>
      <c r="V790" s="8"/>
    </row>
    <row r="791" spans="16:22" x14ac:dyDescent="0.2">
      <c r="P791" s="67"/>
      <c r="V791" s="8"/>
    </row>
    <row r="792" spans="16:22" x14ac:dyDescent="0.2">
      <c r="P792" s="67"/>
      <c r="V792" s="8"/>
    </row>
    <row r="793" spans="16:22" x14ac:dyDescent="0.2">
      <c r="P793" s="67"/>
      <c r="V793" s="8"/>
    </row>
    <row r="794" spans="16:22" x14ac:dyDescent="0.2">
      <c r="P794" s="67"/>
      <c r="V794" s="8"/>
    </row>
    <row r="795" spans="16:22" x14ac:dyDescent="0.2">
      <c r="P795" s="67"/>
      <c r="V795" s="8"/>
    </row>
    <row r="796" spans="16:22" x14ac:dyDescent="0.2">
      <c r="P796" s="67"/>
      <c r="V796" s="8"/>
    </row>
    <row r="797" spans="16:22" x14ac:dyDescent="0.2">
      <c r="P797" s="67"/>
      <c r="V797" s="8"/>
    </row>
    <row r="798" spans="16:22" x14ac:dyDescent="0.2">
      <c r="P798" s="67"/>
      <c r="V798" s="8"/>
    </row>
    <row r="799" spans="16:22" x14ac:dyDescent="0.2">
      <c r="P799" s="67"/>
      <c r="V799" s="8"/>
    </row>
    <row r="800" spans="16:22" x14ac:dyDescent="0.2">
      <c r="P800" s="67"/>
      <c r="V800" s="8"/>
    </row>
    <row r="801" spans="16:22" x14ac:dyDescent="0.2">
      <c r="P801" s="67"/>
      <c r="V801" s="8"/>
    </row>
    <row r="802" spans="16:22" x14ac:dyDescent="0.2">
      <c r="P802" s="67"/>
      <c r="V802" s="8"/>
    </row>
    <row r="803" spans="16:22" x14ac:dyDescent="0.2">
      <c r="P803" s="67"/>
      <c r="V803" s="8"/>
    </row>
    <row r="804" spans="16:22" x14ac:dyDescent="0.2">
      <c r="P804" s="67"/>
      <c r="V804" s="8"/>
    </row>
    <row r="805" spans="16:22" x14ac:dyDescent="0.2">
      <c r="P805" s="67"/>
      <c r="V805" s="8"/>
    </row>
    <row r="806" spans="16:22" x14ac:dyDescent="0.2">
      <c r="P806" s="67"/>
      <c r="V806" s="8"/>
    </row>
    <row r="807" spans="16:22" x14ac:dyDescent="0.2">
      <c r="P807" s="67"/>
      <c r="V807" s="8"/>
    </row>
    <row r="808" spans="16:22" x14ac:dyDescent="0.2">
      <c r="P808" s="67"/>
      <c r="V808" s="8"/>
    </row>
    <row r="809" spans="16:22" x14ac:dyDescent="0.2">
      <c r="P809" s="67"/>
      <c r="V809" s="8"/>
    </row>
    <row r="810" spans="16:22" x14ac:dyDescent="0.2">
      <c r="P810" s="67"/>
      <c r="V810" s="8"/>
    </row>
    <row r="811" spans="16:22" x14ac:dyDescent="0.2">
      <c r="P811" s="67"/>
      <c r="V811" s="8"/>
    </row>
    <row r="812" spans="16:22" x14ac:dyDescent="0.2">
      <c r="P812" s="67"/>
      <c r="V812" s="8"/>
    </row>
    <row r="813" spans="16:22" x14ac:dyDescent="0.2">
      <c r="P813" s="67"/>
      <c r="V813" s="8"/>
    </row>
    <row r="814" spans="16:22" x14ac:dyDescent="0.2">
      <c r="P814" s="67"/>
      <c r="V814" s="8"/>
    </row>
    <row r="815" spans="16:22" x14ac:dyDescent="0.2">
      <c r="P815" s="67"/>
      <c r="V815" s="8"/>
    </row>
    <row r="816" spans="16:22" x14ac:dyDescent="0.2">
      <c r="P816" s="67"/>
      <c r="V816" s="8"/>
    </row>
    <row r="817" spans="16:22" x14ac:dyDescent="0.2">
      <c r="P817" s="67"/>
      <c r="V817" s="8"/>
    </row>
    <row r="818" spans="16:22" x14ac:dyDescent="0.2">
      <c r="P818" s="67"/>
      <c r="V818" s="8"/>
    </row>
    <row r="819" spans="16:22" x14ac:dyDescent="0.2">
      <c r="P819" s="67"/>
      <c r="V819" s="8"/>
    </row>
    <row r="820" spans="16:22" x14ac:dyDescent="0.2">
      <c r="P820" s="67"/>
      <c r="V820" s="8"/>
    </row>
    <row r="821" spans="16:22" x14ac:dyDescent="0.2">
      <c r="P821" s="67"/>
      <c r="V821" s="8"/>
    </row>
    <row r="822" spans="16:22" x14ac:dyDescent="0.2">
      <c r="P822" s="67"/>
      <c r="V822" s="8"/>
    </row>
    <row r="823" spans="16:22" x14ac:dyDescent="0.2">
      <c r="P823" s="67"/>
      <c r="V823" s="8"/>
    </row>
    <row r="824" spans="16:22" x14ac:dyDescent="0.2">
      <c r="P824" s="67"/>
      <c r="V824" s="8"/>
    </row>
    <row r="825" spans="16:22" x14ac:dyDescent="0.2">
      <c r="P825" s="67"/>
      <c r="V825" s="8"/>
    </row>
    <row r="826" spans="16:22" x14ac:dyDescent="0.2">
      <c r="P826" s="67"/>
      <c r="V826" s="8"/>
    </row>
    <row r="827" spans="16:22" x14ac:dyDescent="0.2">
      <c r="P827" s="67"/>
      <c r="V827" s="8"/>
    </row>
    <row r="828" spans="16:22" x14ac:dyDescent="0.2">
      <c r="P828" s="67"/>
      <c r="V828" s="8"/>
    </row>
    <row r="829" spans="16:22" x14ac:dyDescent="0.2">
      <c r="P829" s="67"/>
      <c r="V829" s="8"/>
    </row>
    <row r="830" spans="16:22" x14ac:dyDescent="0.2">
      <c r="P830" s="67"/>
      <c r="V830" s="8"/>
    </row>
    <row r="831" spans="16:22" x14ac:dyDescent="0.2">
      <c r="P831" s="67"/>
      <c r="V831" s="8"/>
    </row>
    <row r="832" spans="16:22" x14ac:dyDescent="0.2">
      <c r="P832" s="67"/>
      <c r="V832" s="8"/>
    </row>
    <row r="833" spans="16:22" x14ac:dyDescent="0.2">
      <c r="P833" s="67"/>
      <c r="V833" s="8"/>
    </row>
    <row r="834" spans="16:22" x14ac:dyDescent="0.2">
      <c r="P834" s="67"/>
      <c r="V834" s="8"/>
    </row>
    <row r="835" spans="16:22" x14ac:dyDescent="0.2">
      <c r="P835" s="67"/>
      <c r="V835" s="8"/>
    </row>
    <row r="836" spans="16:22" x14ac:dyDescent="0.2">
      <c r="P836" s="67"/>
      <c r="V836" s="8"/>
    </row>
    <row r="837" spans="16:22" x14ac:dyDescent="0.2">
      <c r="P837" s="67"/>
      <c r="V837" s="8"/>
    </row>
    <row r="838" spans="16:22" x14ac:dyDescent="0.2">
      <c r="P838" s="67"/>
      <c r="V838" s="8"/>
    </row>
    <row r="839" spans="16:22" x14ac:dyDescent="0.2">
      <c r="P839" s="67"/>
      <c r="V839" s="8"/>
    </row>
    <row r="840" spans="16:22" x14ac:dyDescent="0.2">
      <c r="P840" s="67"/>
      <c r="V840" s="8"/>
    </row>
    <row r="841" spans="16:22" x14ac:dyDescent="0.2">
      <c r="P841" s="67"/>
      <c r="V841" s="8"/>
    </row>
    <row r="842" spans="16:22" x14ac:dyDescent="0.2">
      <c r="P842" s="67"/>
      <c r="V842" s="8"/>
    </row>
    <row r="843" spans="16:22" x14ac:dyDescent="0.2">
      <c r="P843" s="67"/>
      <c r="V843" s="8"/>
    </row>
    <row r="844" spans="16:22" x14ac:dyDescent="0.2">
      <c r="P844" s="67"/>
      <c r="V844" s="8"/>
    </row>
    <row r="845" spans="16:22" x14ac:dyDescent="0.2">
      <c r="P845" s="67"/>
      <c r="V845" s="8"/>
    </row>
    <row r="846" spans="16:22" x14ac:dyDescent="0.2">
      <c r="P846" s="67"/>
      <c r="V846" s="8"/>
    </row>
    <row r="847" spans="16:22" x14ac:dyDescent="0.2">
      <c r="P847" s="67"/>
      <c r="V847" s="8"/>
    </row>
    <row r="848" spans="16:22" x14ac:dyDescent="0.2">
      <c r="P848" s="67"/>
      <c r="V848" s="8"/>
    </row>
    <row r="849" spans="16:22" x14ac:dyDescent="0.2">
      <c r="P849" s="67"/>
      <c r="V849" s="8"/>
    </row>
    <row r="850" spans="16:22" x14ac:dyDescent="0.2">
      <c r="P850" s="67"/>
      <c r="V850" s="8"/>
    </row>
    <row r="851" spans="16:22" x14ac:dyDescent="0.2">
      <c r="P851" s="67"/>
      <c r="V851" s="8"/>
    </row>
    <row r="852" spans="16:22" x14ac:dyDescent="0.2">
      <c r="P852" s="67"/>
      <c r="V852" s="8"/>
    </row>
    <row r="853" spans="16:22" x14ac:dyDescent="0.2">
      <c r="P853" s="67"/>
      <c r="V853" s="8"/>
    </row>
    <row r="854" spans="16:22" x14ac:dyDescent="0.2">
      <c r="P854" s="67"/>
      <c r="V854" s="8"/>
    </row>
    <row r="855" spans="16:22" x14ac:dyDescent="0.2">
      <c r="P855" s="67"/>
      <c r="V855" s="8"/>
    </row>
    <row r="856" spans="16:22" x14ac:dyDescent="0.2">
      <c r="P856" s="67"/>
      <c r="V856" s="8"/>
    </row>
    <row r="857" spans="16:22" x14ac:dyDescent="0.2">
      <c r="P857" s="67"/>
      <c r="V857" s="8"/>
    </row>
    <row r="858" spans="16:22" x14ac:dyDescent="0.2">
      <c r="P858" s="67"/>
      <c r="V858" s="8"/>
    </row>
    <row r="859" spans="16:22" x14ac:dyDescent="0.2">
      <c r="P859" s="67"/>
      <c r="V859" s="8"/>
    </row>
    <row r="860" spans="16:22" x14ac:dyDescent="0.2">
      <c r="P860" s="67"/>
      <c r="V860" s="8"/>
    </row>
    <row r="861" spans="16:22" x14ac:dyDescent="0.2">
      <c r="P861" s="67"/>
      <c r="V861" s="8"/>
    </row>
    <row r="862" spans="16:22" x14ac:dyDescent="0.2">
      <c r="P862" s="67"/>
      <c r="V862" s="8"/>
    </row>
    <row r="863" spans="16:22" x14ac:dyDescent="0.2">
      <c r="P863" s="67"/>
      <c r="V863" s="8"/>
    </row>
    <row r="864" spans="16:22" x14ac:dyDescent="0.2">
      <c r="P864" s="67"/>
      <c r="V864" s="8"/>
    </row>
    <row r="865" spans="16:22" x14ac:dyDescent="0.2">
      <c r="P865" s="67"/>
      <c r="V865" s="8"/>
    </row>
    <row r="866" spans="16:22" x14ac:dyDescent="0.2">
      <c r="P866" s="67"/>
      <c r="V866" s="8"/>
    </row>
    <row r="867" spans="16:22" x14ac:dyDescent="0.2">
      <c r="P867" s="67"/>
      <c r="V867" s="8"/>
    </row>
    <row r="868" spans="16:22" x14ac:dyDescent="0.2">
      <c r="P868" s="67"/>
      <c r="V868" s="8"/>
    </row>
    <row r="869" spans="16:22" x14ac:dyDescent="0.2">
      <c r="P869" s="67"/>
      <c r="V869" s="8"/>
    </row>
    <row r="870" spans="16:22" x14ac:dyDescent="0.2">
      <c r="P870" s="67"/>
      <c r="V870" s="8"/>
    </row>
    <row r="871" spans="16:22" x14ac:dyDescent="0.2">
      <c r="P871" s="67"/>
      <c r="V871" s="8"/>
    </row>
    <row r="872" spans="16:22" x14ac:dyDescent="0.2">
      <c r="P872" s="67"/>
      <c r="V872" s="8"/>
    </row>
    <row r="873" spans="16:22" x14ac:dyDescent="0.2">
      <c r="P873" s="67"/>
      <c r="V873" s="8"/>
    </row>
    <row r="874" spans="16:22" x14ac:dyDescent="0.2">
      <c r="P874" s="67"/>
      <c r="V874" s="8"/>
    </row>
    <row r="875" spans="16:22" x14ac:dyDescent="0.2">
      <c r="P875" s="67"/>
      <c r="V875" s="8"/>
    </row>
    <row r="876" spans="16:22" x14ac:dyDescent="0.2">
      <c r="P876" s="67"/>
      <c r="V876" s="8"/>
    </row>
    <row r="877" spans="16:22" x14ac:dyDescent="0.2">
      <c r="P877" s="67"/>
      <c r="V877" s="8"/>
    </row>
    <row r="878" spans="16:22" x14ac:dyDescent="0.2">
      <c r="P878" s="67"/>
      <c r="V878" s="8"/>
    </row>
    <row r="879" spans="16:22" x14ac:dyDescent="0.2">
      <c r="P879" s="67"/>
      <c r="V879" s="8"/>
    </row>
    <row r="880" spans="16:22" x14ac:dyDescent="0.2">
      <c r="P880" s="67"/>
      <c r="V880" s="8"/>
    </row>
    <row r="881" spans="16:22" x14ac:dyDescent="0.2">
      <c r="P881" s="67"/>
      <c r="V881" s="8"/>
    </row>
    <row r="882" spans="16:22" x14ac:dyDescent="0.2">
      <c r="P882" s="67"/>
      <c r="V882" s="8"/>
    </row>
    <row r="883" spans="16:22" x14ac:dyDescent="0.2">
      <c r="P883" s="67"/>
      <c r="V883" s="8"/>
    </row>
    <row r="884" spans="16:22" x14ac:dyDescent="0.2">
      <c r="P884" s="67"/>
      <c r="V884" s="8"/>
    </row>
    <row r="885" spans="16:22" x14ac:dyDescent="0.2">
      <c r="P885" s="67"/>
      <c r="V885" s="8"/>
    </row>
    <row r="886" spans="16:22" x14ac:dyDescent="0.2">
      <c r="P886" s="67"/>
      <c r="V886" s="8"/>
    </row>
    <row r="887" spans="16:22" x14ac:dyDescent="0.2">
      <c r="P887" s="67"/>
      <c r="V887" s="8"/>
    </row>
    <row r="888" spans="16:22" x14ac:dyDescent="0.2">
      <c r="P888" s="67"/>
      <c r="V888" s="8"/>
    </row>
    <row r="889" spans="16:22" x14ac:dyDescent="0.2">
      <c r="P889" s="67"/>
      <c r="V889" s="8"/>
    </row>
    <row r="890" spans="16:22" x14ac:dyDescent="0.2">
      <c r="P890" s="67"/>
      <c r="V890" s="8"/>
    </row>
    <row r="891" spans="16:22" x14ac:dyDescent="0.2">
      <c r="P891" s="67"/>
      <c r="V891" s="8"/>
    </row>
    <row r="892" spans="16:22" x14ac:dyDescent="0.2">
      <c r="P892" s="67"/>
      <c r="V892" s="8"/>
    </row>
    <row r="893" spans="16:22" x14ac:dyDescent="0.2">
      <c r="P893" s="67"/>
      <c r="V893" s="8"/>
    </row>
    <row r="894" spans="16:22" x14ac:dyDescent="0.2">
      <c r="P894" s="67"/>
      <c r="V894" s="8"/>
    </row>
    <row r="895" spans="16:22" x14ac:dyDescent="0.2">
      <c r="P895" s="67"/>
      <c r="V895" s="8"/>
    </row>
    <row r="896" spans="16:22" x14ac:dyDescent="0.2">
      <c r="P896" s="67"/>
      <c r="V896" s="8"/>
    </row>
    <row r="897" spans="16:22" x14ac:dyDescent="0.2">
      <c r="P897" s="67"/>
      <c r="V897" s="8"/>
    </row>
    <row r="898" spans="16:22" x14ac:dyDescent="0.2">
      <c r="P898" s="67"/>
      <c r="V898" s="8"/>
    </row>
    <row r="899" spans="16:22" x14ac:dyDescent="0.2">
      <c r="P899" s="67"/>
      <c r="V899" s="8"/>
    </row>
    <row r="900" spans="16:22" x14ac:dyDescent="0.2">
      <c r="P900" s="67"/>
      <c r="V900" s="8"/>
    </row>
    <row r="901" spans="16:22" x14ac:dyDescent="0.2">
      <c r="P901" s="67"/>
      <c r="V901" s="8"/>
    </row>
    <row r="902" spans="16:22" x14ac:dyDescent="0.2">
      <c r="P902" s="67"/>
      <c r="V902" s="8"/>
    </row>
    <row r="903" spans="16:22" x14ac:dyDescent="0.2">
      <c r="P903" s="67"/>
      <c r="V903" s="8"/>
    </row>
    <row r="904" spans="16:22" x14ac:dyDescent="0.2">
      <c r="P904" s="67"/>
      <c r="V904" s="8"/>
    </row>
    <row r="905" spans="16:22" x14ac:dyDescent="0.2">
      <c r="P905" s="67"/>
      <c r="V905" s="8"/>
    </row>
    <row r="906" spans="16:22" x14ac:dyDescent="0.2">
      <c r="P906" s="67"/>
      <c r="V906" s="8"/>
    </row>
    <row r="907" spans="16:22" x14ac:dyDescent="0.2">
      <c r="P907" s="67"/>
      <c r="V907" s="8"/>
    </row>
    <row r="908" spans="16:22" x14ac:dyDescent="0.2">
      <c r="P908" s="67"/>
      <c r="V908" s="8"/>
    </row>
    <row r="909" spans="16:22" x14ac:dyDescent="0.2">
      <c r="P909" s="67"/>
      <c r="V909" s="8"/>
    </row>
    <row r="910" spans="16:22" x14ac:dyDescent="0.2">
      <c r="P910" s="67"/>
      <c r="V910" s="8"/>
    </row>
    <row r="911" spans="16:22" x14ac:dyDescent="0.2">
      <c r="P911" s="67"/>
      <c r="V911" s="8"/>
    </row>
    <row r="912" spans="16:22" x14ac:dyDescent="0.2">
      <c r="P912" s="67"/>
      <c r="V912" s="8"/>
    </row>
    <row r="913" spans="16:22" x14ac:dyDescent="0.2">
      <c r="P913" s="67"/>
      <c r="V913" s="8"/>
    </row>
    <row r="914" spans="16:22" x14ac:dyDescent="0.2">
      <c r="P914" s="67"/>
      <c r="V914" s="8"/>
    </row>
    <row r="915" spans="16:22" x14ac:dyDescent="0.2">
      <c r="P915" s="67"/>
      <c r="V915" s="8"/>
    </row>
    <row r="916" spans="16:22" x14ac:dyDescent="0.2">
      <c r="P916" s="67"/>
      <c r="V916" s="8"/>
    </row>
    <row r="917" spans="16:22" x14ac:dyDescent="0.2">
      <c r="P917" s="67"/>
      <c r="V917" s="8"/>
    </row>
    <row r="918" spans="16:22" x14ac:dyDescent="0.2">
      <c r="P918" s="67"/>
      <c r="V918" s="8"/>
    </row>
    <row r="919" spans="16:22" x14ac:dyDescent="0.2">
      <c r="P919" s="67"/>
      <c r="V919" s="8"/>
    </row>
    <row r="920" spans="16:22" x14ac:dyDescent="0.2">
      <c r="P920" s="67"/>
      <c r="V920" s="8"/>
    </row>
    <row r="921" spans="16:22" x14ac:dyDescent="0.2">
      <c r="P921" s="67"/>
      <c r="V921" s="8"/>
    </row>
    <row r="922" spans="16:22" x14ac:dyDescent="0.2">
      <c r="P922" s="67"/>
      <c r="V922" s="8"/>
    </row>
    <row r="923" spans="16:22" x14ac:dyDescent="0.2">
      <c r="P923" s="67"/>
      <c r="V923" s="8"/>
    </row>
    <row r="924" spans="16:22" x14ac:dyDescent="0.2">
      <c r="P924" s="67"/>
      <c r="V924" s="8"/>
    </row>
    <row r="925" spans="16:22" x14ac:dyDescent="0.2">
      <c r="P925" s="67"/>
      <c r="V925" s="8"/>
    </row>
    <row r="926" spans="16:22" x14ac:dyDescent="0.2">
      <c r="P926" s="67"/>
      <c r="V926" s="8"/>
    </row>
    <row r="927" spans="16:22" x14ac:dyDescent="0.2">
      <c r="P927" s="67"/>
      <c r="V927" s="8"/>
    </row>
    <row r="928" spans="16:22" x14ac:dyDescent="0.2">
      <c r="P928" s="67"/>
      <c r="V928" s="8"/>
    </row>
    <row r="929" spans="16:22" x14ac:dyDescent="0.2">
      <c r="P929" s="67"/>
      <c r="V929" s="8"/>
    </row>
    <row r="930" spans="16:22" x14ac:dyDescent="0.2">
      <c r="P930" s="67"/>
      <c r="V930" s="8"/>
    </row>
    <row r="931" spans="16:22" x14ac:dyDescent="0.2">
      <c r="P931" s="67"/>
      <c r="V931" s="8"/>
    </row>
    <row r="932" spans="16:22" x14ac:dyDescent="0.2">
      <c r="P932" s="67"/>
      <c r="V932" s="8"/>
    </row>
    <row r="933" spans="16:22" x14ac:dyDescent="0.2">
      <c r="P933" s="67"/>
      <c r="V933" s="8"/>
    </row>
    <row r="934" spans="16:22" x14ac:dyDescent="0.2">
      <c r="P934" s="67"/>
      <c r="Q934" s="66" t="e">
        <f>'Infrastructure Benchmarks'!$B2:$V262/'Infrastructure Benchmarks'!$B2:$V262</f>
        <v>#VALUE!</v>
      </c>
      <c r="V934" s="8"/>
    </row>
    <row r="935" spans="16:22" x14ac:dyDescent="0.2">
      <c r="P935" s="67"/>
      <c r="Q935" s="66" t="e">
        <f>'Infrastructure Benchmarks'!$B2:$V262/'Infrastructure Benchmarks'!$B2:$V262</f>
        <v>#VALUE!</v>
      </c>
      <c r="V935" s="8"/>
    </row>
    <row r="936" spans="16:22" x14ac:dyDescent="0.2">
      <c r="P936" s="67"/>
      <c r="Q936" s="66" t="e">
        <f>'Infrastructure Benchmarks'!$B2:$V262/'Infrastructure Benchmarks'!$B2:$V262</f>
        <v>#VALUE!</v>
      </c>
      <c r="V936" s="8"/>
    </row>
    <row r="937" spans="16:22" x14ac:dyDescent="0.2">
      <c r="P937" s="67"/>
      <c r="Q937" s="66" t="e">
        <f>'Infrastructure Benchmarks'!$B2:$V262/'Infrastructure Benchmarks'!$B2:$V262</f>
        <v>#VALUE!</v>
      </c>
      <c r="V937" s="8"/>
    </row>
    <row r="938" spans="16:22" x14ac:dyDescent="0.2">
      <c r="P938" s="67"/>
      <c r="Q938" s="66" t="e">
        <f>'Infrastructure Benchmarks'!$B2:$V262/'Infrastructure Benchmarks'!$B2:$V262</f>
        <v>#VALUE!</v>
      </c>
      <c r="V938" s="8"/>
    </row>
    <row r="939" spans="16:22" x14ac:dyDescent="0.2">
      <c r="P939" s="67"/>
      <c r="Q939" s="66" t="e">
        <f>'Infrastructure Benchmarks'!$B2:$V262/'Infrastructure Benchmarks'!$B2:$V262</f>
        <v>#VALUE!</v>
      </c>
      <c r="V939" s="8"/>
    </row>
    <row r="940" spans="16:22" x14ac:dyDescent="0.2">
      <c r="P940" s="67"/>
      <c r="Q940" s="66" t="e">
        <f>'Infrastructure Benchmarks'!$B2:$V262/'Infrastructure Benchmarks'!$B2:$V262</f>
        <v>#VALUE!</v>
      </c>
      <c r="V940" s="8"/>
    </row>
    <row r="941" spans="16:22" x14ac:dyDescent="0.2">
      <c r="P941" s="67"/>
      <c r="Q941" s="66" t="e">
        <f>'Infrastructure Benchmarks'!$B2:$V262/'Infrastructure Benchmarks'!$B2:$V262</f>
        <v>#VALUE!</v>
      </c>
      <c r="V941" s="8"/>
    </row>
    <row r="942" spans="16:22" x14ac:dyDescent="0.2">
      <c r="P942" s="67"/>
      <c r="Q942" s="66" t="e">
        <f>'Infrastructure Benchmarks'!$B2:$V262/'Infrastructure Benchmarks'!$B2:$V262</f>
        <v>#VALUE!</v>
      </c>
      <c r="V942" s="8"/>
    </row>
    <row r="943" spans="16:22" x14ac:dyDescent="0.2">
      <c r="P943" s="67"/>
      <c r="Q943" s="66" t="e">
        <f>'Infrastructure Benchmarks'!$B2:$V262/'Infrastructure Benchmarks'!$B2:$V262</f>
        <v>#VALUE!</v>
      </c>
      <c r="V943" s="8"/>
    </row>
    <row r="944" spans="16:22" x14ac:dyDescent="0.2">
      <c r="P944" s="67"/>
      <c r="Q944" s="66" t="e">
        <f>'Infrastructure Benchmarks'!$B2:$V262/'Infrastructure Benchmarks'!$B2:$V262</f>
        <v>#VALUE!</v>
      </c>
      <c r="V944" s="8"/>
    </row>
    <row r="945" spans="16:22" x14ac:dyDescent="0.2">
      <c r="P945" s="67"/>
      <c r="Q945" s="66" t="e">
        <f>'Infrastructure Benchmarks'!$B2:$V262/'Infrastructure Benchmarks'!$B2:$V262</f>
        <v>#VALUE!</v>
      </c>
      <c r="V945" s="8"/>
    </row>
    <row r="946" spans="16:22" x14ac:dyDescent="0.2">
      <c r="P946" s="67"/>
      <c r="Q946" s="66" t="e">
        <f>'Infrastructure Benchmarks'!$B2:$V262/'Infrastructure Benchmarks'!$B2:$V262</f>
        <v>#VALUE!</v>
      </c>
      <c r="V946" s="8"/>
    </row>
    <row r="947" spans="16:22" x14ac:dyDescent="0.2">
      <c r="P947" s="67"/>
      <c r="Q947" s="66" t="e">
        <f>'Infrastructure Benchmarks'!$B2:$V262/'Infrastructure Benchmarks'!$B2:$V262</f>
        <v>#VALUE!</v>
      </c>
      <c r="V947" s="8"/>
    </row>
    <row r="948" spans="16:22" x14ac:dyDescent="0.2">
      <c r="P948" s="67"/>
      <c r="Q948" s="66" t="e">
        <f>'Infrastructure Benchmarks'!$B2:$V262/'Infrastructure Benchmarks'!$B2:$V262</f>
        <v>#VALUE!</v>
      </c>
      <c r="V948" s="8"/>
    </row>
    <row r="949" spans="16:22" x14ac:dyDescent="0.2">
      <c r="P949" s="67"/>
      <c r="Q949" s="66" t="e">
        <f>'Infrastructure Benchmarks'!$B2:$V262/'Infrastructure Benchmarks'!$B2:$V262</f>
        <v>#VALUE!</v>
      </c>
      <c r="V949" s="8"/>
    </row>
    <row r="950" spans="16:22" x14ac:dyDescent="0.2">
      <c r="P950" s="67"/>
      <c r="Q950" s="66" t="e">
        <f>'Infrastructure Benchmarks'!$B2:$V262/'Infrastructure Benchmarks'!$B2:$V262</f>
        <v>#VALUE!</v>
      </c>
      <c r="V950" s="8"/>
    </row>
    <row r="951" spans="16:22" x14ac:dyDescent="0.2">
      <c r="P951" s="67"/>
      <c r="Q951" s="66" t="e">
        <f>'Infrastructure Benchmarks'!$B2:$V262/'Infrastructure Benchmarks'!$B2:$V262</f>
        <v>#VALUE!</v>
      </c>
      <c r="V951" s="8"/>
    </row>
    <row r="952" spans="16:22" x14ac:dyDescent="0.2">
      <c r="P952" s="67"/>
      <c r="Q952" s="66" t="e">
        <f>'Infrastructure Benchmarks'!$B2:$V262/'Infrastructure Benchmarks'!$B2:$V262</f>
        <v>#VALUE!</v>
      </c>
      <c r="V952" s="8"/>
    </row>
    <row r="953" spans="16:22" x14ac:dyDescent="0.2">
      <c r="P953" s="67"/>
      <c r="Q953" s="66" t="e">
        <f>'Infrastructure Benchmarks'!$B2:$V262/'Infrastructure Benchmarks'!$B2:$V262</f>
        <v>#VALUE!</v>
      </c>
      <c r="V953" s="8"/>
    </row>
    <row r="954" spans="16:22" x14ac:dyDescent="0.2">
      <c r="P954" s="67"/>
      <c r="Q954" s="66" t="e">
        <f>'Infrastructure Benchmarks'!$B2:$V262/'Infrastructure Benchmarks'!$B2:$V262</f>
        <v>#VALUE!</v>
      </c>
      <c r="V954" s="8"/>
    </row>
    <row r="955" spans="16:22" x14ac:dyDescent="0.2">
      <c r="P955" s="67"/>
      <c r="Q955" s="66" t="e">
        <f>'Infrastructure Benchmarks'!$B2:$V262/'Infrastructure Benchmarks'!$B2:$V262</f>
        <v>#VALUE!</v>
      </c>
      <c r="V955" s="8"/>
    </row>
    <row r="956" spans="16:22" x14ac:dyDescent="0.2">
      <c r="P956" s="67"/>
      <c r="Q956" s="66" t="e">
        <f>'Infrastructure Benchmarks'!$B2:$V262/'Infrastructure Benchmarks'!$B2:$V262</f>
        <v>#VALUE!</v>
      </c>
      <c r="V956" s="8"/>
    </row>
    <row r="957" spans="16:22" x14ac:dyDescent="0.2">
      <c r="P957" s="67"/>
      <c r="Q957" s="66" t="e">
        <f>'Infrastructure Benchmarks'!$B2:$V262/'Infrastructure Benchmarks'!$B2:$V262</f>
        <v>#VALUE!</v>
      </c>
      <c r="V957" s="8"/>
    </row>
    <row r="958" spans="16:22" x14ac:dyDescent="0.2">
      <c r="P958" s="67"/>
      <c r="Q958" s="66" t="e">
        <f>'Infrastructure Benchmarks'!$B2:$V262/'Infrastructure Benchmarks'!$B2:$V262</f>
        <v>#VALUE!</v>
      </c>
      <c r="V958" s="8"/>
    </row>
    <row r="959" spans="16:22" x14ac:dyDescent="0.2">
      <c r="P959" s="67"/>
      <c r="Q959" s="66" t="e">
        <f>'Infrastructure Benchmarks'!$B2:$V262/'Infrastructure Benchmarks'!$B2:$V262</f>
        <v>#VALUE!</v>
      </c>
      <c r="V959" s="8"/>
    </row>
    <row r="960" spans="16:22" x14ac:dyDescent="0.2">
      <c r="P960" s="67"/>
      <c r="Q960" s="66" t="e">
        <f>'Infrastructure Benchmarks'!$B2:$V262/'Infrastructure Benchmarks'!$B2:$V262</f>
        <v>#VALUE!</v>
      </c>
      <c r="V960" s="8"/>
    </row>
    <row r="961" spans="16:22" x14ac:dyDescent="0.2">
      <c r="P961" s="67"/>
      <c r="Q961" s="66" t="e">
        <f>'Infrastructure Benchmarks'!$B2:$V262/'Infrastructure Benchmarks'!$B2:$V262</f>
        <v>#VALUE!</v>
      </c>
      <c r="V961" s="8"/>
    </row>
    <row r="962" spans="16:22" x14ac:dyDescent="0.2">
      <c r="P962" s="67"/>
      <c r="Q962" s="66" t="e">
        <f>'Infrastructure Benchmarks'!$B2:$V262/'Infrastructure Benchmarks'!$B2:$V262</f>
        <v>#VALUE!</v>
      </c>
      <c r="V962" s="8"/>
    </row>
    <row r="963" spans="16:22" x14ac:dyDescent="0.2">
      <c r="P963" s="67"/>
      <c r="Q963" s="66" t="e">
        <f>'Infrastructure Benchmarks'!$B2:$V262/'Infrastructure Benchmarks'!$B2:$V262</f>
        <v>#VALUE!</v>
      </c>
      <c r="V963" s="8"/>
    </row>
    <row r="964" spans="16:22" x14ac:dyDescent="0.2">
      <c r="P964" s="67"/>
      <c r="Q964" s="66" t="e">
        <f>'Infrastructure Benchmarks'!$B2:$V262/'Infrastructure Benchmarks'!$B2:$V262</f>
        <v>#VALUE!</v>
      </c>
      <c r="V964" s="8"/>
    </row>
    <row r="965" spans="16:22" x14ac:dyDescent="0.2">
      <c r="P965" s="67"/>
      <c r="Q965" s="66" t="e">
        <f>'Infrastructure Benchmarks'!$B2:$V262/'Infrastructure Benchmarks'!$B2:$V262</f>
        <v>#VALUE!</v>
      </c>
      <c r="V965" s="8"/>
    </row>
    <row r="966" spans="16:22" x14ac:dyDescent="0.2">
      <c r="P966" s="67"/>
      <c r="Q966" s="66" t="e">
        <f>'Infrastructure Benchmarks'!$B2:$V262/'Infrastructure Benchmarks'!$B2:$V262</f>
        <v>#VALUE!</v>
      </c>
      <c r="V966" s="8"/>
    </row>
    <row r="967" spans="16:22" x14ac:dyDescent="0.2">
      <c r="P967" s="67"/>
      <c r="Q967" s="66" t="e">
        <f>'Infrastructure Benchmarks'!$B2:$V262/'Infrastructure Benchmarks'!$B2:$V262</f>
        <v>#VALUE!</v>
      </c>
      <c r="V967" s="8"/>
    </row>
    <row r="968" spans="16:22" x14ac:dyDescent="0.2">
      <c r="P968" s="67"/>
      <c r="Q968" s="66" t="e">
        <f>'Infrastructure Benchmarks'!$B2:$V262/'Infrastructure Benchmarks'!$B2:$V262</f>
        <v>#VALUE!</v>
      </c>
      <c r="V968" s="8"/>
    </row>
    <row r="969" spans="16:22" x14ac:dyDescent="0.2">
      <c r="P969" s="67"/>
      <c r="Q969" s="66" t="e">
        <f>'Infrastructure Benchmarks'!$B2:$V262/'Infrastructure Benchmarks'!$B2:$V262</f>
        <v>#VALUE!</v>
      </c>
      <c r="V969" s="8"/>
    </row>
    <row r="970" spans="16:22" x14ac:dyDescent="0.2">
      <c r="P970" s="67"/>
      <c r="Q970" s="66" t="e">
        <f>'Infrastructure Benchmarks'!$B2:$V262/'Infrastructure Benchmarks'!$B2:$V262</f>
        <v>#VALUE!</v>
      </c>
      <c r="V970" s="8"/>
    </row>
    <row r="971" spans="16:22" x14ac:dyDescent="0.2">
      <c r="P971" s="67"/>
      <c r="Q971" s="66" t="e">
        <f>'Infrastructure Benchmarks'!$B2:$V262/'Infrastructure Benchmarks'!$B2:$V262</f>
        <v>#VALUE!</v>
      </c>
      <c r="V971" s="8"/>
    </row>
    <row r="972" spans="16:22" x14ac:dyDescent="0.2">
      <c r="P972" s="67"/>
      <c r="Q972" s="66" t="e">
        <f>'Infrastructure Benchmarks'!$B2:$V262/'Infrastructure Benchmarks'!$B2:$V262</f>
        <v>#VALUE!</v>
      </c>
      <c r="V972" s="8"/>
    </row>
    <row r="973" spans="16:22" x14ac:dyDescent="0.2">
      <c r="P973" s="67"/>
      <c r="Q973" s="66" t="e">
        <f>'Infrastructure Benchmarks'!$B2:$V262/'Infrastructure Benchmarks'!$B2:$V262</f>
        <v>#VALUE!</v>
      </c>
      <c r="V973" s="8"/>
    </row>
    <row r="974" spans="16:22" x14ac:dyDescent="0.2">
      <c r="P974" s="67"/>
      <c r="Q974" s="66" t="e">
        <f>'Infrastructure Benchmarks'!$B2:$V262/'Infrastructure Benchmarks'!$B2:$V262</f>
        <v>#VALUE!</v>
      </c>
      <c r="V974" s="8"/>
    </row>
    <row r="975" spans="16:22" x14ac:dyDescent="0.2">
      <c r="P975" s="67"/>
      <c r="Q975" s="66" t="e">
        <f>'Infrastructure Benchmarks'!$B2:$V262/'Infrastructure Benchmarks'!$B2:$V262</f>
        <v>#VALUE!</v>
      </c>
      <c r="V975" s="8"/>
    </row>
    <row r="976" spans="16:22" x14ac:dyDescent="0.2">
      <c r="P976" s="67"/>
      <c r="Q976" s="66" t="e">
        <f>'Infrastructure Benchmarks'!$B2:$V262/'Infrastructure Benchmarks'!$B2:$V262</f>
        <v>#VALUE!</v>
      </c>
      <c r="V976" s="8"/>
    </row>
    <row r="977" spans="16:22" x14ac:dyDescent="0.2">
      <c r="P977" s="67"/>
      <c r="Q977" s="66" t="e">
        <f>'Infrastructure Benchmarks'!$B2:$V262/'Infrastructure Benchmarks'!$B2:$V262</f>
        <v>#VALUE!</v>
      </c>
      <c r="V977" s="8"/>
    </row>
    <row r="978" spans="16:22" x14ac:dyDescent="0.2">
      <c r="P978" s="67"/>
      <c r="Q978" s="66" t="e">
        <f>'Infrastructure Benchmarks'!$B2:$V262/'Infrastructure Benchmarks'!$B2:$V262</f>
        <v>#VALUE!</v>
      </c>
      <c r="V978" s="8"/>
    </row>
    <row r="979" spans="16:22" x14ac:dyDescent="0.2">
      <c r="P979" s="67"/>
      <c r="Q979" s="66" t="e">
        <f>'Infrastructure Benchmarks'!$B2:$V262/'Infrastructure Benchmarks'!$B2:$V262</f>
        <v>#VALUE!</v>
      </c>
      <c r="V979" s="8"/>
    </row>
    <row r="980" spans="16:22" x14ac:dyDescent="0.2">
      <c r="P980" s="67"/>
      <c r="Q980" s="66" t="e">
        <f>'Infrastructure Benchmarks'!$B2:$V262/'Infrastructure Benchmarks'!$B2:$V262</f>
        <v>#VALUE!</v>
      </c>
      <c r="V980" s="8"/>
    </row>
    <row r="981" spans="16:22" x14ac:dyDescent="0.2">
      <c r="P981" s="67"/>
      <c r="Q981" s="66" t="e">
        <f>'Infrastructure Benchmarks'!$B2:$V262/'Infrastructure Benchmarks'!$B2:$V262</f>
        <v>#VALUE!</v>
      </c>
      <c r="V981" s="8"/>
    </row>
    <row r="982" spans="16:22" x14ac:dyDescent="0.2">
      <c r="P982" s="67"/>
      <c r="Q982" s="66" t="e">
        <f>'Infrastructure Benchmarks'!$B2:$V262/'Infrastructure Benchmarks'!$B2:$V262</f>
        <v>#VALUE!</v>
      </c>
      <c r="V982" s="8"/>
    </row>
    <row r="983" spans="16:22" x14ac:dyDescent="0.2">
      <c r="P983" s="67"/>
      <c r="Q983" s="66" t="e">
        <f>'Infrastructure Benchmarks'!$B2:$V262/'Infrastructure Benchmarks'!$B2:$V262</f>
        <v>#VALUE!</v>
      </c>
      <c r="V983" s="8"/>
    </row>
    <row r="984" spans="16:22" x14ac:dyDescent="0.2">
      <c r="P984" s="67"/>
      <c r="Q984" s="66" t="e">
        <f>'Infrastructure Benchmarks'!$B2:$V262/'Infrastructure Benchmarks'!$B2:$V262</f>
        <v>#VALUE!</v>
      </c>
      <c r="V984" s="8"/>
    </row>
    <row r="985" spans="16:22" x14ac:dyDescent="0.2">
      <c r="P985" s="67"/>
      <c r="Q985" s="66" t="e">
        <f>'Infrastructure Benchmarks'!$B2:$V262/'Infrastructure Benchmarks'!$B2:$V262</f>
        <v>#VALUE!</v>
      </c>
      <c r="V985" s="8"/>
    </row>
    <row r="986" spans="16:22" x14ac:dyDescent="0.2">
      <c r="P986" s="67"/>
      <c r="Q986" s="66" t="e">
        <f>'Infrastructure Benchmarks'!$B2:$V262/'Infrastructure Benchmarks'!$B2:$V262</f>
        <v>#VALUE!</v>
      </c>
      <c r="V986" s="8"/>
    </row>
    <row r="987" spans="16:22" x14ac:dyDescent="0.2">
      <c r="P987" s="67"/>
      <c r="Q987" s="66" t="e">
        <f>'Infrastructure Benchmarks'!$B2:$V262/'Infrastructure Benchmarks'!$B2:$V262</f>
        <v>#VALUE!</v>
      </c>
      <c r="V987" s="8"/>
    </row>
    <row r="988" spans="16:22" x14ac:dyDescent="0.2">
      <c r="P988" s="67"/>
      <c r="Q988" s="66" t="e">
        <f>'Infrastructure Benchmarks'!$B2:$V262/'Infrastructure Benchmarks'!$B2:$V262</f>
        <v>#VALUE!</v>
      </c>
      <c r="V988" s="8"/>
    </row>
  </sheetData>
  <autoFilter ref="A1:W349" xr:uid="{FAC8B517-2BED-4542-B02A-6B64ACC158AE}"/>
  <phoneticPr fontId="4" type="noConversion"/>
  <pageMargins left="0.7" right="0.7" top="0.75" bottom="0.75" header="0.3" footer="0.3"/>
  <pageSetup scale="1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42CF-F3AE-4A46-9698-C6492A917343}">
  <dimension ref="A4:M33"/>
  <sheetViews>
    <sheetView workbookViewId="0">
      <selection activeCell="C9" sqref="C9"/>
    </sheetView>
  </sheetViews>
  <sheetFormatPr baseColWidth="10" defaultRowHeight="15" x14ac:dyDescent="0.2"/>
  <cols>
    <col min="1" max="1" width="25.33203125" style="99" bestFit="1" customWidth="1"/>
  </cols>
  <sheetData>
    <row r="4" spans="1:13" ht="32" x14ac:dyDescent="0.2">
      <c r="B4" s="97" t="s">
        <v>33</v>
      </c>
      <c r="C4" s="97" t="s">
        <v>76</v>
      </c>
      <c r="D4" s="97" t="s">
        <v>75</v>
      </c>
      <c r="E4" s="97" t="s">
        <v>36</v>
      </c>
      <c r="F4" s="97" t="s">
        <v>74</v>
      </c>
      <c r="G4" s="98" t="s">
        <v>31</v>
      </c>
      <c r="H4" s="98" t="s">
        <v>123</v>
      </c>
      <c r="I4" s="98" t="s">
        <v>122</v>
      </c>
      <c r="J4" s="98" t="s">
        <v>40</v>
      </c>
      <c r="K4" s="98" t="s">
        <v>143</v>
      </c>
      <c r="L4" s="98" t="s">
        <v>142</v>
      </c>
      <c r="M4" s="98" t="s">
        <v>144</v>
      </c>
    </row>
    <row r="5" spans="1:13" x14ac:dyDescent="0.2">
      <c r="A5" s="100" t="s">
        <v>24</v>
      </c>
    </row>
    <row r="6" spans="1:13" x14ac:dyDescent="0.2">
      <c r="A6" s="100" t="s">
        <v>44</v>
      </c>
    </row>
    <row r="7" spans="1:13" x14ac:dyDescent="0.2">
      <c r="A7" s="100" t="s">
        <v>45</v>
      </c>
    </row>
    <row r="8" spans="1:13" x14ac:dyDescent="0.2">
      <c r="A8" s="100" t="s">
        <v>14</v>
      </c>
    </row>
    <row r="9" spans="1:13" x14ac:dyDescent="0.2">
      <c r="A9" s="100" t="s">
        <v>22</v>
      </c>
    </row>
    <row r="10" spans="1:13" x14ac:dyDescent="0.2">
      <c r="A10" s="100" t="s">
        <v>20</v>
      </c>
    </row>
    <row r="11" spans="1:13" x14ac:dyDescent="0.2">
      <c r="A11" s="100" t="s">
        <v>23</v>
      </c>
    </row>
    <row r="12" spans="1:13" x14ac:dyDescent="0.2">
      <c r="A12" s="100" t="s">
        <v>25</v>
      </c>
    </row>
    <row r="13" spans="1:13" x14ac:dyDescent="0.2">
      <c r="A13" s="100" t="s">
        <v>46</v>
      </c>
    </row>
    <row r="14" spans="1:13" x14ac:dyDescent="0.2">
      <c r="A14" s="100" t="s">
        <v>34</v>
      </c>
    </row>
    <row r="15" spans="1:13" x14ac:dyDescent="0.2">
      <c r="A15" s="100" t="s">
        <v>26</v>
      </c>
    </row>
    <row r="16" spans="1:13" x14ac:dyDescent="0.2">
      <c r="A16" s="100" t="s">
        <v>28</v>
      </c>
    </row>
    <row r="17" spans="1:1" x14ac:dyDescent="0.2">
      <c r="A17" s="100" t="s">
        <v>47</v>
      </c>
    </row>
    <row r="18" spans="1:1" x14ac:dyDescent="0.2">
      <c r="A18" s="100" t="s">
        <v>27</v>
      </c>
    </row>
    <row r="19" spans="1:1" x14ac:dyDescent="0.2">
      <c r="A19" s="100" t="s">
        <v>48</v>
      </c>
    </row>
    <row r="20" spans="1:1" x14ac:dyDescent="0.2">
      <c r="A20" s="100" t="s">
        <v>49</v>
      </c>
    </row>
    <row r="21" spans="1:1" x14ac:dyDescent="0.2">
      <c r="A21" s="100" t="s">
        <v>50</v>
      </c>
    </row>
    <row r="22" spans="1:1" x14ac:dyDescent="0.2">
      <c r="A22" s="100" t="s">
        <v>51</v>
      </c>
    </row>
    <row r="23" spans="1:1" x14ac:dyDescent="0.2">
      <c r="A23" s="100" t="s">
        <v>52</v>
      </c>
    </row>
    <row r="24" spans="1:1" x14ac:dyDescent="0.2">
      <c r="A24" s="100" t="s">
        <v>53</v>
      </c>
    </row>
    <row r="25" spans="1:1" x14ac:dyDescent="0.2">
      <c r="A25" s="100" t="s">
        <v>55</v>
      </c>
    </row>
    <row r="26" spans="1:1" x14ac:dyDescent="0.2">
      <c r="A26" s="100" t="s">
        <v>54</v>
      </c>
    </row>
    <row r="27" spans="1:1" x14ac:dyDescent="0.2">
      <c r="A27" s="100" t="s">
        <v>56</v>
      </c>
    </row>
    <row r="28" spans="1:1" x14ac:dyDescent="0.2">
      <c r="A28" s="100" t="s">
        <v>73</v>
      </c>
    </row>
    <row r="29" spans="1:1" x14ac:dyDescent="0.2">
      <c r="A29" s="100" t="s">
        <v>57</v>
      </c>
    </row>
    <row r="30" spans="1:1" x14ac:dyDescent="0.2">
      <c r="A30" s="100" t="s">
        <v>58</v>
      </c>
    </row>
    <row r="31" spans="1:1" x14ac:dyDescent="0.2">
      <c r="A31" s="100" t="s">
        <v>59</v>
      </c>
    </row>
    <row r="32" spans="1:1" x14ac:dyDescent="0.2">
      <c r="A32" s="100" t="s">
        <v>60</v>
      </c>
    </row>
    <row r="33" spans="1:1" x14ac:dyDescent="0.2">
      <c r="A33" s="100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82EF-332C-4DEA-8256-E71E1A711013}">
  <sheetPr>
    <tabColor rgb="FF00B0F0"/>
  </sheetPr>
  <dimension ref="A1:S1204"/>
  <sheetViews>
    <sheetView view="pageBreakPreview" topLeftCell="B1" zoomScale="85" zoomScaleNormal="40" zoomScaleSheetLayoutView="85" workbookViewId="0">
      <pane ySplit="1" topLeftCell="A2" activePane="bottomLeft" state="frozen"/>
      <selection pane="bottomLeft" activeCell="O234" sqref="O2:O234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5.83203125" customWidth="1"/>
    <col min="4" max="5" width="19" customWidth="1"/>
    <col min="6" max="6" width="35.33203125" bestFit="1" customWidth="1"/>
    <col min="7" max="7" width="13.33203125" style="1" customWidth="1"/>
    <col min="8" max="8" width="29.83203125" style="1" customWidth="1"/>
    <col min="9" max="9" width="23" style="4" customWidth="1"/>
    <col min="10" max="10" width="21.1640625" style="4" customWidth="1"/>
    <col min="11" max="11" width="22.1640625" style="7" customWidth="1"/>
    <col min="12" max="12" width="21.33203125" style="7" customWidth="1"/>
    <col min="13" max="13" width="23.1640625" style="7" customWidth="1"/>
    <col min="14" max="14" width="33.6640625" style="4" customWidth="1"/>
    <col min="15" max="15" width="18.33203125" style="7" customWidth="1"/>
    <col min="16" max="18" width="14.33203125" style="3" customWidth="1"/>
    <col min="19" max="19" width="12.83203125" style="4" customWidth="1"/>
  </cols>
  <sheetData>
    <row r="1" spans="1:19" x14ac:dyDescent="0.2">
      <c r="A1" s="17" t="s">
        <v>8</v>
      </c>
      <c r="B1" s="18" t="s">
        <v>1</v>
      </c>
      <c r="C1" s="18" t="s">
        <v>11</v>
      </c>
      <c r="D1" s="18" t="s">
        <v>12</v>
      </c>
      <c r="E1" s="18" t="s">
        <v>92</v>
      </c>
      <c r="F1" s="18" t="s">
        <v>30</v>
      </c>
      <c r="G1" s="19" t="s">
        <v>5</v>
      </c>
      <c r="H1" s="19" t="s">
        <v>7</v>
      </c>
      <c r="I1" s="20" t="s">
        <v>15</v>
      </c>
      <c r="J1" s="20" t="s">
        <v>17</v>
      </c>
      <c r="K1" s="21" t="s">
        <v>19</v>
      </c>
      <c r="L1" s="21" t="s">
        <v>64</v>
      </c>
      <c r="M1" s="21" t="s">
        <v>63</v>
      </c>
      <c r="N1" s="20" t="s">
        <v>9</v>
      </c>
      <c r="O1" s="22" t="s">
        <v>21</v>
      </c>
      <c r="P1" s="23" t="s">
        <v>66</v>
      </c>
      <c r="Q1" s="23" t="s">
        <v>67</v>
      </c>
      <c r="R1" s="23" t="s">
        <v>68</v>
      </c>
      <c r="S1" s="24" t="s">
        <v>0</v>
      </c>
    </row>
    <row r="2" spans="1:19" x14ac:dyDescent="0.2">
      <c r="A2" s="25" t="s">
        <v>70</v>
      </c>
      <c r="B2" s="26" t="s">
        <v>2</v>
      </c>
      <c r="C2" s="26" t="s">
        <v>39</v>
      </c>
      <c r="D2" s="26" t="s">
        <v>106</v>
      </c>
      <c r="E2" s="26"/>
      <c r="F2" s="26" t="s">
        <v>120</v>
      </c>
      <c r="G2" s="26" t="s">
        <v>105</v>
      </c>
      <c r="H2" s="26"/>
      <c r="I2" s="27" t="s">
        <v>113</v>
      </c>
      <c r="J2" s="27" t="s">
        <v>18</v>
      </c>
      <c r="K2" s="28"/>
      <c r="L2" s="28"/>
      <c r="M2" s="28"/>
      <c r="N2" s="4" t="s">
        <v>24</v>
      </c>
      <c r="O2" s="53"/>
      <c r="P2" s="29" t="e">
        <f>'Infrastructure Benchmarks-ref'!$O2/'Infrastructure Benchmarks-ref'!$K2</f>
        <v>#DIV/0!</v>
      </c>
      <c r="Q2" s="29" t="e">
        <f>'Infrastructure Benchmarks-ref'!$O2/'Infrastructure Benchmarks-ref'!$L2</f>
        <v>#DIV/0!</v>
      </c>
      <c r="R2" s="29" t="e">
        <f>'Infrastructure Benchmarks-ref'!$O2/'Infrastructure Benchmarks-ref'!$M2</f>
        <v>#DIV/0!</v>
      </c>
      <c r="S2" s="30"/>
    </row>
    <row r="3" spans="1:19" x14ac:dyDescent="0.2">
      <c r="A3" s="25" t="s">
        <v>70</v>
      </c>
      <c r="B3" s="26" t="s">
        <v>2</v>
      </c>
      <c r="C3" s="26" t="s">
        <v>39</v>
      </c>
      <c r="D3" s="26" t="s">
        <v>106</v>
      </c>
      <c r="E3" s="26"/>
      <c r="F3" s="26" t="s">
        <v>120</v>
      </c>
      <c r="G3" s="26" t="s">
        <v>105</v>
      </c>
      <c r="H3" s="26"/>
      <c r="I3" s="27" t="s">
        <v>113</v>
      </c>
      <c r="J3" s="27" t="s">
        <v>18</v>
      </c>
      <c r="K3" s="28"/>
      <c r="L3" s="28"/>
      <c r="M3" s="28"/>
      <c r="N3" s="27" t="s">
        <v>44</v>
      </c>
      <c r="O3" s="28"/>
      <c r="P3" s="29" t="e">
        <f>'Infrastructure Benchmarks-ref'!$O3/'Infrastructure Benchmarks-ref'!$K3</f>
        <v>#DIV/0!</v>
      </c>
      <c r="Q3" s="29" t="e">
        <f>'Infrastructure Benchmarks-ref'!$O3/'Infrastructure Benchmarks-ref'!$L3</f>
        <v>#DIV/0!</v>
      </c>
      <c r="R3" s="29" t="e">
        <f>'Infrastructure Benchmarks-ref'!$O3/'Infrastructure Benchmarks-ref'!$M3</f>
        <v>#DIV/0!</v>
      </c>
      <c r="S3" s="30"/>
    </row>
    <row r="4" spans="1:19" x14ac:dyDescent="0.2">
      <c r="A4" s="25" t="s">
        <v>70</v>
      </c>
      <c r="B4" s="26" t="s">
        <v>2</v>
      </c>
      <c r="C4" s="26" t="s">
        <v>39</v>
      </c>
      <c r="D4" s="26" t="s">
        <v>106</v>
      </c>
      <c r="E4" s="26"/>
      <c r="F4" s="26" t="s">
        <v>120</v>
      </c>
      <c r="G4" s="26" t="s">
        <v>105</v>
      </c>
      <c r="H4" s="26"/>
      <c r="I4" s="27" t="s">
        <v>113</v>
      </c>
      <c r="J4" s="27" t="s">
        <v>18</v>
      </c>
      <c r="K4" s="28"/>
      <c r="L4" s="28"/>
      <c r="M4" s="28"/>
      <c r="N4" s="27" t="s">
        <v>45</v>
      </c>
      <c r="O4" s="28">
        <v>29999</v>
      </c>
      <c r="P4" s="29" t="e">
        <f>'Infrastructure Benchmarks-ref'!$O4/'Infrastructure Benchmarks-ref'!$K4</f>
        <v>#DIV/0!</v>
      </c>
      <c r="Q4" s="29" t="e">
        <f>'Infrastructure Benchmarks-ref'!$O4/'Infrastructure Benchmarks-ref'!$L4</f>
        <v>#DIV/0!</v>
      </c>
      <c r="R4" s="29" t="e">
        <f>'Infrastructure Benchmarks-ref'!$O4/'Infrastructure Benchmarks-ref'!$M4</f>
        <v>#DIV/0!</v>
      </c>
      <c r="S4" s="30"/>
    </row>
    <row r="5" spans="1:19" x14ac:dyDescent="0.2">
      <c r="A5" s="25" t="s">
        <v>70</v>
      </c>
      <c r="B5" s="26" t="s">
        <v>2</v>
      </c>
      <c r="C5" s="26" t="s">
        <v>39</v>
      </c>
      <c r="D5" s="26" t="s">
        <v>106</v>
      </c>
      <c r="E5" s="26"/>
      <c r="F5" s="26" t="s">
        <v>120</v>
      </c>
      <c r="G5" s="26" t="s">
        <v>105</v>
      </c>
      <c r="H5" s="26"/>
      <c r="I5" s="27" t="s">
        <v>113</v>
      </c>
      <c r="J5" s="27" t="s">
        <v>18</v>
      </c>
      <c r="K5" s="28"/>
      <c r="L5" s="28"/>
      <c r="M5" s="28"/>
      <c r="N5" s="27" t="s">
        <v>14</v>
      </c>
      <c r="O5" s="28">
        <v>3122614</v>
      </c>
      <c r="P5" s="29" t="e">
        <f>'Infrastructure Benchmarks-ref'!$O5/'Infrastructure Benchmarks-ref'!$K5</f>
        <v>#DIV/0!</v>
      </c>
      <c r="Q5" s="29" t="e">
        <f>'Infrastructure Benchmarks-ref'!$O5/'Infrastructure Benchmarks-ref'!$L5</f>
        <v>#DIV/0!</v>
      </c>
      <c r="R5" s="29" t="e">
        <f>'Infrastructure Benchmarks-ref'!$O5/'Infrastructure Benchmarks-ref'!$M5</f>
        <v>#DIV/0!</v>
      </c>
      <c r="S5" s="30"/>
    </row>
    <row r="6" spans="1:19" x14ac:dyDescent="0.2">
      <c r="A6" s="25" t="s">
        <v>70</v>
      </c>
      <c r="B6" s="26" t="s">
        <v>2</v>
      </c>
      <c r="C6" s="26" t="s">
        <v>39</v>
      </c>
      <c r="D6" s="26" t="s">
        <v>106</v>
      </c>
      <c r="E6" s="26"/>
      <c r="F6" s="26" t="s">
        <v>120</v>
      </c>
      <c r="G6" s="26" t="s">
        <v>105</v>
      </c>
      <c r="H6" s="26"/>
      <c r="I6" s="27" t="s">
        <v>113</v>
      </c>
      <c r="J6" s="27" t="s">
        <v>18</v>
      </c>
      <c r="K6" s="28"/>
      <c r="L6" s="28"/>
      <c r="M6" s="28"/>
      <c r="N6" s="27" t="s">
        <v>22</v>
      </c>
      <c r="O6" s="28">
        <f>2227597.75+4329962</f>
        <v>6557559.75</v>
      </c>
      <c r="P6" s="29" t="e">
        <f>'Infrastructure Benchmarks-ref'!$O6/'Infrastructure Benchmarks-ref'!$K6</f>
        <v>#DIV/0!</v>
      </c>
      <c r="Q6" s="29" t="e">
        <f>'Infrastructure Benchmarks-ref'!$O6/'Infrastructure Benchmarks-ref'!$L6</f>
        <v>#DIV/0!</v>
      </c>
      <c r="R6" s="29" t="e">
        <f>'Infrastructure Benchmarks-ref'!$O6/'Infrastructure Benchmarks-ref'!$M6</f>
        <v>#DIV/0!</v>
      </c>
      <c r="S6" s="30"/>
    </row>
    <row r="7" spans="1:19" x14ac:dyDescent="0.2">
      <c r="A7" s="25" t="s">
        <v>70</v>
      </c>
      <c r="B7" s="26" t="s">
        <v>2</v>
      </c>
      <c r="C7" s="26" t="s">
        <v>39</v>
      </c>
      <c r="D7" s="26" t="s">
        <v>106</v>
      </c>
      <c r="E7" s="26"/>
      <c r="F7" s="26" t="s">
        <v>120</v>
      </c>
      <c r="G7" s="26" t="s">
        <v>105</v>
      </c>
      <c r="H7" s="26"/>
      <c r="I7" s="27" t="s">
        <v>113</v>
      </c>
      <c r="J7" s="27" t="s">
        <v>18</v>
      </c>
      <c r="K7" s="28"/>
      <c r="L7" s="28"/>
      <c r="M7" s="28"/>
      <c r="N7" s="27" t="s">
        <v>20</v>
      </c>
      <c r="O7" s="28">
        <v>2781340</v>
      </c>
      <c r="P7" s="29" t="e">
        <f>'Infrastructure Benchmarks-ref'!$O7/'Infrastructure Benchmarks-ref'!$K7</f>
        <v>#DIV/0!</v>
      </c>
      <c r="Q7" s="29" t="e">
        <f>'Infrastructure Benchmarks-ref'!$O7/'Infrastructure Benchmarks-ref'!$L7</f>
        <v>#DIV/0!</v>
      </c>
      <c r="R7" s="29" t="e">
        <f>'Infrastructure Benchmarks-ref'!$O7/'Infrastructure Benchmarks-ref'!$M7</f>
        <v>#DIV/0!</v>
      </c>
      <c r="S7" s="30"/>
    </row>
    <row r="8" spans="1:19" x14ac:dyDescent="0.2">
      <c r="A8" s="25" t="s">
        <v>70</v>
      </c>
      <c r="B8" s="26" t="s">
        <v>2</v>
      </c>
      <c r="C8" s="26" t="s">
        <v>39</v>
      </c>
      <c r="D8" s="26" t="s">
        <v>106</v>
      </c>
      <c r="E8" s="26"/>
      <c r="F8" s="26" t="s">
        <v>120</v>
      </c>
      <c r="G8" s="26" t="s">
        <v>105</v>
      </c>
      <c r="H8" s="26"/>
      <c r="I8" s="27" t="s">
        <v>113</v>
      </c>
      <c r="J8" s="27" t="s">
        <v>18</v>
      </c>
      <c r="K8" s="28"/>
      <c r="L8" s="28"/>
      <c r="M8" s="28"/>
      <c r="N8" s="27" t="s">
        <v>23</v>
      </c>
      <c r="O8" s="28">
        <f>3626597+2074818</f>
        <v>5701415</v>
      </c>
      <c r="P8" s="29" t="e">
        <f>'Infrastructure Benchmarks-ref'!$O8/'Infrastructure Benchmarks-ref'!$K8</f>
        <v>#DIV/0!</v>
      </c>
      <c r="Q8" s="29" t="e">
        <f>'Infrastructure Benchmarks-ref'!$O8/'Infrastructure Benchmarks-ref'!$L8</f>
        <v>#DIV/0!</v>
      </c>
      <c r="R8" s="29" t="e">
        <f>'Infrastructure Benchmarks-ref'!$O8/'Infrastructure Benchmarks-ref'!$M8</f>
        <v>#DIV/0!</v>
      </c>
      <c r="S8" s="30"/>
    </row>
    <row r="9" spans="1:19" x14ac:dyDescent="0.2">
      <c r="A9" s="25" t="s">
        <v>70</v>
      </c>
      <c r="B9" s="26" t="s">
        <v>2</v>
      </c>
      <c r="C9" s="26" t="s">
        <v>39</v>
      </c>
      <c r="D9" s="26" t="s">
        <v>106</v>
      </c>
      <c r="E9" s="26"/>
      <c r="F9" s="26" t="s">
        <v>120</v>
      </c>
      <c r="G9" s="26" t="s">
        <v>105</v>
      </c>
      <c r="H9" s="26"/>
      <c r="I9" s="27" t="s">
        <v>113</v>
      </c>
      <c r="J9" s="27" t="s">
        <v>18</v>
      </c>
      <c r="K9" s="28"/>
      <c r="L9" s="28"/>
      <c r="M9" s="28"/>
      <c r="N9" s="27" t="s">
        <v>25</v>
      </c>
      <c r="O9" s="28">
        <v>1220969</v>
      </c>
      <c r="P9" s="29" t="e">
        <f>'Infrastructure Benchmarks-ref'!$O9/'Infrastructure Benchmarks-ref'!$K9</f>
        <v>#DIV/0!</v>
      </c>
      <c r="Q9" s="29" t="e">
        <f>'Infrastructure Benchmarks-ref'!$O9/'Infrastructure Benchmarks-ref'!$L9</f>
        <v>#DIV/0!</v>
      </c>
      <c r="R9" s="29" t="e">
        <f>'Infrastructure Benchmarks-ref'!$O9/'Infrastructure Benchmarks-ref'!$M9</f>
        <v>#DIV/0!</v>
      </c>
      <c r="S9" s="30"/>
    </row>
    <row r="10" spans="1:19" x14ac:dyDescent="0.2">
      <c r="A10" s="25" t="s">
        <v>70</v>
      </c>
      <c r="B10" s="26" t="s">
        <v>2</v>
      </c>
      <c r="C10" s="26" t="s">
        <v>39</v>
      </c>
      <c r="D10" s="26" t="s">
        <v>106</v>
      </c>
      <c r="E10" s="26"/>
      <c r="F10" s="26" t="s">
        <v>120</v>
      </c>
      <c r="G10" s="26" t="s">
        <v>105</v>
      </c>
      <c r="H10" s="26"/>
      <c r="I10" s="27" t="s">
        <v>113</v>
      </c>
      <c r="J10" s="27" t="s">
        <v>18</v>
      </c>
      <c r="K10" s="28"/>
      <c r="L10" s="28"/>
      <c r="M10" s="28"/>
      <c r="N10" s="27" t="s">
        <v>46</v>
      </c>
      <c r="O10" s="28"/>
      <c r="P10" s="29" t="e">
        <f>'Infrastructure Benchmarks-ref'!$O10/'Infrastructure Benchmarks-ref'!$K10</f>
        <v>#DIV/0!</v>
      </c>
      <c r="Q10" s="29" t="e">
        <f>'Infrastructure Benchmarks-ref'!$O10/'Infrastructure Benchmarks-ref'!$L10</f>
        <v>#DIV/0!</v>
      </c>
      <c r="R10" s="29" t="e">
        <f>'Infrastructure Benchmarks-ref'!$O10/'Infrastructure Benchmarks-ref'!$M10</f>
        <v>#DIV/0!</v>
      </c>
      <c r="S10" s="30"/>
    </row>
    <row r="11" spans="1:19" x14ac:dyDescent="0.2">
      <c r="A11" s="25" t="s">
        <v>70</v>
      </c>
      <c r="B11" s="26" t="s">
        <v>2</v>
      </c>
      <c r="C11" s="26" t="s">
        <v>39</v>
      </c>
      <c r="D11" s="26" t="s">
        <v>106</v>
      </c>
      <c r="E11" s="26"/>
      <c r="F11" s="26" t="s">
        <v>120</v>
      </c>
      <c r="G11" s="26" t="s">
        <v>105</v>
      </c>
      <c r="H11" s="26"/>
      <c r="I11" s="27" t="s">
        <v>113</v>
      </c>
      <c r="J11" s="27" t="s">
        <v>18</v>
      </c>
      <c r="K11" s="28"/>
      <c r="L11" s="28"/>
      <c r="M11" s="28"/>
      <c r="N11" s="27" t="s">
        <v>34</v>
      </c>
      <c r="O11" s="28">
        <f>146516+3750000</f>
        <v>3896516</v>
      </c>
      <c r="P11" s="29" t="e">
        <f>'Infrastructure Benchmarks-ref'!$O11/'Infrastructure Benchmarks-ref'!$K11</f>
        <v>#DIV/0!</v>
      </c>
      <c r="Q11" s="29" t="e">
        <f>'Infrastructure Benchmarks-ref'!$O11/'Infrastructure Benchmarks-ref'!$L11</f>
        <v>#DIV/0!</v>
      </c>
      <c r="R11" s="29" t="e">
        <f>'Infrastructure Benchmarks-ref'!$O11/'Infrastructure Benchmarks-ref'!$M11</f>
        <v>#DIV/0!</v>
      </c>
      <c r="S11" s="30"/>
    </row>
    <row r="12" spans="1:19" x14ac:dyDescent="0.2">
      <c r="A12" s="25" t="s">
        <v>70</v>
      </c>
      <c r="B12" s="26" t="s">
        <v>2</v>
      </c>
      <c r="C12" s="26" t="s">
        <v>39</v>
      </c>
      <c r="D12" s="26" t="s">
        <v>106</v>
      </c>
      <c r="E12" s="26"/>
      <c r="F12" s="26" t="s">
        <v>120</v>
      </c>
      <c r="G12" s="26" t="s">
        <v>105</v>
      </c>
      <c r="H12" s="26"/>
      <c r="I12" s="27" t="s">
        <v>113</v>
      </c>
      <c r="J12" s="27" t="s">
        <v>18</v>
      </c>
      <c r="K12" s="28"/>
      <c r="L12" s="28"/>
      <c r="M12" s="28"/>
      <c r="N12" s="27" t="s">
        <v>26</v>
      </c>
      <c r="O12" s="28">
        <v>2493989</v>
      </c>
      <c r="P12" s="29" t="e">
        <f>'Infrastructure Benchmarks-ref'!$O12/'Infrastructure Benchmarks-ref'!$K12</f>
        <v>#DIV/0!</v>
      </c>
      <c r="Q12" s="29" t="e">
        <f>'Infrastructure Benchmarks-ref'!$O12/'Infrastructure Benchmarks-ref'!$L12</f>
        <v>#DIV/0!</v>
      </c>
      <c r="R12" s="29" t="e">
        <f>'Infrastructure Benchmarks-ref'!$O12/'Infrastructure Benchmarks-ref'!$M12</f>
        <v>#DIV/0!</v>
      </c>
      <c r="S12" s="30"/>
    </row>
    <row r="13" spans="1:19" x14ac:dyDescent="0.2">
      <c r="A13" s="25" t="s">
        <v>70</v>
      </c>
      <c r="B13" s="26" t="s">
        <v>2</v>
      </c>
      <c r="C13" s="26" t="s">
        <v>39</v>
      </c>
      <c r="D13" s="26" t="s">
        <v>106</v>
      </c>
      <c r="E13" s="26"/>
      <c r="F13" s="26" t="s">
        <v>120</v>
      </c>
      <c r="G13" s="26" t="s">
        <v>105</v>
      </c>
      <c r="H13" s="26"/>
      <c r="I13" s="27" t="s">
        <v>113</v>
      </c>
      <c r="J13" s="27" t="s">
        <v>18</v>
      </c>
      <c r="K13" s="28"/>
      <c r="L13" s="28"/>
      <c r="M13" s="28"/>
      <c r="N13" s="27" t="s">
        <v>28</v>
      </c>
      <c r="O13" s="28">
        <v>841204</v>
      </c>
      <c r="P13" s="29" t="e">
        <f>'Infrastructure Benchmarks-ref'!$O13/'Infrastructure Benchmarks-ref'!$K13</f>
        <v>#DIV/0!</v>
      </c>
      <c r="Q13" s="29" t="e">
        <f>'Infrastructure Benchmarks-ref'!$O13/'Infrastructure Benchmarks-ref'!$L13</f>
        <v>#DIV/0!</v>
      </c>
      <c r="R13" s="29" t="e">
        <f>'Infrastructure Benchmarks-ref'!$O13/'Infrastructure Benchmarks-ref'!$M13</f>
        <v>#DIV/0!</v>
      </c>
      <c r="S13" s="30"/>
    </row>
    <row r="14" spans="1:19" x14ac:dyDescent="0.2">
      <c r="A14" s="25" t="s">
        <v>70</v>
      </c>
      <c r="B14" s="26" t="s">
        <v>2</v>
      </c>
      <c r="C14" s="26" t="s">
        <v>39</v>
      </c>
      <c r="D14" s="26" t="s">
        <v>106</v>
      </c>
      <c r="E14" s="26"/>
      <c r="F14" s="26" t="s">
        <v>120</v>
      </c>
      <c r="G14" s="26" t="s">
        <v>105</v>
      </c>
      <c r="H14" s="26"/>
      <c r="I14" s="27" t="s">
        <v>113</v>
      </c>
      <c r="J14" s="27" t="s">
        <v>18</v>
      </c>
      <c r="K14" s="28"/>
      <c r="L14" s="28"/>
      <c r="M14" s="28"/>
      <c r="N14" s="27" t="s">
        <v>47</v>
      </c>
      <c r="O14" s="28">
        <v>757152</v>
      </c>
      <c r="P14" s="29" t="e">
        <f>'Infrastructure Benchmarks-ref'!$O14/'Infrastructure Benchmarks-ref'!$K14</f>
        <v>#DIV/0!</v>
      </c>
      <c r="Q14" s="29" t="e">
        <f>'Infrastructure Benchmarks-ref'!$O14/'Infrastructure Benchmarks-ref'!$L14</f>
        <v>#DIV/0!</v>
      </c>
      <c r="R14" s="29" t="e">
        <f>'Infrastructure Benchmarks-ref'!$O14/'Infrastructure Benchmarks-ref'!$M14</f>
        <v>#DIV/0!</v>
      </c>
      <c r="S14" s="30"/>
    </row>
    <row r="15" spans="1:19" x14ac:dyDescent="0.2">
      <c r="A15" s="25" t="s">
        <v>70</v>
      </c>
      <c r="B15" s="26" t="s">
        <v>2</v>
      </c>
      <c r="C15" s="26" t="s">
        <v>39</v>
      </c>
      <c r="D15" s="26" t="s">
        <v>106</v>
      </c>
      <c r="E15" s="26"/>
      <c r="F15" s="26" t="s">
        <v>120</v>
      </c>
      <c r="G15" s="26" t="s">
        <v>105</v>
      </c>
      <c r="H15" s="26"/>
      <c r="I15" s="27" t="s">
        <v>113</v>
      </c>
      <c r="J15" s="27" t="s">
        <v>18</v>
      </c>
      <c r="K15" s="28"/>
      <c r="L15" s="28"/>
      <c r="M15" s="28"/>
      <c r="N15" s="27" t="s">
        <v>27</v>
      </c>
      <c r="O15" s="28">
        <v>1919942</v>
      </c>
      <c r="P15" s="29" t="e">
        <f>'Infrastructure Benchmarks-ref'!$O15/'Infrastructure Benchmarks-ref'!$K15</f>
        <v>#DIV/0!</v>
      </c>
      <c r="Q15" s="29" t="e">
        <f>'Infrastructure Benchmarks-ref'!$O15/'Infrastructure Benchmarks-ref'!$L15</f>
        <v>#DIV/0!</v>
      </c>
      <c r="R15" s="29" t="e">
        <f>'Infrastructure Benchmarks-ref'!$O15/'Infrastructure Benchmarks-ref'!$M15</f>
        <v>#DIV/0!</v>
      </c>
      <c r="S15" s="30"/>
    </row>
    <row r="16" spans="1:19" x14ac:dyDescent="0.2">
      <c r="A16" s="25" t="s">
        <v>70</v>
      </c>
      <c r="B16" s="26" t="s">
        <v>2</v>
      </c>
      <c r="C16" s="26" t="s">
        <v>39</v>
      </c>
      <c r="D16" s="26" t="s">
        <v>106</v>
      </c>
      <c r="E16" s="26"/>
      <c r="F16" s="26" t="s">
        <v>120</v>
      </c>
      <c r="G16" s="26" t="s">
        <v>105</v>
      </c>
      <c r="H16" s="26"/>
      <c r="I16" s="27" t="s">
        <v>113</v>
      </c>
      <c r="J16" s="27" t="s">
        <v>18</v>
      </c>
      <c r="K16" s="28"/>
      <c r="L16" s="28"/>
      <c r="M16" s="28"/>
      <c r="N16" s="27" t="s">
        <v>48</v>
      </c>
      <c r="O16" s="28"/>
      <c r="P16" s="29" t="e">
        <f>'Infrastructure Benchmarks-ref'!$O16/'Infrastructure Benchmarks-ref'!$K16</f>
        <v>#DIV/0!</v>
      </c>
      <c r="Q16" s="29" t="e">
        <f>'Infrastructure Benchmarks-ref'!$O16/'Infrastructure Benchmarks-ref'!$L16</f>
        <v>#DIV/0!</v>
      </c>
      <c r="R16" s="29" t="e">
        <f>'Infrastructure Benchmarks-ref'!$O16/'Infrastructure Benchmarks-ref'!$M16</f>
        <v>#DIV/0!</v>
      </c>
      <c r="S16" s="30"/>
    </row>
    <row r="17" spans="1:19" x14ac:dyDescent="0.2">
      <c r="A17" s="25" t="s">
        <v>70</v>
      </c>
      <c r="B17" s="26" t="s">
        <v>2</v>
      </c>
      <c r="C17" s="26" t="s">
        <v>39</v>
      </c>
      <c r="D17" s="26" t="s">
        <v>106</v>
      </c>
      <c r="E17" s="26"/>
      <c r="F17" s="26" t="s">
        <v>120</v>
      </c>
      <c r="G17" s="26" t="s">
        <v>105</v>
      </c>
      <c r="H17" s="26"/>
      <c r="I17" s="27" t="s">
        <v>113</v>
      </c>
      <c r="J17" s="27" t="s">
        <v>18</v>
      </c>
      <c r="K17" s="28"/>
      <c r="L17" s="28"/>
      <c r="M17" s="28"/>
      <c r="N17" s="27" t="s">
        <v>49</v>
      </c>
      <c r="O17" s="31"/>
      <c r="P17" s="29" t="e">
        <f>'Infrastructure Benchmarks-ref'!$O17/'Infrastructure Benchmarks-ref'!$K17</f>
        <v>#DIV/0!</v>
      </c>
      <c r="Q17" s="29" t="e">
        <f>'Infrastructure Benchmarks-ref'!$O17/'Infrastructure Benchmarks-ref'!$L17</f>
        <v>#DIV/0!</v>
      </c>
      <c r="R17" s="29" t="e">
        <f>'Infrastructure Benchmarks-ref'!$O17/'Infrastructure Benchmarks-ref'!$M17</f>
        <v>#DIV/0!</v>
      </c>
      <c r="S17" s="30"/>
    </row>
    <row r="18" spans="1:19" x14ac:dyDescent="0.2">
      <c r="A18" s="25" t="s">
        <v>70</v>
      </c>
      <c r="B18" s="26" t="s">
        <v>2</v>
      </c>
      <c r="C18" s="26" t="s">
        <v>39</v>
      </c>
      <c r="D18" s="26" t="s">
        <v>106</v>
      </c>
      <c r="E18" s="26"/>
      <c r="F18" s="26" t="s">
        <v>120</v>
      </c>
      <c r="G18" s="26" t="s">
        <v>105</v>
      </c>
      <c r="H18" s="26"/>
      <c r="I18" s="27" t="s">
        <v>113</v>
      </c>
      <c r="J18" s="27" t="s">
        <v>18</v>
      </c>
      <c r="K18" s="28"/>
      <c r="L18" s="28"/>
      <c r="M18" s="28"/>
      <c r="N18" s="27" t="s">
        <v>50</v>
      </c>
      <c r="O18" s="31"/>
      <c r="P18" s="29" t="e">
        <f>'Infrastructure Benchmarks-ref'!$O18/'Infrastructure Benchmarks-ref'!$K18</f>
        <v>#DIV/0!</v>
      </c>
      <c r="Q18" s="29" t="e">
        <f>'Infrastructure Benchmarks-ref'!$O18/'Infrastructure Benchmarks-ref'!$L18</f>
        <v>#DIV/0!</v>
      </c>
      <c r="R18" s="29" t="e">
        <f>'Infrastructure Benchmarks-ref'!$O18/'Infrastructure Benchmarks-ref'!$M18</f>
        <v>#DIV/0!</v>
      </c>
      <c r="S18" s="30"/>
    </row>
    <row r="19" spans="1:19" x14ac:dyDescent="0.2">
      <c r="A19" s="25" t="s">
        <v>70</v>
      </c>
      <c r="B19" s="26" t="s">
        <v>2</v>
      </c>
      <c r="C19" s="26" t="s">
        <v>39</v>
      </c>
      <c r="D19" s="26" t="s">
        <v>106</v>
      </c>
      <c r="E19" s="26"/>
      <c r="F19" s="26" t="s">
        <v>120</v>
      </c>
      <c r="G19" s="26" t="s">
        <v>105</v>
      </c>
      <c r="H19" s="26"/>
      <c r="I19" s="27" t="s">
        <v>113</v>
      </c>
      <c r="J19" s="27" t="s">
        <v>18</v>
      </c>
      <c r="K19" s="28"/>
      <c r="L19" s="28"/>
      <c r="M19" s="28"/>
      <c r="N19" s="27" t="s">
        <v>51</v>
      </c>
      <c r="O19" s="28"/>
      <c r="P19" s="29" t="e">
        <f>'Infrastructure Benchmarks-ref'!$O19/'Infrastructure Benchmarks-ref'!$K19</f>
        <v>#DIV/0!</v>
      </c>
      <c r="Q19" s="29" t="e">
        <f>'Infrastructure Benchmarks-ref'!$O19/'Infrastructure Benchmarks-ref'!$L19</f>
        <v>#DIV/0!</v>
      </c>
      <c r="R19" s="29" t="e">
        <f>'Infrastructure Benchmarks-ref'!$O19/'Infrastructure Benchmarks-ref'!$M19</f>
        <v>#DIV/0!</v>
      </c>
      <c r="S19" s="30"/>
    </row>
    <row r="20" spans="1:19" x14ac:dyDescent="0.2">
      <c r="A20" s="25" t="s">
        <v>70</v>
      </c>
      <c r="B20" s="26" t="s">
        <v>2</v>
      </c>
      <c r="C20" s="26" t="s">
        <v>39</v>
      </c>
      <c r="D20" s="26" t="s">
        <v>106</v>
      </c>
      <c r="E20" s="26"/>
      <c r="F20" s="26" t="s">
        <v>120</v>
      </c>
      <c r="G20" s="26" t="s">
        <v>105</v>
      </c>
      <c r="H20" s="26"/>
      <c r="I20" s="27" t="s">
        <v>113</v>
      </c>
      <c r="J20" s="27" t="s">
        <v>18</v>
      </c>
      <c r="K20" s="28"/>
      <c r="L20" s="28"/>
      <c r="M20" s="28"/>
      <c r="N20" s="27" t="s">
        <v>52</v>
      </c>
      <c r="O20" s="28"/>
      <c r="P20" s="29" t="e">
        <f>'Infrastructure Benchmarks-ref'!$O20/'Infrastructure Benchmarks-ref'!$K20</f>
        <v>#DIV/0!</v>
      </c>
      <c r="Q20" s="29" t="e">
        <f>'Infrastructure Benchmarks-ref'!$O20/'Infrastructure Benchmarks-ref'!$L20</f>
        <v>#DIV/0!</v>
      </c>
      <c r="R20" s="29" t="e">
        <f>'Infrastructure Benchmarks-ref'!$O20/'Infrastructure Benchmarks-ref'!$M20</f>
        <v>#DIV/0!</v>
      </c>
      <c r="S20" s="30"/>
    </row>
    <row r="21" spans="1:19" x14ac:dyDescent="0.2">
      <c r="A21" s="25" t="s">
        <v>70</v>
      </c>
      <c r="B21" s="26" t="s">
        <v>2</v>
      </c>
      <c r="C21" s="26" t="s">
        <v>39</v>
      </c>
      <c r="D21" s="26" t="s">
        <v>106</v>
      </c>
      <c r="E21" s="26"/>
      <c r="F21" s="26" t="s">
        <v>120</v>
      </c>
      <c r="G21" s="26" t="s">
        <v>105</v>
      </c>
      <c r="H21" s="26"/>
      <c r="I21" s="27" t="s">
        <v>113</v>
      </c>
      <c r="J21" s="27" t="s">
        <v>18</v>
      </c>
      <c r="K21" s="28"/>
      <c r="L21" s="28"/>
      <c r="M21" s="28"/>
      <c r="N21" s="27" t="s">
        <v>53</v>
      </c>
      <c r="O21" s="28"/>
      <c r="P21" s="29" t="e">
        <f>'Infrastructure Benchmarks-ref'!$O21/'Infrastructure Benchmarks-ref'!$K21</f>
        <v>#DIV/0!</v>
      </c>
      <c r="Q21" s="29" t="e">
        <f>'Infrastructure Benchmarks-ref'!$O21/'Infrastructure Benchmarks-ref'!$L21</f>
        <v>#DIV/0!</v>
      </c>
      <c r="R21" s="29" t="e">
        <f>'Infrastructure Benchmarks-ref'!$O21/'Infrastructure Benchmarks-ref'!$M21</f>
        <v>#DIV/0!</v>
      </c>
      <c r="S21" s="30"/>
    </row>
    <row r="22" spans="1:19" x14ac:dyDescent="0.2">
      <c r="A22" s="25" t="s">
        <v>70</v>
      </c>
      <c r="B22" s="26" t="s">
        <v>2</v>
      </c>
      <c r="C22" s="26" t="s">
        <v>39</v>
      </c>
      <c r="D22" s="26" t="s">
        <v>106</v>
      </c>
      <c r="E22" s="26"/>
      <c r="F22" s="26" t="s">
        <v>120</v>
      </c>
      <c r="G22" s="26" t="s">
        <v>105</v>
      </c>
      <c r="H22" s="26"/>
      <c r="I22" s="27" t="s">
        <v>113</v>
      </c>
      <c r="J22" s="27" t="s">
        <v>18</v>
      </c>
      <c r="K22" s="28"/>
      <c r="L22" s="28"/>
      <c r="M22" s="28"/>
      <c r="N22" s="27" t="s">
        <v>55</v>
      </c>
      <c r="O22" s="28"/>
      <c r="P22" s="29" t="e">
        <f>'Infrastructure Benchmarks-ref'!$O22/'Infrastructure Benchmarks-ref'!$K22</f>
        <v>#DIV/0!</v>
      </c>
      <c r="Q22" s="29" t="e">
        <f>'Infrastructure Benchmarks-ref'!$O22/'Infrastructure Benchmarks-ref'!$L22</f>
        <v>#DIV/0!</v>
      </c>
      <c r="R22" s="29" t="e">
        <f>'Infrastructure Benchmarks-ref'!$O22/'Infrastructure Benchmarks-ref'!$M22</f>
        <v>#DIV/0!</v>
      </c>
      <c r="S22" s="30"/>
    </row>
    <row r="23" spans="1:19" x14ac:dyDescent="0.2">
      <c r="A23" s="25" t="s">
        <v>70</v>
      </c>
      <c r="B23" s="26" t="s">
        <v>2</v>
      </c>
      <c r="C23" s="26" t="s">
        <v>39</v>
      </c>
      <c r="D23" s="26" t="s">
        <v>106</v>
      </c>
      <c r="E23" s="26"/>
      <c r="F23" s="26" t="s">
        <v>120</v>
      </c>
      <c r="G23" s="26" t="s">
        <v>105</v>
      </c>
      <c r="H23" s="26"/>
      <c r="I23" s="27" t="s">
        <v>113</v>
      </c>
      <c r="J23" s="27" t="s">
        <v>18</v>
      </c>
      <c r="K23" s="28"/>
      <c r="L23" s="28"/>
      <c r="M23" s="28"/>
      <c r="N23" s="27" t="s">
        <v>54</v>
      </c>
      <c r="O23" s="31"/>
      <c r="P23" s="29" t="e">
        <f>'Infrastructure Benchmarks-ref'!$O23/'Infrastructure Benchmarks-ref'!$K23</f>
        <v>#DIV/0!</v>
      </c>
      <c r="Q23" s="29" t="e">
        <f>'Infrastructure Benchmarks-ref'!$O23/'Infrastructure Benchmarks-ref'!$L23</f>
        <v>#DIV/0!</v>
      </c>
      <c r="R23" s="29" t="e">
        <f>'Infrastructure Benchmarks-ref'!$O23/'Infrastructure Benchmarks-ref'!$M23</f>
        <v>#DIV/0!</v>
      </c>
      <c r="S23" s="30"/>
    </row>
    <row r="24" spans="1:19" x14ac:dyDescent="0.2">
      <c r="A24" s="25" t="s">
        <v>70</v>
      </c>
      <c r="B24" s="26" t="s">
        <v>2</v>
      </c>
      <c r="C24" s="26" t="s">
        <v>39</v>
      </c>
      <c r="D24" s="26" t="s">
        <v>106</v>
      </c>
      <c r="E24" s="26"/>
      <c r="F24" s="26" t="s">
        <v>120</v>
      </c>
      <c r="G24" s="26" t="s">
        <v>105</v>
      </c>
      <c r="H24" s="26"/>
      <c r="I24" s="27" t="s">
        <v>113</v>
      </c>
      <c r="J24" s="27" t="s">
        <v>18</v>
      </c>
      <c r="K24" s="28"/>
      <c r="L24" s="28"/>
      <c r="M24" s="28"/>
      <c r="N24" s="27" t="s">
        <v>56</v>
      </c>
      <c r="O24" s="28"/>
      <c r="P24" s="29" t="e">
        <f>'Infrastructure Benchmarks-ref'!$O24/'Infrastructure Benchmarks-ref'!$K24</f>
        <v>#DIV/0!</v>
      </c>
      <c r="Q24" s="29" t="e">
        <f>'Infrastructure Benchmarks-ref'!$O24/'Infrastructure Benchmarks-ref'!$L24</f>
        <v>#DIV/0!</v>
      </c>
      <c r="R24" s="29" t="e">
        <f>'Infrastructure Benchmarks-ref'!$O24/'Infrastructure Benchmarks-ref'!$M24</f>
        <v>#DIV/0!</v>
      </c>
      <c r="S24" s="30"/>
    </row>
    <row r="25" spans="1:19" x14ac:dyDescent="0.2">
      <c r="A25" s="25" t="s">
        <v>70</v>
      </c>
      <c r="B25" s="26" t="s">
        <v>2</v>
      </c>
      <c r="C25" s="26" t="s">
        <v>39</v>
      </c>
      <c r="D25" s="26" t="s">
        <v>106</v>
      </c>
      <c r="E25" s="26"/>
      <c r="F25" s="26" t="s">
        <v>120</v>
      </c>
      <c r="G25" s="26" t="s">
        <v>105</v>
      </c>
      <c r="H25" s="26"/>
      <c r="I25" s="27" t="s">
        <v>113</v>
      </c>
      <c r="J25" s="27" t="s">
        <v>18</v>
      </c>
      <c r="K25" s="28"/>
      <c r="L25" s="28"/>
      <c r="M25" s="28"/>
      <c r="N25" s="27" t="s">
        <v>73</v>
      </c>
      <c r="O25" s="28">
        <f>4432975+15979</f>
        <v>4448954</v>
      </c>
      <c r="P25" s="29" t="e">
        <f>'Infrastructure Benchmarks-ref'!$O25/'Infrastructure Benchmarks-ref'!$K25</f>
        <v>#DIV/0!</v>
      </c>
      <c r="Q25" s="29" t="e">
        <f>'Infrastructure Benchmarks-ref'!$O25/'Infrastructure Benchmarks-ref'!$L25</f>
        <v>#DIV/0!</v>
      </c>
      <c r="R25" s="29" t="e">
        <f>'Infrastructure Benchmarks-ref'!$O25/'Infrastructure Benchmarks-ref'!$M25</f>
        <v>#DIV/0!</v>
      </c>
      <c r="S25" s="30"/>
    </row>
    <row r="26" spans="1:19" x14ac:dyDescent="0.2">
      <c r="A26" s="25" t="s">
        <v>70</v>
      </c>
      <c r="B26" s="26" t="s">
        <v>2</v>
      </c>
      <c r="C26" s="26" t="s">
        <v>39</v>
      </c>
      <c r="D26" s="26" t="s">
        <v>106</v>
      </c>
      <c r="E26" s="26"/>
      <c r="F26" s="26" t="s">
        <v>120</v>
      </c>
      <c r="G26" s="26" t="s">
        <v>105</v>
      </c>
      <c r="H26" s="26"/>
      <c r="I26" s="27" t="s">
        <v>113</v>
      </c>
      <c r="J26" s="27" t="s">
        <v>18</v>
      </c>
      <c r="K26" s="28"/>
      <c r="L26" s="28"/>
      <c r="M26" s="28"/>
      <c r="N26" s="27" t="s">
        <v>57</v>
      </c>
      <c r="O26" s="63"/>
      <c r="P26" s="29" t="e">
        <f>'Infrastructure Benchmarks-ref'!$O26/'Infrastructure Benchmarks-ref'!$K26</f>
        <v>#DIV/0!</v>
      </c>
      <c r="Q26" s="29" t="e">
        <f>'Infrastructure Benchmarks-ref'!$O26/'Infrastructure Benchmarks-ref'!$L26</f>
        <v>#DIV/0!</v>
      </c>
      <c r="R26" s="29" t="e">
        <f>'Infrastructure Benchmarks-ref'!$O26/'Infrastructure Benchmarks-ref'!$M26</f>
        <v>#DIV/0!</v>
      </c>
      <c r="S26" s="30"/>
    </row>
    <row r="27" spans="1:19" x14ac:dyDescent="0.2">
      <c r="A27" s="25" t="s">
        <v>70</v>
      </c>
      <c r="B27" s="26" t="s">
        <v>2</v>
      </c>
      <c r="C27" s="26" t="s">
        <v>39</v>
      </c>
      <c r="D27" s="26" t="s">
        <v>106</v>
      </c>
      <c r="E27" s="26"/>
      <c r="F27" s="26" t="s">
        <v>120</v>
      </c>
      <c r="G27" s="26" t="s">
        <v>105</v>
      </c>
      <c r="H27" s="26"/>
      <c r="I27" s="27" t="s">
        <v>113</v>
      </c>
      <c r="J27" s="27" t="s">
        <v>18</v>
      </c>
      <c r="K27" s="28"/>
      <c r="L27" s="28"/>
      <c r="M27" s="28"/>
      <c r="N27" s="27" t="s">
        <v>58</v>
      </c>
      <c r="O27" s="31"/>
      <c r="P27" s="29" t="e">
        <f>'Infrastructure Benchmarks-ref'!$O27/'Infrastructure Benchmarks-ref'!$K27</f>
        <v>#DIV/0!</v>
      </c>
      <c r="Q27" s="29" t="e">
        <f>'Infrastructure Benchmarks-ref'!$O27/'Infrastructure Benchmarks-ref'!$L27</f>
        <v>#DIV/0!</v>
      </c>
      <c r="R27" s="29" t="e">
        <f>'Infrastructure Benchmarks-ref'!$O27/'Infrastructure Benchmarks-ref'!$M27</f>
        <v>#DIV/0!</v>
      </c>
      <c r="S27" s="30"/>
    </row>
    <row r="28" spans="1:19" x14ac:dyDescent="0.2">
      <c r="A28" s="25" t="s">
        <v>70</v>
      </c>
      <c r="B28" s="26" t="s">
        <v>2</v>
      </c>
      <c r="C28" s="26" t="s">
        <v>39</v>
      </c>
      <c r="D28" s="26" t="s">
        <v>106</v>
      </c>
      <c r="E28" s="26"/>
      <c r="F28" s="26" t="s">
        <v>120</v>
      </c>
      <c r="G28" s="26" t="s">
        <v>105</v>
      </c>
      <c r="H28" s="26"/>
      <c r="I28" s="27" t="s">
        <v>113</v>
      </c>
      <c r="J28" s="27" t="s">
        <v>18</v>
      </c>
      <c r="K28" s="28"/>
      <c r="L28" s="28"/>
      <c r="M28" s="28"/>
      <c r="N28" s="27" t="s">
        <v>59</v>
      </c>
      <c r="O28" s="31"/>
      <c r="P28" s="29" t="e">
        <f>'Infrastructure Benchmarks-ref'!$O28/'Infrastructure Benchmarks-ref'!$K28</f>
        <v>#DIV/0!</v>
      </c>
      <c r="Q28" s="29" t="e">
        <f>'Infrastructure Benchmarks-ref'!$O28/'Infrastructure Benchmarks-ref'!$L28</f>
        <v>#DIV/0!</v>
      </c>
      <c r="R28" s="29" t="e">
        <f>'Infrastructure Benchmarks-ref'!$O28/'Infrastructure Benchmarks-ref'!$M28</f>
        <v>#DIV/0!</v>
      </c>
      <c r="S28" s="30"/>
    </row>
    <row r="29" spans="1:19" x14ac:dyDescent="0.2">
      <c r="A29" s="25" t="s">
        <v>70</v>
      </c>
      <c r="B29" s="26" t="s">
        <v>2</v>
      </c>
      <c r="C29" s="26" t="s">
        <v>39</v>
      </c>
      <c r="D29" s="26" t="s">
        <v>106</v>
      </c>
      <c r="E29" s="26"/>
      <c r="F29" s="26" t="s">
        <v>120</v>
      </c>
      <c r="G29" s="26" t="s">
        <v>105</v>
      </c>
      <c r="H29" s="26"/>
      <c r="I29" s="27" t="s">
        <v>113</v>
      </c>
      <c r="J29" s="27" t="s">
        <v>18</v>
      </c>
      <c r="K29" s="28"/>
      <c r="L29" s="28"/>
      <c r="M29" s="28"/>
      <c r="N29" s="27" t="s">
        <v>60</v>
      </c>
      <c r="O29" s="28"/>
      <c r="P29" s="29" t="e">
        <f>'Infrastructure Benchmarks-ref'!$O29/'Infrastructure Benchmarks-ref'!$K29</f>
        <v>#DIV/0!</v>
      </c>
      <c r="Q29" s="29" t="e">
        <f>'Infrastructure Benchmarks-ref'!$O29/'Infrastructure Benchmarks-ref'!$L29</f>
        <v>#DIV/0!</v>
      </c>
      <c r="R29" s="29" t="e">
        <f>'Infrastructure Benchmarks-ref'!$O29/'Infrastructure Benchmarks-ref'!$M29</f>
        <v>#DIV/0!</v>
      </c>
      <c r="S29" s="30"/>
    </row>
    <row r="30" spans="1:19" ht="16" thickBot="1" x14ac:dyDescent="0.25">
      <c r="A30" s="25" t="s">
        <v>70</v>
      </c>
      <c r="B30" s="26" t="s">
        <v>2</v>
      </c>
      <c r="C30" s="26" t="s">
        <v>39</v>
      </c>
      <c r="D30" s="26" t="s">
        <v>106</v>
      </c>
      <c r="E30" s="26"/>
      <c r="F30" s="26" t="s">
        <v>120</v>
      </c>
      <c r="G30" s="26" t="s">
        <v>105</v>
      </c>
      <c r="H30" s="26"/>
      <c r="I30" s="27" t="s">
        <v>113</v>
      </c>
      <c r="J30" s="27" t="s">
        <v>18</v>
      </c>
      <c r="K30" s="28"/>
      <c r="L30" s="28"/>
      <c r="M30" s="28"/>
      <c r="N30" s="27" t="s">
        <v>61</v>
      </c>
      <c r="O30" s="28"/>
      <c r="P30" s="29" t="e">
        <f>'Infrastructure Benchmarks-ref'!$O30/'Infrastructure Benchmarks-ref'!$K30</f>
        <v>#DIV/0!</v>
      </c>
      <c r="Q30" s="29" t="e">
        <f>'Infrastructure Benchmarks-ref'!$O30/'Infrastructure Benchmarks-ref'!$L30</f>
        <v>#DIV/0!</v>
      </c>
      <c r="R30" s="29" t="e">
        <f>'Infrastructure Benchmarks-ref'!$O30/'Infrastructure Benchmarks-ref'!$M30</f>
        <v>#DIV/0!</v>
      </c>
      <c r="S30" s="30"/>
    </row>
    <row r="31" spans="1:19" ht="17" thickTop="1" thickBot="1" x14ac:dyDescent="0.25">
      <c r="A31" s="54"/>
      <c r="B31" s="55"/>
      <c r="C31" s="55"/>
      <c r="D31" s="55"/>
      <c r="E31" s="55"/>
      <c r="F31" s="55"/>
      <c r="G31" s="55"/>
      <c r="H31" s="55"/>
      <c r="I31" s="56"/>
      <c r="J31" s="56"/>
      <c r="K31" s="57"/>
      <c r="L31" s="57"/>
      <c r="M31" s="57"/>
      <c r="N31" s="56"/>
      <c r="O31" s="57"/>
      <c r="P31" s="58"/>
      <c r="Q31" s="58"/>
      <c r="R31" s="58"/>
      <c r="S31" s="59"/>
    </row>
    <row r="32" spans="1:19" ht="16" thickTop="1" x14ac:dyDescent="0.2">
      <c r="A32" s="25" t="s">
        <v>70</v>
      </c>
      <c r="B32" s="26" t="s">
        <v>2</v>
      </c>
      <c r="C32" s="26" t="s">
        <v>39</v>
      </c>
      <c r="D32" s="26" t="s">
        <v>106</v>
      </c>
      <c r="E32" s="26"/>
      <c r="F32" s="26" t="s">
        <v>119</v>
      </c>
      <c r="G32" s="26" t="s">
        <v>105</v>
      </c>
      <c r="H32" s="26"/>
      <c r="I32" s="27" t="s">
        <v>113</v>
      </c>
      <c r="J32" s="27" t="s">
        <v>18</v>
      </c>
      <c r="K32" s="28"/>
      <c r="L32" s="28"/>
      <c r="M32" s="28"/>
      <c r="N32" s="27" t="s">
        <v>23</v>
      </c>
      <c r="O32" s="28">
        <f>3504195+3085106</f>
        <v>6589301</v>
      </c>
      <c r="P32" s="29" t="e">
        <f>'Infrastructure Benchmarks-ref'!$O32/'Infrastructure Benchmarks-ref'!$K32</f>
        <v>#DIV/0!</v>
      </c>
      <c r="Q32" s="29" t="e">
        <f>'Infrastructure Benchmarks-ref'!$O32/'Infrastructure Benchmarks-ref'!$L32</f>
        <v>#DIV/0!</v>
      </c>
      <c r="R32" s="29" t="e">
        <f>'Infrastructure Benchmarks-ref'!$O32/'Infrastructure Benchmarks-ref'!$M32</f>
        <v>#DIV/0!</v>
      </c>
      <c r="S32" s="30"/>
    </row>
    <row r="33" spans="1:19" x14ac:dyDescent="0.2">
      <c r="A33" s="25" t="s">
        <v>70</v>
      </c>
      <c r="B33" s="26" t="s">
        <v>2</v>
      </c>
      <c r="C33" s="26" t="s">
        <v>39</v>
      </c>
      <c r="D33" s="26" t="s">
        <v>106</v>
      </c>
      <c r="E33" s="26"/>
      <c r="F33" s="26" t="s">
        <v>119</v>
      </c>
      <c r="G33" s="26" t="s">
        <v>105</v>
      </c>
      <c r="H33" s="26"/>
      <c r="I33" s="27" t="s">
        <v>113</v>
      </c>
      <c r="J33" s="27" t="s">
        <v>18</v>
      </c>
      <c r="K33" s="28"/>
      <c r="L33" s="28"/>
      <c r="M33" s="28"/>
      <c r="N33" s="27" t="s">
        <v>25</v>
      </c>
      <c r="O33" s="28">
        <v>2232935</v>
      </c>
      <c r="P33" s="29" t="e">
        <f>'Infrastructure Benchmarks-ref'!$O33/'Infrastructure Benchmarks-ref'!$K33</f>
        <v>#DIV/0!</v>
      </c>
      <c r="Q33" s="29" t="e">
        <f>'Infrastructure Benchmarks-ref'!$O33/'Infrastructure Benchmarks-ref'!$L33</f>
        <v>#DIV/0!</v>
      </c>
      <c r="R33" s="29" t="e">
        <f>'Infrastructure Benchmarks-ref'!$O33/'Infrastructure Benchmarks-ref'!$M33</f>
        <v>#DIV/0!</v>
      </c>
      <c r="S33" s="30"/>
    </row>
    <row r="34" spans="1:19" x14ac:dyDescent="0.2">
      <c r="A34" s="25" t="s">
        <v>70</v>
      </c>
      <c r="B34" s="26" t="s">
        <v>2</v>
      </c>
      <c r="C34" s="26" t="s">
        <v>39</v>
      </c>
      <c r="D34" s="26" t="s">
        <v>106</v>
      </c>
      <c r="E34" s="26"/>
      <c r="F34" s="26" t="s">
        <v>119</v>
      </c>
      <c r="G34" s="26" t="s">
        <v>105</v>
      </c>
      <c r="H34" s="26"/>
      <c r="I34" s="27" t="s">
        <v>113</v>
      </c>
      <c r="J34" s="27" t="s">
        <v>18</v>
      </c>
      <c r="K34" s="28"/>
      <c r="L34" s="28"/>
      <c r="M34" s="28"/>
      <c r="N34" s="27" t="s">
        <v>46</v>
      </c>
      <c r="O34" s="28"/>
      <c r="P34" s="29" t="e">
        <f>'Infrastructure Benchmarks-ref'!$O34/'Infrastructure Benchmarks-ref'!$K34</f>
        <v>#DIV/0!</v>
      </c>
      <c r="Q34" s="29" t="e">
        <f>'Infrastructure Benchmarks-ref'!$O34/'Infrastructure Benchmarks-ref'!$L34</f>
        <v>#DIV/0!</v>
      </c>
      <c r="R34" s="29" t="e">
        <f>'Infrastructure Benchmarks-ref'!$O34/'Infrastructure Benchmarks-ref'!$M34</f>
        <v>#DIV/0!</v>
      </c>
      <c r="S34" s="30"/>
    </row>
    <row r="35" spans="1:19" x14ac:dyDescent="0.2">
      <c r="A35" s="25" t="s">
        <v>70</v>
      </c>
      <c r="B35" s="26" t="s">
        <v>2</v>
      </c>
      <c r="C35" s="26" t="s">
        <v>39</v>
      </c>
      <c r="D35" s="26" t="s">
        <v>106</v>
      </c>
      <c r="E35" s="26"/>
      <c r="F35" s="26" t="s">
        <v>119</v>
      </c>
      <c r="G35" s="26" t="s">
        <v>105</v>
      </c>
      <c r="H35" s="26"/>
      <c r="I35" s="27" t="s">
        <v>113</v>
      </c>
      <c r="J35" s="27" t="s">
        <v>18</v>
      </c>
      <c r="K35" s="28"/>
      <c r="L35" s="28"/>
      <c r="M35" s="28"/>
      <c r="N35" s="27" t="s">
        <v>34</v>
      </c>
      <c r="O35" s="28">
        <f>233148+3750000</f>
        <v>3983148</v>
      </c>
      <c r="P35" s="29" t="e">
        <f>'Infrastructure Benchmarks-ref'!$O35/'Infrastructure Benchmarks-ref'!$K35</f>
        <v>#DIV/0!</v>
      </c>
      <c r="Q35" s="29" t="e">
        <f>'Infrastructure Benchmarks-ref'!$O35/'Infrastructure Benchmarks-ref'!$L35</f>
        <v>#DIV/0!</v>
      </c>
      <c r="R35" s="29" t="e">
        <f>'Infrastructure Benchmarks-ref'!$O35/'Infrastructure Benchmarks-ref'!$M35</f>
        <v>#DIV/0!</v>
      </c>
      <c r="S35" s="30"/>
    </row>
    <row r="36" spans="1:19" x14ac:dyDescent="0.2">
      <c r="A36" s="25" t="s">
        <v>70</v>
      </c>
      <c r="B36" s="26" t="s">
        <v>2</v>
      </c>
      <c r="C36" s="26" t="s">
        <v>39</v>
      </c>
      <c r="D36" s="26" t="s">
        <v>106</v>
      </c>
      <c r="E36" s="26"/>
      <c r="F36" s="26" t="s">
        <v>119</v>
      </c>
      <c r="G36" s="26" t="s">
        <v>105</v>
      </c>
      <c r="H36" s="26"/>
      <c r="I36" s="27" t="s">
        <v>113</v>
      </c>
      <c r="J36" s="27" t="s">
        <v>18</v>
      </c>
      <c r="K36" s="28"/>
      <c r="L36" s="28"/>
      <c r="M36" s="28"/>
      <c r="N36" s="27" t="s">
        <v>26</v>
      </c>
      <c r="O36" s="28">
        <v>3804956</v>
      </c>
      <c r="P36" s="29" t="e">
        <f>'Infrastructure Benchmarks-ref'!$O36/'Infrastructure Benchmarks-ref'!$K36</f>
        <v>#DIV/0!</v>
      </c>
      <c r="Q36" s="29" t="e">
        <f>'Infrastructure Benchmarks-ref'!$O36/'Infrastructure Benchmarks-ref'!$L36</f>
        <v>#DIV/0!</v>
      </c>
      <c r="R36" s="29" t="e">
        <f>'Infrastructure Benchmarks-ref'!$O36/'Infrastructure Benchmarks-ref'!$M36</f>
        <v>#DIV/0!</v>
      </c>
      <c r="S36" s="30"/>
    </row>
    <row r="37" spans="1:19" x14ac:dyDescent="0.2">
      <c r="A37" s="25" t="s">
        <v>70</v>
      </c>
      <c r="B37" s="26" t="s">
        <v>2</v>
      </c>
      <c r="C37" s="26" t="s">
        <v>39</v>
      </c>
      <c r="D37" s="26" t="s">
        <v>106</v>
      </c>
      <c r="E37" s="26"/>
      <c r="F37" s="26" t="s">
        <v>119</v>
      </c>
      <c r="G37" s="26" t="s">
        <v>105</v>
      </c>
      <c r="H37" s="26"/>
      <c r="I37" s="27" t="s">
        <v>113</v>
      </c>
      <c r="J37" s="27" t="s">
        <v>18</v>
      </c>
      <c r="K37" s="28"/>
      <c r="L37" s="28"/>
      <c r="M37" s="28"/>
      <c r="N37" s="27" t="s">
        <v>28</v>
      </c>
      <c r="O37" s="28">
        <v>1299229</v>
      </c>
      <c r="P37" s="29" t="e">
        <f>'Infrastructure Benchmarks-ref'!$O37/'Infrastructure Benchmarks-ref'!$K37</f>
        <v>#DIV/0!</v>
      </c>
      <c r="Q37" s="29" t="e">
        <f>'Infrastructure Benchmarks-ref'!$O37/'Infrastructure Benchmarks-ref'!$L37</f>
        <v>#DIV/0!</v>
      </c>
      <c r="R37" s="29" t="e">
        <f>'Infrastructure Benchmarks-ref'!$O37/'Infrastructure Benchmarks-ref'!$M37</f>
        <v>#DIV/0!</v>
      </c>
      <c r="S37" s="30"/>
    </row>
    <row r="38" spans="1:19" x14ac:dyDescent="0.2">
      <c r="A38" s="25" t="s">
        <v>70</v>
      </c>
      <c r="B38" s="26" t="s">
        <v>2</v>
      </c>
      <c r="C38" s="26" t="s">
        <v>39</v>
      </c>
      <c r="D38" s="26" t="s">
        <v>106</v>
      </c>
      <c r="E38" s="26"/>
      <c r="F38" s="26" t="s">
        <v>119</v>
      </c>
      <c r="G38" s="26" t="s">
        <v>105</v>
      </c>
      <c r="H38" s="26"/>
      <c r="I38" s="27" t="s">
        <v>113</v>
      </c>
      <c r="J38" s="27" t="s">
        <v>18</v>
      </c>
      <c r="K38" s="28"/>
      <c r="L38" s="28"/>
      <c r="M38" s="28"/>
      <c r="N38" s="27" t="s">
        <v>47</v>
      </c>
      <c r="O38" s="28">
        <v>1165033</v>
      </c>
      <c r="P38" s="29" t="e">
        <f>'Infrastructure Benchmarks-ref'!$O38/'Infrastructure Benchmarks-ref'!$K38</f>
        <v>#DIV/0!</v>
      </c>
      <c r="Q38" s="29" t="e">
        <f>'Infrastructure Benchmarks-ref'!$O38/'Infrastructure Benchmarks-ref'!$L38</f>
        <v>#DIV/0!</v>
      </c>
      <c r="R38" s="29" t="e">
        <f>'Infrastructure Benchmarks-ref'!$O38/'Infrastructure Benchmarks-ref'!$M38</f>
        <v>#DIV/0!</v>
      </c>
      <c r="S38" s="30"/>
    </row>
    <row r="39" spans="1:19" x14ac:dyDescent="0.2">
      <c r="A39" s="25" t="s">
        <v>70</v>
      </c>
      <c r="B39" s="26" t="s">
        <v>2</v>
      </c>
      <c r="C39" s="26" t="s">
        <v>39</v>
      </c>
      <c r="D39" s="26" t="s">
        <v>106</v>
      </c>
      <c r="E39" s="26"/>
      <c r="F39" s="26" t="s">
        <v>119</v>
      </c>
      <c r="G39" s="26" t="s">
        <v>105</v>
      </c>
      <c r="H39" s="26"/>
      <c r="I39" s="27" t="s">
        <v>113</v>
      </c>
      <c r="J39" s="27" t="s">
        <v>18</v>
      </c>
      <c r="K39" s="28"/>
      <c r="L39" s="28"/>
      <c r="M39" s="28"/>
      <c r="N39" s="27" t="s">
        <v>27</v>
      </c>
      <c r="O39" s="28">
        <v>3121561</v>
      </c>
      <c r="P39" s="29" t="e">
        <f>'Infrastructure Benchmarks-ref'!$O39/'Infrastructure Benchmarks-ref'!$K39</f>
        <v>#DIV/0!</v>
      </c>
      <c r="Q39" s="29" t="e">
        <f>'Infrastructure Benchmarks-ref'!$O39/'Infrastructure Benchmarks-ref'!$L39</f>
        <v>#DIV/0!</v>
      </c>
      <c r="R39" s="29" t="e">
        <f>'Infrastructure Benchmarks-ref'!$O39/'Infrastructure Benchmarks-ref'!$M39</f>
        <v>#DIV/0!</v>
      </c>
      <c r="S39" s="30"/>
    </row>
    <row r="40" spans="1:19" x14ac:dyDescent="0.2">
      <c r="A40" s="25" t="s">
        <v>70</v>
      </c>
      <c r="B40" s="26" t="s">
        <v>2</v>
      </c>
      <c r="C40" s="26" t="s">
        <v>39</v>
      </c>
      <c r="D40" s="26" t="s">
        <v>106</v>
      </c>
      <c r="E40" s="26"/>
      <c r="F40" s="26" t="s">
        <v>119</v>
      </c>
      <c r="G40" s="26" t="s">
        <v>105</v>
      </c>
      <c r="H40" s="26"/>
      <c r="I40" s="27" t="s">
        <v>113</v>
      </c>
      <c r="J40" s="27" t="s">
        <v>18</v>
      </c>
      <c r="K40" s="28"/>
      <c r="L40" s="28"/>
      <c r="M40" s="28"/>
      <c r="N40" s="27" t="s">
        <v>48</v>
      </c>
      <c r="O40" s="28"/>
      <c r="P40" s="29" t="e">
        <f>'Infrastructure Benchmarks-ref'!$O40/'Infrastructure Benchmarks-ref'!$K40</f>
        <v>#DIV/0!</v>
      </c>
      <c r="Q40" s="29" t="e">
        <f>'Infrastructure Benchmarks-ref'!$O40/'Infrastructure Benchmarks-ref'!$L40</f>
        <v>#DIV/0!</v>
      </c>
      <c r="R40" s="29" t="e">
        <f>'Infrastructure Benchmarks-ref'!$O40/'Infrastructure Benchmarks-ref'!$M40</f>
        <v>#DIV/0!</v>
      </c>
      <c r="S40" s="30"/>
    </row>
    <row r="41" spans="1:19" x14ac:dyDescent="0.2">
      <c r="A41" s="25" t="s">
        <v>70</v>
      </c>
      <c r="B41" s="26" t="s">
        <v>2</v>
      </c>
      <c r="C41" s="26" t="s">
        <v>39</v>
      </c>
      <c r="D41" s="26" t="s">
        <v>106</v>
      </c>
      <c r="E41" s="26"/>
      <c r="F41" s="26" t="s">
        <v>119</v>
      </c>
      <c r="G41" s="26" t="s">
        <v>105</v>
      </c>
      <c r="H41" s="26"/>
      <c r="I41" s="27" t="s">
        <v>113</v>
      </c>
      <c r="J41" s="27" t="s">
        <v>18</v>
      </c>
      <c r="K41" s="28"/>
      <c r="L41" s="28"/>
      <c r="M41" s="28"/>
      <c r="N41" s="27" t="s">
        <v>49</v>
      </c>
      <c r="O41" s="31"/>
      <c r="P41" s="29" t="e">
        <f>'Infrastructure Benchmarks-ref'!$O41/'Infrastructure Benchmarks-ref'!$K41</f>
        <v>#DIV/0!</v>
      </c>
      <c r="Q41" s="29" t="e">
        <f>'Infrastructure Benchmarks-ref'!$O41/'Infrastructure Benchmarks-ref'!$L41</f>
        <v>#DIV/0!</v>
      </c>
      <c r="R41" s="29" t="e">
        <f>'Infrastructure Benchmarks-ref'!$O41/'Infrastructure Benchmarks-ref'!$M41</f>
        <v>#DIV/0!</v>
      </c>
      <c r="S41" s="30"/>
    </row>
    <row r="42" spans="1:19" x14ac:dyDescent="0.2">
      <c r="A42" s="25" t="s">
        <v>70</v>
      </c>
      <c r="B42" s="26" t="s">
        <v>2</v>
      </c>
      <c r="C42" s="26" t="s">
        <v>39</v>
      </c>
      <c r="D42" s="26" t="s">
        <v>106</v>
      </c>
      <c r="E42" s="26"/>
      <c r="F42" s="26" t="s">
        <v>119</v>
      </c>
      <c r="G42" s="26" t="s">
        <v>105</v>
      </c>
      <c r="H42" s="26"/>
      <c r="I42" s="27" t="s">
        <v>113</v>
      </c>
      <c r="J42" s="27" t="s">
        <v>18</v>
      </c>
      <c r="K42" s="28"/>
      <c r="L42" s="28"/>
      <c r="M42" s="28"/>
      <c r="N42" s="27" t="s">
        <v>50</v>
      </c>
      <c r="O42" s="31"/>
      <c r="P42" s="29" t="e">
        <f>'Infrastructure Benchmarks-ref'!$O42/'Infrastructure Benchmarks-ref'!$K42</f>
        <v>#DIV/0!</v>
      </c>
      <c r="Q42" s="29" t="e">
        <f>'Infrastructure Benchmarks-ref'!$O42/'Infrastructure Benchmarks-ref'!$L42</f>
        <v>#DIV/0!</v>
      </c>
      <c r="R42" s="29" t="e">
        <f>'Infrastructure Benchmarks-ref'!$O42/'Infrastructure Benchmarks-ref'!$M42</f>
        <v>#DIV/0!</v>
      </c>
      <c r="S42" s="30"/>
    </row>
    <row r="43" spans="1:19" x14ac:dyDescent="0.2">
      <c r="A43" s="25" t="s">
        <v>70</v>
      </c>
      <c r="B43" s="26" t="s">
        <v>2</v>
      </c>
      <c r="C43" s="26" t="s">
        <v>39</v>
      </c>
      <c r="D43" s="26" t="s">
        <v>106</v>
      </c>
      <c r="E43" s="26"/>
      <c r="F43" s="26" t="s">
        <v>119</v>
      </c>
      <c r="G43" s="26" t="s">
        <v>105</v>
      </c>
      <c r="H43" s="26"/>
      <c r="I43" s="27" t="s">
        <v>113</v>
      </c>
      <c r="J43" s="27" t="s">
        <v>18</v>
      </c>
      <c r="K43" s="28"/>
      <c r="L43" s="28"/>
      <c r="M43" s="28"/>
      <c r="N43" s="27" t="s">
        <v>51</v>
      </c>
      <c r="O43" s="28"/>
      <c r="P43" s="29" t="e">
        <f>'Infrastructure Benchmarks-ref'!$O43/'Infrastructure Benchmarks-ref'!$K43</f>
        <v>#DIV/0!</v>
      </c>
      <c r="Q43" s="29" t="e">
        <f>'Infrastructure Benchmarks-ref'!$O43/'Infrastructure Benchmarks-ref'!$L43</f>
        <v>#DIV/0!</v>
      </c>
      <c r="R43" s="29" t="e">
        <f>'Infrastructure Benchmarks-ref'!$O43/'Infrastructure Benchmarks-ref'!$M43</f>
        <v>#DIV/0!</v>
      </c>
      <c r="S43" s="30"/>
    </row>
    <row r="44" spans="1:19" x14ac:dyDescent="0.2">
      <c r="A44" s="25" t="s">
        <v>70</v>
      </c>
      <c r="B44" s="26" t="s">
        <v>2</v>
      </c>
      <c r="C44" s="26" t="s">
        <v>39</v>
      </c>
      <c r="D44" s="26" t="s">
        <v>106</v>
      </c>
      <c r="E44" s="26"/>
      <c r="F44" s="26" t="s">
        <v>119</v>
      </c>
      <c r="G44" s="26" t="s">
        <v>105</v>
      </c>
      <c r="H44" s="26"/>
      <c r="I44" s="27" t="s">
        <v>113</v>
      </c>
      <c r="J44" s="27" t="s">
        <v>18</v>
      </c>
      <c r="K44" s="28"/>
      <c r="L44" s="28"/>
      <c r="M44" s="28"/>
      <c r="N44" s="27" t="s">
        <v>52</v>
      </c>
      <c r="O44" s="28"/>
      <c r="P44" s="29" t="e">
        <f>'Infrastructure Benchmarks-ref'!$O44/'Infrastructure Benchmarks-ref'!$K44</f>
        <v>#DIV/0!</v>
      </c>
      <c r="Q44" s="29" t="e">
        <f>'Infrastructure Benchmarks-ref'!$O44/'Infrastructure Benchmarks-ref'!$L44</f>
        <v>#DIV/0!</v>
      </c>
      <c r="R44" s="29" t="e">
        <f>'Infrastructure Benchmarks-ref'!$O44/'Infrastructure Benchmarks-ref'!$M44</f>
        <v>#DIV/0!</v>
      </c>
      <c r="S44" s="30"/>
    </row>
    <row r="45" spans="1:19" x14ac:dyDescent="0.2">
      <c r="A45" s="25" t="s">
        <v>70</v>
      </c>
      <c r="B45" s="26" t="s">
        <v>2</v>
      </c>
      <c r="C45" s="26" t="s">
        <v>39</v>
      </c>
      <c r="D45" s="26" t="s">
        <v>106</v>
      </c>
      <c r="E45" s="26"/>
      <c r="F45" s="26" t="s">
        <v>119</v>
      </c>
      <c r="G45" s="26" t="s">
        <v>105</v>
      </c>
      <c r="H45" s="26"/>
      <c r="I45" s="27" t="s">
        <v>113</v>
      </c>
      <c r="J45" s="27" t="s">
        <v>18</v>
      </c>
      <c r="K45" s="28"/>
      <c r="L45" s="28"/>
      <c r="M45" s="28"/>
      <c r="N45" s="27" t="s">
        <v>53</v>
      </c>
      <c r="O45" s="28"/>
      <c r="P45" s="29" t="e">
        <f>'Infrastructure Benchmarks-ref'!$O45/'Infrastructure Benchmarks-ref'!$K45</f>
        <v>#DIV/0!</v>
      </c>
      <c r="Q45" s="29" t="e">
        <f>'Infrastructure Benchmarks-ref'!$O45/'Infrastructure Benchmarks-ref'!$L45</f>
        <v>#DIV/0!</v>
      </c>
      <c r="R45" s="29" t="e">
        <f>'Infrastructure Benchmarks-ref'!$O45/'Infrastructure Benchmarks-ref'!$M45</f>
        <v>#DIV/0!</v>
      </c>
      <c r="S45" s="30"/>
    </row>
    <row r="46" spans="1:19" x14ac:dyDescent="0.2">
      <c r="A46" s="25" t="s">
        <v>70</v>
      </c>
      <c r="B46" s="26" t="s">
        <v>2</v>
      </c>
      <c r="C46" s="26" t="s">
        <v>39</v>
      </c>
      <c r="D46" s="26" t="s">
        <v>106</v>
      </c>
      <c r="E46" s="26"/>
      <c r="F46" s="26" t="s">
        <v>119</v>
      </c>
      <c r="G46" s="26" t="s">
        <v>105</v>
      </c>
      <c r="H46" s="26"/>
      <c r="I46" s="27" t="s">
        <v>113</v>
      </c>
      <c r="J46" s="27" t="s">
        <v>18</v>
      </c>
      <c r="K46" s="28"/>
      <c r="L46" s="28"/>
      <c r="M46" s="28"/>
      <c r="N46" s="27" t="s">
        <v>55</v>
      </c>
      <c r="O46" s="28"/>
      <c r="P46" s="29" t="e">
        <f>'Infrastructure Benchmarks-ref'!$O46/'Infrastructure Benchmarks-ref'!$K46</f>
        <v>#DIV/0!</v>
      </c>
      <c r="Q46" s="29" t="e">
        <f>'Infrastructure Benchmarks-ref'!$O46/'Infrastructure Benchmarks-ref'!$L46</f>
        <v>#DIV/0!</v>
      </c>
      <c r="R46" s="29" t="e">
        <f>'Infrastructure Benchmarks-ref'!$O46/'Infrastructure Benchmarks-ref'!$M46</f>
        <v>#DIV/0!</v>
      </c>
      <c r="S46" s="30"/>
    </row>
    <row r="47" spans="1:19" x14ac:dyDescent="0.2">
      <c r="A47" s="25" t="s">
        <v>70</v>
      </c>
      <c r="B47" s="26" t="s">
        <v>2</v>
      </c>
      <c r="C47" s="26" t="s">
        <v>39</v>
      </c>
      <c r="D47" s="26" t="s">
        <v>106</v>
      </c>
      <c r="E47" s="26"/>
      <c r="F47" s="26" t="s">
        <v>119</v>
      </c>
      <c r="G47" s="26" t="s">
        <v>105</v>
      </c>
      <c r="H47" s="26"/>
      <c r="I47" s="27" t="s">
        <v>113</v>
      </c>
      <c r="J47" s="27" t="s">
        <v>18</v>
      </c>
      <c r="K47" s="28"/>
      <c r="L47" s="28"/>
      <c r="M47" s="28"/>
      <c r="N47" s="27" t="s">
        <v>54</v>
      </c>
      <c r="O47" s="31"/>
      <c r="P47" s="29" t="e">
        <f>'Infrastructure Benchmarks-ref'!$O47/'Infrastructure Benchmarks-ref'!$K47</f>
        <v>#DIV/0!</v>
      </c>
      <c r="Q47" s="29" t="e">
        <f>'Infrastructure Benchmarks-ref'!$O47/'Infrastructure Benchmarks-ref'!$L47</f>
        <v>#DIV/0!</v>
      </c>
      <c r="R47" s="29" t="e">
        <f>'Infrastructure Benchmarks-ref'!$O47/'Infrastructure Benchmarks-ref'!$M47</f>
        <v>#DIV/0!</v>
      </c>
      <c r="S47" s="30"/>
    </row>
    <row r="48" spans="1:19" x14ac:dyDescent="0.2">
      <c r="A48" s="25" t="s">
        <v>70</v>
      </c>
      <c r="B48" s="26" t="s">
        <v>2</v>
      </c>
      <c r="C48" s="26" t="s">
        <v>39</v>
      </c>
      <c r="D48" s="26" t="s">
        <v>106</v>
      </c>
      <c r="E48" s="26"/>
      <c r="F48" s="26" t="s">
        <v>119</v>
      </c>
      <c r="G48" s="26" t="s">
        <v>105</v>
      </c>
      <c r="H48" s="26"/>
      <c r="I48" s="27" t="s">
        <v>113</v>
      </c>
      <c r="J48" s="27" t="s">
        <v>18</v>
      </c>
      <c r="K48" s="28"/>
      <c r="L48" s="28"/>
      <c r="M48" s="28"/>
      <c r="N48" s="27" t="s">
        <v>56</v>
      </c>
      <c r="O48" s="28"/>
      <c r="P48" s="29" t="e">
        <f>'Infrastructure Benchmarks-ref'!$O48/'Infrastructure Benchmarks-ref'!$K48</f>
        <v>#DIV/0!</v>
      </c>
      <c r="Q48" s="29" t="e">
        <f>'Infrastructure Benchmarks-ref'!$O48/'Infrastructure Benchmarks-ref'!$L48</f>
        <v>#DIV/0!</v>
      </c>
      <c r="R48" s="29" t="e">
        <f>'Infrastructure Benchmarks-ref'!$O48/'Infrastructure Benchmarks-ref'!$M48</f>
        <v>#DIV/0!</v>
      </c>
      <c r="S48" s="30"/>
    </row>
    <row r="49" spans="1:19" x14ac:dyDescent="0.2">
      <c r="A49" s="25" t="s">
        <v>70</v>
      </c>
      <c r="B49" s="26" t="s">
        <v>2</v>
      </c>
      <c r="C49" s="26" t="s">
        <v>39</v>
      </c>
      <c r="D49" s="26" t="s">
        <v>106</v>
      </c>
      <c r="E49" s="26"/>
      <c r="F49" s="26" t="s">
        <v>119</v>
      </c>
      <c r="G49" s="26" t="s">
        <v>105</v>
      </c>
      <c r="H49" s="26"/>
      <c r="I49" s="27" t="s">
        <v>113</v>
      </c>
      <c r="J49" s="27" t="s">
        <v>18</v>
      </c>
      <c r="K49" s="28"/>
      <c r="L49" s="28"/>
      <c r="M49" s="28"/>
      <c r="N49" s="27" t="s">
        <v>73</v>
      </c>
      <c r="O49" s="28">
        <f>7833827+23576</f>
        <v>7857403</v>
      </c>
      <c r="P49" s="29" t="e">
        <f>'Infrastructure Benchmarks-ref'!$O49/'Infrastructure Benchmarks-ref'!$K49</f>
        <v>#DIV/0!</v>
      </c>
      <c r="Q49" s="29" t="e">
        <f>'Infrastructure Benchmarks-ref'!$O49/'Infrastructure Benchmarks-ref'!$L49</f>
        <v>#DIV/0!</v>
      </c>
      <c r="R49" s="29" t="e">
        <f>'Infrastructure Benchmarks-ref'!$O49/'Infrastructure Benchmarks-ref'!$M49</f>
        <v>#DIV/0!</v>
      </c>
      <c r="S49" s="30"/>
    </row>
    <row r="50" spans="1:19" x14ac:dyDescent="0.2">
      <c r="A50" s="25" t="s">
        <v>70</v>
      </c>
      <c r="B50" s="26" t="s">
        <v>2</v>
      </c>
      <c r="C50" s="26" t="s">
        <v>39</v>
      </c>
      <c r="D50" s="26" t="s">
        <v>106</v>
      </c>
      <c r="E50" s="26"/>
      <c r="F50" s="26" t="s">
        <v>119</v>
      </c>
      <c r="G50" s="26" t="s">
        <v>105</v>
      </c>
      <c r="H50" s="26"/>
      <c r="I50" s="27" t="s">
        <v>113</v>
      </c>
      <c r="J50" s="27" t="s">
        <v>18</v>
      </c>
      <c r="K50" s="28"/>
      <c r="L50" s="28"/>
      <c r="M50" s="28"/>
      <c r="N50" s="27" t="s">
        <v>57</v>
      </c>
      <c r="O50" s="63"/>
      <c r="P50" s="29" t="e">
        <f>'Infrastructure Benchmarks-ref'!$O50/'Infrastructure Benchmarks-ref'!$K50</f>
        <v>#DIV/0!</v>
      </c>
      <c r="Q50" s="29" t="e">
        <f>'Infrastructure Benchmarks-ref'!$O50/'Infrastructure Benchmarks-ref'!$L50</f>
        <v>#DIV/0!</v>
      </c>
      <c r="R50" s="29" t="e">
        <f>'Infrastructure Benchmarks-ref'!$O50/'Infrastructure Benchmarks-ref'!$M50</f>
        <v>#DIV/0!</v>
      </c>
      <c r="S50" s="30"/>
    </row>
    <row r="51" spans="1:19" x14ac:dyDescent="0.2">
      <c r="A51" s="25" t="s">
        <v>70</v>
      </c>
      <c r="B51" s="26" t="s">
        <v>2</v>
      </c>
      <c r="C51" s="26" t="s">
        <v>39</v>
      </c>
      <c r="D51" s="26" t="s">
        <v>106</v>
      </c>
      <c r="E51" s="26"/>
      <c r="F51" s="26" t="s">
        <v>119</v>
      </c>
      <c r="G51" s="26" t="s">
        <v>105</v>
      </c>
      <c r="H51" s="26"/>
      <c r="I51" s="27" t="s">
        <v>113</v>
      </c>
      <c r="J51" s="27" t="s">
        <v>18</v>
      </c>
      <c r="K51" s="28"/>
      <c r="L51" s="28"/>
      <c r="M51" s="28"/>
      <c r="N51" s="27" t="s">
        <v>58</v>
      </c>
      <c r="O51" s="31"/>
      <c r="P51" s="29" t="e">
        <f>'Infrastructure Benchmarks-ref'!$O51/'Infrastructure Benchmarks-ref'!$K51</f>
        <v>#DIV/0!</v>
      </c>
      <c r="Q51" s="29" t="e">
        <f>'Infrastructure Benchmarks-ref'!$O51/'Infrastructure Benchmarks-ref'!$L51</f>
        <v>#DIV/0!</v>
      </c>
      <c r="R51" s="29" t="e">
        <f>'Infrastructure Benchmarks-ref'!$O51/'Infrastructure Benchmarks-ref'!$M51</f>
        <v>#DIV/0!</v>
      </c>
      <c r="S51" s="30"/>
    </row>
    <row r="52" spans="1:19" x14ac:dyDescent="0.2">
      <c r="A52" s="25" t="s">
        <v>70</v>
      </c>
      <c r="B52" s="26" t="s">
        <v>2</v>
      </c>
      <c r="C52" s="26" t="s">
        <v>39</v>
      </c>
      <c r="D52" s="26" t="s">
        <v>106</v>
      </c>
      <c r="E52" s="26"/>
      <c r="F52" s="26" t="s">
        <v>119</v>
      </c>
      <c r="G52" s="26" t="s">
        <v>105</v>
      </c>
      <c r="H52" s="26"/>
      <c r="I52" s="27" t="s">
        <v>113</v>
      </c>
      <c r="J52" s="27" t="s">
        <v>18</v>
      </c>
      <c r="K52" s="28"/>
      <c r="L52" s="28"/>
      <c r="M52" s="28"/>
      <c r="N52" s="27" t="s">
        <v>59</v>
      </c>
      <c r="O52" s="31"/>
      <c r="P52" s="29" t="e">
        <f>'Infrastructure Benchmarks-ref'!$O52/'Infrastructure Benchmarks-ref'!$K52</f>
        <v>#DIV/0!</v>
      </c>
      <c r="Q52" s="29" t="e">
        <f>'Infrastructure Benchmarks-ref'!$O52/'Infrastructure Benchmarks-ref'!$L52</f>
        <v>#DIV/0!</v>
      </c>
      <c r="R52" s="29" t="e">
        <f>'Infrastructure Benchmarks-ref'!$O52/'Infrastructure Benchmarks-ref'!$M52</f>
        <v>#DIV/0!</v>
      </c>
      <c r="S52" s="30"/>
    </row>
    <row r="53" spans="1:19" x14ac:dyDescent="0.2">
      <c r="A53" s="25" t="s">
        <v>70</v>
      </c>
      <c r="B53" s="26" t="s">
        <v>2</v>
      </c>
      <c r="C53" s="26" t="s">
        <v>39</v>
      </c>
      <c r="D53" s="26" t="s">
        <v>106</v>
      </c>
      <c r="E53" s="26"/>
      <c r="F53" s="26" t="s">
        <v>119</v>
      </c>
      <c r="G53" s="26" t="s">
        <v>105</v>
      </c>
      <c r="H53" s="26"/>
      <c r="I53" s="27" t="s">
        <v>113</v>
      </c>
      <c r="J53" s="27" t="s">
        <v>18</v>
      </c>
      <c r="K53" s="28"/>
      <c r="L53" s="28"/>
      <c r="M53" s="28"/>
      <c r="N53" s="27" t="s">
        <v>60</v>
      </c>
      <c r="O53" s="28"/>
      <c r="P53" s="29" t="e">
        <f>'Infrastructure Benchmarks-ref'!$O53/'Infrastructure Benchmarks-ref'!$K53</f>
        <v>#DIV/0!</v>
      </c>
      <c r="Q53" s="29" t="e">
        <f>'Infrastructure Benchmarks-ref'!$O53/'Infrastructure Benchmarks-ref'!$L53</f>
        <v>#DIV/0!</v>
      </c>
      <c r="R53" s="29" t="e">
        <f>'Infrastructure Benchmarks-ref'!$O53/'Infrastructure Benchmarks-ref'!$M53</f>
        <v>#DIV/0!</v>
      </c>
      <c r="S53" s="30"/>
    </row>
    <row r="54" spans="1:19" ht="16" thickBot="1" x14ac:dyDescent="0.25">
      <c r="A54" s="25" t="s">
        <v>70</v>
      </c>
      <c r="B54" s="26" t="s">
        <v>2</v>
      </c>
      <c r="C54" s="26" t="s">
        <v>39</v>
      </c>
      <c r="D54" s="26" t="s">
        <v>106</v>
      </c>
      <c r="E54" s="26"/>
      <c r="F54" s="26" t="s">
        <v>119</v>
      </c>
      <c r="G54" s="26" t="s">
        <v>105</v>
      </c>
      <c r="H54" s="26"/>
      <c r="I54" s="27" t="s">
        <v>113</v>
      </c>
      <c r="J54" s="27" t="s">
        <v>18</v>
      </c>
      <c r="K54" s="28"/>
      <c r="L54" s="28"/>
      <c r="M54" s="28"/>
      <c r="N54" s="27" t="s">
        <v>61</v>
      </c>
      <c r="O54" s="28"/>
      <c r="P54" s="29" t="e">
        <f>'Infrastructure Benchmarks-ref'!$O54/'Infrastructure Benchmarks-ref'!$K54</f>
        <v>#DIV/0!</v>
      </c>
      <c r="Q54" s="29" t="e">
        <f>'Infrastructure Benchmarks-ref'!$O54/'Infrastructure Benchmarks-ref'!$L54</f>
        <v>#DIV/0!</v>
      </c>
      <c r="R54" s="29" t="e">
        <f>'Infrastructure Benchmarks-ref'!$O54/'Infrastructure Benchmarks-ref'!$M54</f>
        <v>#DIV/0!</v>
      </c>
      <c r="S54" s="30"/>
    </row>
    <row r="55" spans="1:19" ht="17" thickTop="1" thickBot="1" x14ac:dyDescent="0.25">
      <c r="A55" s="54"/>
      <c r="B55" s="55"/>
      <c r="C55" s="55"/>
      <c r="D55" s="55"/>
      <c r="E55" s="55"/>
      <c r="F55" s="55"/>
      <c r="G55" s="55"/>
      <c r="H55" s="55"/>
      <c r="I55" s="56"/>
      <c r="J55" s="56"/>
      <c r="K55" s="57"/>
      <c r="L55" s="57"/>
      <c r="M55" s="57"/>
      <c r="N55" s="56"/>
      <c r="O55" s="57"/>
      <c r="P55" s="58"/>
      <c r="Q55" s="58"/>
      <c r="R55" s="58"/>
      <c r="S55" s="59"/>
    </row>
    <row r="56" spans="1:19" ht="16" thickTop="1" x14ac:dyDescent="0.2">
      <c r="A56" s="25" t="s">
        <v>70</v>
      </c>
      <c r="B56" s="26" t="s">
        <v>2</v>
      </c>
      <c r="C56" s="26" t="s">
        <v>39</v>
      </c>
      <c r="D56" s="26" t="s">
        <v>106</v>
      </c>
      <c r="E56" s="26"/>
      <c r="F56" s="26" t="s">
        <v>118</v>
      </c>
      <c r="G56" s="26" t="s">
        <v>105</v>
      </c>
      <c r="H56" s="26"/>
      <c r="I56" s="27" t="s">
        <v>113</v>
      </c>
      <c r="J56" s="27" t="s">
        <v>18</v>
      </c>
      <c r="K56" s="28"/>
      <c r="L56" s="28"/>
      <c r="M56" s="28"/>
      <c r="N56" s="4" t="s">
        <v>24</v>
      </c>
      <c r="O56" s="53"/>
      <c r="P56" s="29" t="e">
        <f>'Infrastructure Benchmarks-ref'!$O56/'Infrastructure Benchmarks-ref'!$K56</f>
        <v>#DIV/0!</v>
      </c>
      <c r="Q56" s="29" t="e">
        <f>'Infrastructure Benchmarks-ref'!$O56/'Infrastructure Benchmarks-ref'!$L56</f>
        <v>#DIV/0!</v>
      </c>
      <c r="R56" s="29" t="e">
        <f>'Infrastructure Benchmarks-ref'!$O56/'Infrastructure Benchmarks-ref'!$M56</f>
        <v>#DIV/0!</v>
      </c>
      <c r="S56" s="30"/>
    </row>
    <row r="57" spans="1:19" x14ac:dyDescent="0.2">
      <c r="A57" s="25" t="s">
        <v>70</v>
      </c>
      <c r="B57" s="26" t="s">
        <v>2</v>
      </c>
      <c r="C57" s="26" t="s">
        <v>39</v>
      </c>
      <c r="D57" s="26" t="s">
        <v>106</v>
      </c>
      <c r="E57" s="26"/>
      <c r="F57" s="26" t="s">
        <v>118</v>
      </c>
      <c r="G57" s="26" t="s">
        <v>105</v>
      </c>
      <c r="H57" s="26"/>
      <c r="I57" s="27" t="s">
        <v>113</v>
      </c>
      <c r="J57" s="27" t="s">
        <v>18</v>
      </c>
      <c r="K57" s="28"/>
      <c r="L57" s="28"/>
      <c r="M57" s="28"/>
      <c r="N57" s="27" t="s">
        <v>44</v>
      </c>
      <c r="O57" s="28"/>
      <c r="P57" s="29" t="e">
        <f>'Infrastructure Benchmarks-ref'!$O57/'Infrastructure Benchmarks-ref'!$K57</f>
        <v>#DIV/0!</v>
      </c>
      <c r="Q57" s="29" t="e">
        <f>'Infrastructure Benchmarks-ref'!$O57/'Infrastructure Benchmarks-ref'!$L57</f>
        <v>#DIV/0!</v>
      </c>
      <c r="R57" s="29" t="e">
        <f>'Infrastructure Benchmarks-ref'!$O57/'Infrastructure Benchmarks-ref'!$M57</f>
        <v>#DIV/0!</v>
      </c>
      <c r="S57" s="30"/>
    </row>
    <row r="58" spans="1:19" x14ac:dyDescent="0.2">
      <c r="A58" s="25" t="s">
        <v>70</v>
      </c>
      <c r="B58" s="26" t="s">
        <v>2</v>
      </c>
      <c r="C58" s="26" t="s">
        <v>39</v>
      </c>
      <c r="D58" s="26" t="s">
        <v>106</v>
      </c>
      <c r="E58" s="26"/>
      <c r="F58" s="26" t="s">
        <v>118</v>
      </c>
      <c r="G58" s="26" t="s">
        <v>105</v>
      </c>
      <c r="H58" s="26"/>
      <c r="I58" s="27" t="s">
        <v>113</v>
      </c>
      <c r="J58" s="27" t="s">
        <v>18</v>
      </c>
      <c r="K58" s="28"/>
      <c r="L58" s="28"/>
      <c r="M58" s="28"/>
      <c r="N58" s="27" t="s">
        <v>45</v>
      </c>
      <c r="O58" s="28">
        <v>95520</v>
      </c>
      <c r="P58" s="29" t="e">
        <f>'Infrastructure Benchmarks-ref'!$O58/'Infrastructure Benchmarks-ref'!$K58</f>
        <v>#DIV/0!</v>
      </c>
      <c r="Q58" s="29" t="e">
        <f>'Infrastructure Benchmarks-ref'!$O58/'Infrastructure Benchmarks-ref'!$L58</f>
        <v>#DIV/0!</v>
      </c>
      <c r="R58" s="29" t="e">
        <f>'Infrastructure Benchmarks-ref'!$O58/'Infrastructure Benchmarks-ref'!$M58</f>
        <v>#DIV/0!</v>
      </c>
      <c r="S58" s="30"/>
    </row>
    <row r="59" spans="1:19" x14ac:dyDescent="0.2">
      <c r="A59" s="25" t="s">
        <v>70</v>
      </c>
      <c r="B59" s="26" t="s">
        <v>2</v>
      </c>
      <c r="C59" s="26" t="s">
        <v>39</v>
      </c>
      <c r="D59" s="26" t="s">
        <v>106</v>
      </c>
      <c r="E59" s="26"/>
      <c r="F59" s="26" t="s">
        <v>118</v>
      </c>
      <c r="G59" s="26" t="s">
        <v>105</v>
      </c>
      <c r="H59" s="26"/>
      <c r="I59" s="27" t="s">
        <v>113</v>
      </c>
      <c r="J59" s="27" t="s">
        <v>18</v>
      </c>
      <c r="K59" s="28"/>
      <c r="L59" s="28"/>
      <c r="M59" s="28"/>
      <c r="N59" s="27" t="s">
        <v>14</v>
      </c>
      <c r="O59" s="28">
        <v>395176.25</v>
      </c>
      <c r="P59" s="29" t="e">
        <f>'Infrastructure Benchmarks-ref'!$O59/'Infrastructure Benchmarks-ref'!$K59</f>
        <v>#DIV/0!</v>
      </c>
      <c r="Q59" s="29" t="e">
        <f>'Infrastructure Benchmarks-ref'!$O59/'Infrastructure Benchmarks-ref'!$L59</f>
        <v>#DIV/0!</v>
      </c>
      <c r="R59" s="29" t="e">
        <f>'Infrastructure Benchmarks-ref'!$O59/'Infrastructure Benchmarks-ref'!$M59</f>
        <v>#DIV/0!</v>
      </c>
      <c r="S59" s="30"/>
    </row>
    <row r="60" spans="1:19" x14ac:dyDescent="0.2">
      <c r="A60" s="25" t="s">
        <v>70</v>
      </c>
      <c r="B60" s="26" t="s">
        <v>2</v>
      </c>
      <c r="C60" s="26" t="s">
        <v>39</v>
      </c>
      <c r="D60" s="26" t="s">
        <v>106</v>
      </c>
      <c r="E60" s="26"/>
      <c r="F60" s="26" t="s">
        <v>118</v>
      </c>
      <c r="G60" s="26" t="s">
        <v>105</v>
      </c>
      <c r="H60" s="26"/>
      <c r="I60" s="27" t="s">
        <v>113</v>
      </c>
      <c r="J60" s="27" t="s">
        <v>18</v>
      </c>
      <c r="K60" s="28"/>
      <c r="L60" s="28"/>
      <c r="M60" s="28"/>
      <c r="N60" s="27" t="s">
        <v>22</v>
      </c>
      <c r="O60" s="28">
        <f>4663986+8520738</f>
        <v>13184724</v>
      </c>
      <c r="P60" s="29" t="e">
        <f>'Infrastructure Benchmarks-ref'!$O60/'Infrastructure Benchmarks-ref'!$K60</f>
        <v>#DIV/0!</v>
      </c>
      <c r="Q60" s="29" t="e">
        <f>'Infrastructure Benchmarks-ref'!$O60/'Infrastructure Benchmarks-ref'!$L60</f>
        <v>#DIV/0!</v>
      </c>
      <c r="R60" s="29" t="e">
        <f>'Infrastructure Benchmarks-ref'!$O60/'Infrastructure Benchmarks-ref'!$M60</f>
        <v>#DIV/0!</v>
      </c>
      <c r="S60" s="30"/>
    </row>
    <row r="61" spans="1:19" x14ac:dyDescent="0.2">
      <c r="A61" s="25" t="s">
        <v>70</v>
      </c>
      <c r="B61" s="26" t="s">
        <v>2</v>
      </c>
      <c r="C61" s="26" t="s">
        <v>39</v>
      </c>
      <c r="D61" s="26" t="s">
        <v>106</v>
      </c>
      <c r="E61" s="26"/>
      <c r="F61" s="26" t="s">
        <v>118</v>
      </c>
      <c r="G61" s="26" t="s">
        <v>105</v>
      </c>
      <c r="H61" s="26"/>
      <c r="I61" s="27" t="s">
        <v>113</v>
      </c>
      <c r="J61" s="27" t="s">
        <v>18</v>
      </c>
      <c r="K61" s="28"/>
      <c r="L61" s="28"/>
      <c r="M61" s="28"/>
      <c r="N61" s="27" t="s">
        <v>20</v>
      </c>
      <c r="O61" s="28">
        <v>5967965</v>
      </c>
      <c r="P61" s="29" t="e">
        <f>'Infrastructure Benchmarks-ref'!$O61/'Infrastructure Benchmarks-ref'!$K61</f>
        <v>#DIV/0!</v>
      </c>
      <c r="Q61" s="29" t="e">
        <f>'Infrastructure Benchmarks-ref'!$O61/'Infrastructure Benchmarks-ref'!$L61</f>
        <v>#DIV/0!</v>
      </c>
      <c r="R61" s="29" t="e">
        <f>'Infrastructure Benchmarks-ref'!$O61/'Infrastructure Benchmarks-ref'!$M61</f>
        <v>#DIV/0!</v>
      </c>
      <c r="S61" s="30"/>
    </row>
    <row r="62" spans="1:19" x14ac:dyDescent="0.2">
      <c r="A62" s="25" t="s">
        <v>70</v>
      </c>
      <c r="B62" s="26" t="s">
        <v>2</v>
      </c>
      <c r="C62" s="26" t="s">
        <v>39</v>
      </c>
      <c r="D62" s="26" t="s">
        <v>106</v>
      </c>
      <c r="E62" s="26"/>
      <c r="F62" s="26" t="s">
        <v>118</v>
      </c>
      <c r="G62" s="26" t="s">
        <v>105</v>
      </c>
      <c r="H62" s="26"/>
      <c r="I62" s="27" t="s">
        <v>113</v>
      </c>
      <c r="J62" s="27" t="s">
        <v>18</v>
      </c>
      <c r="K62" s="28"/>
      <c r="L62" s="28"/>
      <c r="M62" s="28"/>
      <c r="N62" s="27" t="s">
        <v>23</v>
      </c>
      <c r="O62" s="28">
        <f>4063050+3591465</f>
        <v>7654515</v>
      </c>
      <c r="P62" s="29" t="e">
        <f>'Infrastructure Benchmarks-ref'!$O62/'Infrastructure Benchmarks-ref'!$K62</f>
        <v>#DIV/0!</v>
      </c>
      <c r="Q62" s="29" t="e">
        <f>'Infrastructure Benchmarks-ref'!$O62/'Infrastructure Benchmarks-ref'!$L62</f>
        <v>#DIV/0!</v>
      </c>
      <c r="R62" s="29" t="e">
        <f>'Infrastructure Benchmarks-ref'!$O62/'Infrastructure Benchmarks-ref'!$M62</f>
        <v>#DIV/0!</v>
      </c>
      <c r="S62" s="30"/>
    </row>
    <row r="63" spans="1:19" x14ac:dyDescent="0.2">
      <c r="A63" s="25" t="s">
        <v>70</v>
      </c>
      <c r="B63" s="26" t="s">
        <v>2</v>
      </c>
      <c r="C63" s="26" t="s">
        <v>39</v>
      </c>
      <c r="D63" s="26" t="s">
        <v>106</v>
      </c>
      <c r="E63" s="26"/>
      <c r="F63" s="26" t="s">
        <v>118</v>
      </c>
      <c r="G63" s="26" t="s">
        <v>105</v>
      </c>
      <c r="H63" s="26"/>
      <c r="I63" s="27" t="s">
        <v>113</v>
      </c>
      <c r="J63" s="27" t="s">
        <v>18</v>
      </c>
      <c r="K63" s="28"/>
      <c r="L63" s="28"/>
      <c r="M63" s="28"/>
      <c r="N63" s="27" t="s">
        <v>25</v>
      </c>
      <c r="O63" s="28">
        <v>2785980</v>
      </c>
      <c r="P63" s="29" t="e">
        <f>'Infrastructure Benchmarks-ref'!$O63/'Infrastructure Benchmarks-ref'!$K63</f>
        <v>#DIV/0!</v>
      </c>
      <c r="Q63" s="29" t="e">
        <f>'Infrastructure Benchmarks-ref'!$O63/'Infrastructure Benchmarks-ref'!$L63</f>
        <v>#DIV/0!</v>
      </c>
      <c r="R63" s="29" t="e">
        <f>'Infrastructure Benchmarks-ref'!$O63/'Infrastructure Benchmarks-ref'!$M63</f>
        <v>#DIV/0!</v>
      </c>
      <c r="S63" s="30"/>
    </row>
    <row r="64" spans="1:19" x14ac:dyDescent="0.2">
      <c r="A64" s="25" t="s">
        <v>70</v>
      </c>
      <c r="B64" s="26" t="s">
        <v>2</v>
      </c>
      <c r="C64" s="26" t="s">
        <v>39</v>
      </c>
      <c r="D64" s="26" t="s">
        <v>106</v>
      </c>
      <c r="E64" s="26"/>
      <c r="F64" s="26" t="s">
        <v>118</v>
      </c>
      <c r="G64" s="26" t="s">
        <v>105</v>
      </c>
      <c r="H64" s="26"/>
      <c r="I64" s="27" t="s">
        <v>113</v>
      </c>
      <c r="J64" s="27" t="s">
        <v>18</v>
      </c>
      <c r="K64" s="28"/>
      <c r="L64" s="28"/>
      <c r="M64" s="28"/>
      <c r="N64" s="27" t="s">
        <v>46</v>
      </c>
      <c r="O64" s="28"/>
      <c r="P64" s="29" t="e">
        <f>'Infrastructure Benchmarks-ref'!$O64/'Infrastructure Benchmarks-ref'!$K64</f>
        <v>#DIV/0!</v>
      </c>
      <c r="Q64" s="29" t="e">
        <f>'Infrastructure Benchmarks-ref'!$O64/'Infrastructure Benchmarks-ref'!$L64</f>
        <v>#DIV/0!</v>
      </c>
      <c r="R64" s="29" t="e">
        <f>'Infrastructure Benchmarks-ref'!$O64/'Infrastructure Benchmarks-ref'!$M64</f>
        <v>#DIV/0!</v>
      </c>
      <c r="S64" s="30"/>
    </row>
    <row r="65" spans="1:19" x14ac:dyDescent="0.2">
      <c r="A65" s="25" t="s">
        <v>70</v>
      </c>
      <c r="B65" s="26" t="s">
        <v>2</v>
      </c>
      <c r="C65" s="26" t="s">
        <v>39</v>
      </c>
      <c r="D65" s="26" t="s">
        <v>106</v>
      </c>
      <c r="E65" s="26"/>
      <c r="F65" s="26" t="s">
        <v>118</v>
      </c>
      <c r="G65" s="26" t="s">
        <v>105</v>
      </c>
      <c r="H65" s="26"/>
      <c r="I65" s="27" t="s">
        <v>113</v>
      </c>
      <c r="J65" s="27" t="s">
        <v>18</v>
      </c>
      <c r="K65" s="28"/>
      <c r="L65" s="28"/>
      <c r="M65" s="28"/>
      <c r="N65" s="27" t="s">
        <v>34</v>
      </c>
      <c r="O65" s="28">
        <f>280650+3750000</f>
        <v>4030650</v>
      </c>
      <c r="P65" s="29" t="e">
        <f>'Infrastructure Benchmarks-ref'!$O65/'Infrastructure Benchmarks-ref'!$K65</f>
        <v>#DIV/0!</v>
      </c>
      <c r="Q65" s="29" t="e">
        <f>'Infrastructure Benchmarks-ref'!$O65/'Infrastructure Benchmarks-ref'!$L65</f>
        <v>#DIV/0!</v>
      </c>
      <c r="R65" s="29" t="e">
        <f>'Infrastructure Benchmarks-ref'!$O65/'Infrastructure Benchmarks-ref'!$M65</f>
        <v>#DIV/0!</v>
      </c>
      <c r="S65" s="30"/>
    </row>
    <row r="66" spans="1:19" x14ac:dyDescent="0.2">
      <c r="A66" s="25" t="s">
        <v>70</v>
      </c>
      <c r="B66" s="26" t="s">
        <v>2</v>
      </c>
      <c r="C66" s="26" t="s">
        <v>39</v>
      </c>
      <c r="D66" s="26" t="s">
        <v>106</v>
      </c>
      <c r="E66" s="26"/>
      <c r="F66" s="26" t="s">
        <v>118</v>
      </c>
      <c r="G66" s="26" t="s">
        <v>105</v>
      </c>
      <c r="H66" s="26"/>
      <c r="I66" s="27" t="s">
        <v>113</v>
      </c>
      <c r="J66" s="27" t="s">
        <v>18</v>
      </c>
      <c r="K66" s="28"/>
      <c r="L66" s="28"/>
      <c r="M66" s="28"/>
      <c r="N66" s="27" t="s">
        <v>26</v>
      </c>
      <c r="O66" s="28">
        <v>2893495</v>
      </c>
      <c r="P66" s="29" t="e">
        <f>'Infrastructure Benchmarks-ref'!$O66/'Infrastructure Benchmarks-ref'!$K66</f>
        <v>#DIV/0!</v>
      </c>
      <c r="Q66" s="29" t="e">
        <f>'Infrastructure Benchmarks-ref'!$O66/'Infrastructure Benchmarks-ref'!$L66</f>
        <v>#DIV/0!</v>
      </c>
      <c r="R66" s="29" t="e">
        <f>'Infrastructure Benchmarks-ref'!$O66/'Infrastructure Benchmarks-ref'!$M66</f>
        <v>#DIV/0!</v>
      </c>
      <c r="S66" s="30"/>
    </row>
    <row r="67" spans="1:19" x14ac:dyDescent="0.2">
      <c r="A67" s="25" t="s">
        <v>70</v>
      </c>
      <c r="B67" s="26" t="s">
        <v>2</v>
      </c>
      <c r="C67" s="26" t="s">
        <v>39</v>
      </c>
      <c r="D67" s="26" t="s">
        <v>106</v>
      </c>
      <c r="E67" s="26"/>
      <c r="F67" s="26" t="s">
        <v>118</v>
      </c>
      <c r="G67" s="26" t="s">
        <v>105</v>
      </c>
      <c r="H67" s="26"/>
      <c r="I67" s="27" t="s">
        <v>113</v>
      </c>
      <c r="J67" s="27" t="s">
        <v>18</v>
      </c>
      <c r="K67" s="28"/>
      <c r="L67" s="28"/>
      <c r="M67" s="28"/>
      <c r="N67" s="27" t="s">
        <v>28</v>
      </c>
      <c r="O67" s="28">
        <v>1566361</v>
      </c>
      <c r="P67" s="29" t="e">
        <f>'Infrastructure Benchmarks-ref'!$O67/'Infrastructure Benchmarks-ref'!$K67</f>
        <v>#DIV/0!</v>
      </c>
      <c r="Q67" s="29" t="e">
        <f>'Infrastructure Benchmarks-ref'!$O67/'Infrastructure Benchmarks-ref'!$L67</f>
        <v>#DIV/0!</v>
      </c>
      <c r="R67" s="29" t="e">
        <f>'Infrastructure Benchmarks-ref'!$O67/'Infrastructure Benchmarks-ref'!$M67</f>
        <v>#DIV/0!</v>
      </c>
      <c r="S67" s="30"/>
    </row>
    <row r="68" spans="1:19" x14ac:dyDescent="0.2">
      <c r="A68" s="25" t="s">
        <v>70</v>
      </c>
      <c r="B68" s="26" t="s">
        <v>2</v>
      </c>
      <c r="C68" s="26" t="s">
        <v>39</v>
      </c>
      <c r="D68" s="26" t="s">
        <v>106</v>
      </c>
      <c r="E68" s="26"/>
      <c r="F68" s="26" t="s">
        <v>118</v>
      </c>
      <c r="G68" s="26" t="s">
        <v>105</v>
      </c>
      <c r="H68" s="26"/>
      <c r="I68" s="27" t="s">
        <v>113</v>
      </c>
      <c r="J68" s="27" t="s">
        <v>18</v>
      </c>
      <c r="K68" s="28"/>
      <c r="L68" s="28"/>
      <c r="M68" s="28"/>
      <c r="N68" s="27" t="s">
        <v>47</v>
      </c>
      <c r="O68" s="28">
        <v>1235277</v>
      </c>
      <c r="P68" s="29" t="e">
        <f>'Infrastructure Benchmarks-ref'!$O68/'Infrastructure Benchmarks-ref'!$K68</f>
        <v>#DIV/0!</v>
      </c>
      <c r="Q68" s="29" t="e">
        <f>'Infrastructure Benchmarks-ref'!$O68/'Infrastructure Benchmarks-ref'!$L68</f>
        <v>#DIV/0!</v>
      </c>
      <c r="R68" s="29" t="e">
        <f>'Infrastructure Benchmarks-ref'!$O68/'Infrastructure Benchmarks-ref'!$M68</f>
        <v>#DIV/0!</v>
      </c>
      <c r="S68" s="30"/>
    </row>
    <row r="69" spans="1:19" x14ac:dyDescent="0.2">
      <c r="A69" s="25" t="s">
        <v>70</v>
      </c>
      <c r="B69" s="26" t="s">
        <v>2</v>
      </c>
      <c r="C69" s="26" t="s">
        <v>39</v>
      </c>
      <c r="D69" s="26" t="s">
        <v>106</v>
      </c>
      <c r="E69" s="26"/>
      <c r="F69" s="26" t="s">
        <v>118</v>
      </c>
      <c r="G69" s="26" t="s">
        <v>105</v>
      </c>
      <c r="H69" s="26"/>
      <c r="I69" s="27" t="s">
        <v>113</v>
      </c>
      <c r="J69" s="27" t="s">
        <v>18</v>
      </c>
      <c r="K69" s="28"/>
      <c r="L69" s="28"/>
      <c r="M69" s="28"/>
      <c r="N69" s="27" t="s">
        <v>27</v>
      </c>
      <c r="O69" s="28">
        <v>1428586</v>
      </c>
      <c r="P69" s="29" t="e">
        <f>'Infrastructure Benchmarks-ref'!$O69/'Infrastructure Benchmarks-ref'!$K69</f>
        <v>#DIV/0!</v>
      </c>
      <c r="Q69" s="29" t="e">
        <f>'Infrastructure Benchmarks-ref'!$O69/'Infrastructure Benchmarks-ref'!$L69</f>
        <v>#DIV/0!</v>
      </c>
      <c r="R69" s="29" t="e">
        <f>'Infrastructure Benchmarks-ref'!$O69/'Infrastructure Benchmarks-ref'!$M69</f>
        <v>#DIV/0!</v>
      </c>
      <c r="S69" s="30"/>
    </row>
    <row r="70" spans="1:19" x14ac:dyDescent="0.2">
      <c r="A70" s="25" t="s">
        <v>70</v>
      </c>
      <c r="B70" s="26" t="s">
        <v>2</v>
      </c>
      <c r="C70" s="26" t="s">
        <v>39</v>
      </c>
      <c r="D70" s="26" t="s">
        <v>106</v>
      </c>
      <c r="E70" s="26"/>
      <c r="F70" s="26" t="s">
        <v>118</v>
      </c>
      <c r="G70" s="26" t="s">
        <v>105</v>
      </c>
      <c r="H70" s="26"/>
      <c r="I70" s="27" t="s">
        <v>113</v>
      </c>
      <c r="J70" s="27" t="s">
        <v>18</v>
      </c>
      <c r="K70" s="28"/>
      <c r="L70" s="28"/>
      <c r="M70" s="28"/>
      <c r="N70" s="27" t="s">
        <v>48</v>
      </c>
      <c r="O70" s="28"/>
      <c r="P70" s="29" t="e">
        <f>'Infrastructure Benchmarks-ref'!$O70/'Infrastructure Benchmarks-ref'!$K70</f>
        <v>#DIV/0!</v>
      </c>
      <c r="Q70" s="29" t="e">
        <f>'Infrastructure Benchmarks-ref'!$O70/'Infrastructure Benchmarks-ref'!$L70</f>
        <v>#DIV/0!</v>
      </c>
      <c r="R70" s="29" t="e">
        <f>'Infrastructure Benchmarks-ref'!$O70/'Infrastructure Benchmarks-ref'!$M70</f>
        <v>#DIV/0!</v>
      </c>
      <c r="S70" s="30"/>
    </row>
    <row r="71" spans="1:19" x14ac:dyDescent="0.2">
      <c r="A71" s="25" t="s">
        <v>70</v>
      </c>
      <c r="B71" s="26" t="s">
        <v>2</v>
      </c>
      <c r="C71" s="26" t="s">
        <v>39</v>
      </c>
      <c r="D71" s="26" t="s">
        <v>106</v>
      </c>
      <c r="E71" s="26"/>
      <c r="F71" s="26" t="s">
        <v>118</v>
      </c>
      <c r="G71" s="26" t="s">
        <v>105</v>
      </c>
      <c r="H71" s="26"/>
      <c r="I71" s="27" t="s">
        <v>113</v>
      </c>
      <c r="J71" s="27" t="s">
        <v>18</v>
      </c>
      <c r="K71" s="28"/>
      <c r="L71" s="28"/>
      <c r="M71" s="28"/>
      <c r="N71" s="27" t="s">
        <v>49</v>
      </c>
      <c r="O71" s="31"/>
      <c r="P71" s="29" t="e">
        <f>'Infrastructure Benchmarks-ref'!$O71/'Infrastructure Benchmarks-ref'!$K71</f>
        <v>#DIV/0!</v>
      </c>
      <c r="Q71" s="29" t="e">
        <f>'Infrastructure Benchmarks-ref'!$O71/'Infrastructure Benchmarks-ref'!$L71</f>
        <v>#DIV/0!</v>
      </c>
      <c r="R71" s="29" t="e">
        <f>'Infrastructure Benchmarks-ref'!$O71/'Infrastructure Benchmarks-ref'!$M71</f>
        <v>#DIV/0!</v>
      </c>
      <c r="S71" s="30"/>
    </row>
    <row r="72" spans="1:19" x14ac:dyDescent="0.2">
      <c r="A72" s="25" t="s">
        <v>70</v>
      </c>
      <c r="B72" s="26" t="s">
        <v>2</v>
      </c>
      <c r="C72" s="26" t="s">
        <v>39</v>
      </c>
      <c r="D72" s="26" t="s">
        <v>106</v>
      </c>
      <c r="E72" s="26"/>
      <c r="F72" s="26" t="s">
        <v>118</v>
      </c>
      <c r="G72" s="26" t="s">
        <v>105</v>
      </c>
      <c r="H72" s="26"/>
      <c r="I72" s="27" t="s">
        <v>113</v>
      </c>
      <c r="J72" s="27" t="s">
        <v>18</v>
      </c>
      <c r="K72" s="28"/>
      <c r="L72" s="28"/>
      <c r="M72" s="28"/>
      <c r="N72" s="27" t="s">
        <v>50</v>
      </c>
      <c r="O72" s="31"/>
      <c r="P72" s="29" t="e">
        <f>'Infrastructure Benchmarks-ref'!$O72/'Infrastructure Benchmarks-ref'!$K72</f>
        <v>#DIV/0!</v>
      </c>
      <c r="Q72" s="29" t="e">
        <f>'Infrastructure Benchmarks-ref'!$O72/'Infrastructure Benchmarks-ref'!$L72</f>
        <v>#DIV/0!</v>
      </c>
      <c r="R72" s="29" t="e">
        <f>'Infrastructure Benchmarks-ref'!$O72/'Infrastructure Benchmarks-ref'!$M72</f>
        <v>#DIV/0!</v>
      </c>
      <c r="S72" s="30"/>
    </row>
    <row r="73" spans="1:19" x14ac:dyDescent="0.2">
      <c r="A73" s="25" t="s">
        <v>70</v>
      </c>
      <c r="B73" s="26" t="s">
        <v>2</v>
      </c>
      <c r="C73" s="26" t="s">
        <v>39</v>
      </c>
      <c r="D73" s="26" t="s">
        <v>106</v>
      </c>
      <c r="E73" s="26"/>
      <c r="F73" s="26" t="s">
        <v>118</v>
      </c>
      <c r="G73" s="26" t="s">
        <v>105</v>
      </c>
      <c r="H73" s="26"/>
      <c r="I73" s="27" t="s">
        <v>113</v>
      </c>
      <c r="J73" s="27" t="s">
        <v>18</v>
      </c>
      <c r="K73" s="28"/>
      <c r="L73" s="28"/>
      <c r="M73" s="28"/>
      <c r="N73" s="27" t="s">
        <v>51</v>
      </c>
      <c r="O73" s="28"/>
      <c r="P73" s="29" t="e">
        <f>'Infrastructure Benchmarks-ref'!$O73/'Infrastructure Benchmarks-ref'!$K73</f>
        <v>#DIV/0!</v>
      </c>
      <c r="Q73" s="29" t="e">
        <f>'Infrastructure Benchmarks-ref'!$O73/'Infrastructure Benchmarks-ref'!$L73</f>
        <v>#DIV/0!</v>
      </c>
      <c r="R73" s="29" t="e">
        <f>'Infrastructure Benchmarks-ref'!$O73/'Infrastructure Benchmarks-ref'!$M73</f>
        <v>#DIV/0!</v>
      </c>
      <c r="S73" s="30"/>
    </row>
    <row r="74" spans="1:19" x14ac:dyDescent="0.2">
      <c r="A74" s="25" t="s">
        <v>70</v>
      </c>
      <c r="B74" s="26" t="s">
        <v>2</v>
      </c>
      <c r="C74" s="26" t="s">
        <v>39</v>
      </c>
      <c r="D74" s="26" t="s">
        <v>106</v>
      </c>
      <c r="E74" s="26"/>
      <c r="F74" s="26" t="s">
        <v>118</v>
      </c>
      <c r="G74" s="26" t="s">
        <v>105</v>
      </c>
      <c r="H74" s="26"/>
      <c r="I74" s="27" t="s">
        <v>113</v>
      </c>
      <c r="J74" s="27" t="s">
        <v>18</v>
      </c>
      <c r="K74" s="28"/>
      <c r="L74" s="28"/>
      <c r="M74" s="28"/>
      <c r="N74" s="27" t="s">
        <v>52</v>
      </c>
      <c r="O74" s="28"/>
      <c r="P74" s="29" t="e">
        <f>'Infrastructure Benchmarks-ref'!$O74/'Infrastructure Benchmarks-ref'!$K74</f>
        <v>#DIV/0!</v>
      </c>
      <c r="Q74" s="29" t="e">
        <f>'Infrastructure Benchmarks-ref'!$O74/'Infrastructure Benchmarks-ref'!$L74</f>
        <v>#DIV/0!</v>
      </c>
      <c r="R74" s="29" t="e">
        <f>'Infrastructure Benchmarks-ref'!$O74/'Infrastructure Benchmarks-ref'!$M74</f>
        <v>#DIV/0!</v>
      </c>
      <c r="S74" s="30"/>
    </row>
    <row r="75" spans="1:19" x14ac:dyDescent="0.2">
      <c r="A75" s="25" t="s">
        <v>70</v>
      </c>
      <c r="B75" s="26" t="s">
        <v>2</v>
      </c>
      <c r="C75" s="26" t="s">
        <v>39</v>
      </c>
      <c r="D75" s="26" t="s">
        <v>106</v>
      </c>
      <c r="E75" s="26"/>
      <c r="F75" s="26" t="s">
        <v>118</v>
      </c>
      <c r="G75" s="26" t="s">
        <v>105</v>
      </c>
      <c r="H75" s="26"/>
      <c r="I75" s="27" t="s">
        <v>113</v>
      </c>
      <c r="J75" s="27" t="s">
        <v>18</v>
      </c>
      <c r="K75" s="28"/>
      <c r="L75" s="28"/>
      <c r="M75" s="28"/>
      <c r="N75" s="27" t="s">
        <v>53</v>
      </c>
      <c r="O75" s="28"/>
      <c r="P75" s="29" t="e">
        <f>'Infrastructure Benchmarks-ref'!$O75/'Infrastructure Benchmarks-ref'!$K75</f>
        <v>#DIV/0!</v>
      </c>
      <c r="Q75" s="29" t="e">
        <f>'Infrastructure Benchmarks-ref'!$O75/'Infrastructure Benchmarks-ref'!$L75</f>
        <v>#DIV/0!</v>
      </c>
      <c r="R75" s="29" t="e">
        <f>'Infrastructure Benchmarks-ref'!$O75/'Infrastructure Benchmarks-ref'!$M75</f>
        <v>#DIV/0!</v>
      </c>
      <c r="S75" s="30"/>
    </row>
    <row r="76" spans="1:19" x14ac:dyDescent="0.2">
      <c r="A76" s="25" t="s">
        <v>70</v>
      </c>
      <c r="B76" s="26" t="s">
        <v>2</v>
      </c>
      <c r="C76" s="26" t="s">
        <v>39</v>
      </c>
      <c r="D76" s="26" t="s">
        <v>106</v>
      </c>
      <c r="E76" s="26"/>
      <c r="F76" s="26" t="s">
        <v>118</v>
      </c>
      <c r="G76" s="26" t="s">
        <v>105</v>
      </c>
      <c r="H76" s="26"/>
      <c r="I76" s="27" t="s">
        <v>113</v>
      </c>
      <c r="J76" s="27" t="s">
        <v>18</v>
      </c>
      <c r="K76" s="28"/>
      <c r="L76" s="28"/>
      <c r="M76" s="28"/>
      <c r="N76" s="27" t="s">
        <v>55</v>
      </c>
      <c r="O76" s="28"/>
      <c r="P76" s="29" t="e">
        <f>'Infrastructure Benchmarks-ref'!$O76/'Infrastructure Benchmarks-ref'!$K76</f>
        <v>#DIV/0!</v>
      </c>
      <c r="Q76" s="29" t="e">
        <f>'Infrastructure Benchmarks-ref'!$O76/'Infrastructure Benchmarks-ref'!$L76</f>
        <v>#DIV/0!</v>
      </c>
      <c r="R76" s="29" t="e">
        <f>'Infrastructure Benchmarks-ref'!$O76/'Infrastructure Benchmarks-ref'!$M76</f>
        <v>#DIV/0!</v>
      </c>
      <c r="S76" s="30"/>
    </row>
    <row r="77" spans="1:19" x14ac:dyDescent="0.2">
      <c r="A77" s="25" t="s">
        <v>70</v>
      </c>
      <c r="B77" s="26" t="s">
        <v>2</v>
      </c>
      <c r="C77" s="26" t="s">
        <v>39</v>
      </c>
      <c r="D77" s="26" t="s">
        <v>106</v>
      </c>
      <c r="E77" s="26"/>
      <c r="F77" s="26" t="s">
        <v>118</v>
      </c>
      <c r="G77" s="26" t="s">
        <v>105</v>
      </c>
      <c r="H77" s="26"/>
      <c r="I77" s="27" t="s">
        <v>113</v>
      </c>
      <c r="J77" s="27" t="s">
        <v>18</v>
      </c>
      <c r="K77" s="28"/>
      <c r="L77" s="28"/>
      <c r="M77" s="28"/>
      <c r="N77" s="27" t="s">
        <v>54</v>
      </c>
      <c r="O77" s="31"/>
      <c r="P77" s="29" t="e">
        <f>'Infrastructure Benchmarks-ref'!$O77/'Infrastructure Benchmarks-ref'!$K77</f>
        <v>#DIV/0!</v>
      </c>
      <c r="Q77" s="29" t="e">
        <f>'Infrastructure Benchmarks-ref'!$O77/'Infrastructure Benchmarks-ref'!$L77</f>
        <v>#DIV/0!</v>
      </c>
      <c r="R77" s="29" t="e">
        <f>'Infrastructure Benchmarks-ref'!$O77/'Infrastructure Benchmarks-ref'!$M77</f>
        <v>#DIV/0!</v>
      </c>
      <c r="S77" s="30"/>
    </row>
    <row r="78" spans="1:19" x14ac:dyDescent="0.2">
      <c r="A78" s="25" t="s">
        <v>70</v>
      </c>
      <c r="B78" s="26" t="s">
        <v>2</v>
      </c>
      <c r="C78" s="26" t="s">
        <v>39</v>
      </c>
      <c r="D78" s="26" t="s">
        <v>106</v>
      </c>
      <c r="E78" s="26"/>
      <c r="F78" s="26" t="s">
        <v>118</v>
      </c>
      <c r="G78" s="26" t="s">
        <v>105</v>
      </c>
      <c r="H78" s="26"/>
      <c r="I78" s="27" t="s">
        <v>113</v>
      </c>
      <c r="J78" s="27" t="s">
        <v>18</v>
      </c>
      <c r="K78" s="28"/>
      <c r="L78" s="28"/>
      <c r="M78" s="28"/>
      <c r="N78" s="27" t="s">
        <v>56</v>
      </c>
      <c r="O78" s="28"/>
      <c r="P78" s="29" t="e">
        <f>'Infrastructure Benchmarks-ref'!$O78/'Infrastructure Benchmarks-ref'!$K78</f>
        <v>#DIV/0!</v>
      </c>
      <c r="Q78" s="29" t="e">
        <f>'Infrastructure Benchmarks-ref'!$O78/'Infrastructure Benchmarks-ref'!$L78</f>
        <v>#DIV/0!</v>
      </c>
      <c r="R78" s="29" t="e">
        <f>'Infrastructure Benchmarks-ref'!$O78/'Infrastructure Benchmarks-ref'!$M78</f>
        <v>#DIV/0!</v>
      </c>
      <c r="S78" s="30"/>
    </row>
    <row r="79" spans="1:19" x14ac:dyDescent="0.2">
      <c r="A79" s="25" t="s">
        <v>70</v>
      </c>
      <c r="B79" s="26" t="s">
        <v>2</v>
      </c>
      <c r="C79" s="26" t="s">
        <v>39</v>
      </c>
      <c r="D79" s="26" t="s">
        <v>106</v>
      </c>
      <c r="E79" s="26"/>
      <c r="F79" s="26" t="s">
        <v>118</v>
      </c>
      <c r="G79" s="26" t="s">
        <v>105</v>
      </c>
      <c r="H79" s="26"/>
      <c r="I79" s="27" t="s">
        <v>113</v>
      </c>
      <c r="J79" s="27" t="s">
        <v>18</v>
      </c>
      <c r="K79" s="28"/>
      <c r="L79" s="28"/>
      <c r="M79" s="28"/>
      <c r="N79" s="27" t="s">
        <v>73</v>
      </c>
      <c r="O79" s="28">
        <f>2968359+25665</f>
        <v>2994024</v>
      </c>
      <c r="P79" s="29" t="e">
        <f>'Infrastructure Benchmarks-ref'!$O79/'Infrastructure Benchmarks-ref'!$K79</f>
        <v>#DIV/0!</v>
      </c>
      <c r="Q79" s="29" t="e">
        <f>'Infrastructure Benchmarks-ref'!$O79/'Infrastructure Benchmarks-ref'!$L79</f>
        <v>#DIV/0!</v>
      </c>
      <c r="R79" s="29" t="e">
        <f>'Infrastructure Benchmarks-ref'!$O79/'Infrastructure Benchmarks-ref'!$M79</f>
        <v>#DIV/0!</v>
      </c>
      <c r="S79" s="30"/>
    </row>
    <row r="80" spans="1:19" x14ac:dyDescent="0.2">
      <c r="A80" s="25" t="s">
        <v>70</v>
      </c>
      <c r="B80" s="26" t="s">
        <v>2</v>
      </c>
      <c r="C80" s="26" t="s">
        <v>39</v>
      </c>
      <c r="D80" s="26" t="s">
        <v>106</v>
      </c>
      <c r="E80" s="26"/>
      <c r="F80" s="26" t="s">
        <v>118</v>
      </c>
      <c r="G80" s="26" t="s">
        <v>105</v>
      </c>
      <c r="H80" s="26"/>
      <c r="I80" s="27" t="s">
        <v>113</v>
      </c>
      <c r="J80" s="27" t="s">
        <v>18</v>
      </c>
      <c r="K80" s="28"/>
      <c r="L80" s="28"/>
      <c r="M80" s="28"/>
      <c r="N80" s="27" t="s">
        <v>57</v>
      </c>
      <c r="O80" s="63"/>
      <c r="P80" s="29" t="e">
        <f>'Infrastructure Benchmarks-ref'!$O80/'Infrastructure Benchmarks-ref'!$K80</f>
        <v>#DIV/0!</v>
      </c>
      <c r="Q80" s="29" t="e">
        <f>'Infrastructure Benchmarks-ref'!$O80/'Infrastructure Benchmarks-ref'!$L80</f>
        <v>#DIV/0!</v>
      </c>
      <c r="R80" s="29" t="e">
        <f>'Infrastructure Benchmarks-ref'!$O80/'Infrastructure Benchmarks-ref'!$M80</f>
        <v>#DIV/0!</v>
      </c>
      <c r="S80" s="30"/>
    </row>
    <row r="81" spans="1:19" x14ac:dyDescent="0.2">
      <c r="A81" s="25" t="s">
        <v>70</v>
      </c>
      <c r="B81" s="26" t="s">
        <v>2</v>
      </c>
      <c r="C81" s="26" t="s">
        <v>39</v>
      </c>
      <c r="D81" s="26" t="s">
        <v>106</v>
      </c>
      <c r="E81" s="26"/>
      <c r="F81" s="26" t="s">
        <v>118</v>
      </c>
      <c r="G81" s="26" t="s">
        <v>105</v>
      </c>
      <c r="H81" s="26"/>
      <c r="I81" s="27" t="s">
        <v>113</v>
      </c>
      <c r="J81" s="27" t="s">
        <v>18</v>
      </c>
      <c r="K81" s="28"/>
      <c r="L81" s="28"/>
      <c r="M81" s="28"/>
      <c r="N81" s="27" t="s">
        <v>58</v>
      </c>
      <c r="O81" s="31">
        <v>22900000</v>
      </c>
      <c r="P81" s="29" t="e">
        <f>'Infrastructure Benchmarks-ref'!$O81/'Infrastructure Benchmarks-ref'!$K81</f>
        <v>#DIV/0!</v>
      </c>
      <c r="Q81" s="29" t="e">
        <f>'Infrastructure Benchmarks-ref'!$O81/'Infrastructure Benchmarks-ref'!$L81</f>
        <v>#DIV/0!</v>
      </c>
      <c r="R81" s="29" t="e">
        <f>'Infrastructure Benchmarks-ref'!$O81/'Infrastructure Benchmarks-ref'!$M81</f>
        <v>#DIV/0!</v>
      </c>
      <c r="S81" s="30"/>
    </row>
    <row r="82" spans="1:19" x14ac:dyDescent="0.2">
      <c r="A82" s="25" t="s">
        <v>70</v>
      </c>
      <c r="B82" s="26" t="s">
        <v>2</v>
      </c>
      <c r="C82" s="26" t="s">
        <v>39</v>
      </c>
      <c r="D82" s="26" t="s">
        <v>106</v>
      </c>
      <c r="E82" s="26"/>
      <c r="F82" s="26" t="s">
        <v>118</v>
      </c>
      <c r="G82" s="26" t="s">
        <v>105</v>
      </c>
      <c r="H82" s="26"/>
      <c r="I82" s="27" t="s">
        <v>113</v>
      </c>
      <c r="J82" s="27" t="s">
        <v>18</v>
      </c>
      <c r="K82" s="28"/>
      <c r="L82" s="28"/>
      <c r="M82" s="28"/>
      <c r="N82" s="27" t="s">
        <v>59</v>
      </c>
      <c r="O82" s="31"/>
      <c r="P82" s="29" t="e">
        <f>'Infrastructure Benchmarks-ref'!$O82/'Infrastructure Benchmarks-ref'!$K82</f>
        <v>#DIV/0!</v>
      </c>
      <c r="Q82" s="29" t="e">
        <f>'Infrastructure Benchmarks-ref'!$O82/'Infrastructure Benchmarks-ref'!$L82</f>
        <v>#DIV/0!</v>
      </c>
      <c r="R82" s="29" t="e">
        <f>'Infrastructure Benchmarks-ref'!$O82/'Infrastructure Benchmarks-ref'!$M82</f>
        <v>#DIV/0!</v>
      </c>
      <c r="S82" s="30"/>
    </row>
    <row r="83" spans="1:19" x14ac:dyDescent="0.2">
      <c r="A83" s="25" t="s">
        <v>70</v>
      </c>
      <c r="B83" s="26" t="s">
        <v>2</v>
      </c>
      <c r="C83" s="26" t="s">
        <v>39</v>
      </c>
      <c r="D83" s="26" t="s">
        <v>106</v>
      </c>
      <c r="E83" s="26"/>
      <c r="F83" s="26" t="s">
        <v>118</v>
      </c>
      <c r="G83" s="26" t="s">
        <v>105</v>
      </c>
      <c r="H83" s="26"/>
      <c r="I83" s="27" t="s">
        <v>113</v>
      </c>
      <c r="J83" s="27" t="s">
        <v>18</v>
      </c>
      <c r="K83" s="28"/>
      <c r="L83" s="28"/>
      <c r="M83" s="28"/>
      <c r="N83" s="27" t="s">
        <v>60</v>
      </c>
      <c r="O83" s="28"/>
      <c r="P83" s="29" t="e">
        <f>'Infrastructure Benchmarks-ref'!$O83/'Infrastructure Benchmarks-ref'!$K83</f>
        <v>#DIV/0!</v>
      </c>
      <c r="Q83" s="29" t="e">
        <f>'Infrastructure Benchmarks-ref'!$O83/'Infrastructure Benchmarks-ref'!$L83</f>
        <v>#DIV/0!</v>
      </c>
      <c r="R83" s="29" t="e">
        <f>'Infrastructure Benchmarks-ref'!$O83/'Infrastructure Benchmarks-ref'!$M83</f>
        <v>#DIV/0!</v>
      </c>
      <c r="S83" s="30"/>
    </row>
    <row r="84" spans="1:19" ht="16" thickBot="1" x14ac:dyDescent="0.25">
      <c r="A84" s="25" t="s">
        <v>70</v>
      </c>
      <c r="B84" s="26" t="s">
        <v>2</v>
      </c>
      <c r="C84" s="26" t="s">
        <v>39</v>
      </c>
      <c r="D84" s="26" t="s">
        <v>106</v>
      </c>
      <c r="E84" s="26"/>
      <c r="F84" s="26" t="s">
        <v>118</v>
      </c>
      <c r="G84" s="26" t="s">
        <v>105</v>
      </c>
      <c r="H84" s="26"/>
      <c r="I84" s="27" t="s">
        <v>113</v>
      </c>
      <c r="J84" s="27" t="s">
        <v>18</v>
      </c>
      <c r="K84" s="28"/>
      <c r="L84" s="28"/>
      <c r="M84" s="28"/>
      <c r="N84" s="27" t="s">
        <v>61</v>
      </c>
      <c r="O84" s="28"/>
      <c r="P84" s="29" t="e">
        <f>'Infrastructure Benchmarks-ref'!$O84/'Infrastructure Benchmarks-ref'!$K84</f>
        <v>#DIV/0!</v>
      </c>
      <c r="Q84" s="29" t="e">
        <f>'Infrastructure Benchmarks-ref'!$O84/'Infrastructure Benchmarks-ref'!$L84</f>
        <v>#DIV/0!</v>
      </c>
      <c r="R84" s="29" t="e">
        <f>'Infrastructure Benchmarks-ref'!$O84/'Infrastructure Benchmarks-ref'!$M84</f>
        <v>#DIV/0!</v>
      </c>
      <c r="S84" s="30"/>
    </row>
    <row r="85" spans="1:19" ht="17" thickTop="1" thickBot="1" x14ac:dyDescent="0.25">
      <c r="A85" s="54"/>
      <c r="B85" s="55"/>
      <c r="C85" s="55"/>
      <c r="D85" s="55"/>
      <c r="E85" s="55"/>
      <c r="F85" s="55"/>
      <c r="G85" s="55"/>
      <c r="H85" s="55"/>
      <c r="I85" s="56"/>
      <c r="J85" s="56"/>
      <c r="K85" s="57"/>
      <c r="L85" s="57"/>
      <c r="M85" s="57"/>
      <c r="N85" s="56"/>
      <c r="O85" s="57"/>
      <c r="P85" s="58"/>
      <c r="Q85" s="58"/>
      <c r="R85" s="58"/>
      <c r="S85" s="59"/>
    </row>
    <row r="86" spans="1:19" ht="16" thickTop="1" x14ac:dyDescent="0.2">
      <c r="A86" s="25" t="s">
        <v>70</v>
      </c>
      <c r="B86" s="26" t="s">
        <v>2</v>
      </c>
      <c r="C86" s="26" t="s">
        <v>39</v>
      </c>
      <c r="D86" s="26" t="s">
        <v>106</v>
      </c>
      <c r="E86" s="26"/>
      <c r="F86" s="26" t="s">
        <v>117</v>
      </c>
      <c r="G86" s="26" t="s">
        <v>105</v>
      </c>
      <c r="H86" s="26"/>
      <c r="I86" s="27" t="s">
        <v>113</v>
      </c>
      <c r="J86" s="27" t="s">
        <v>18</v>
      </c>
      <c r="K86" s="28"/>
      <c r="L86" s="28"/>
      <c r="M86" s="28"/>
      <c r="N86" s="4" t="s">
        <v>24</v>
      </c>
      <c r="O86" s="53"/>
      <c r="P86" s="29" t="e">
        <f>'Infrastructure Benchmarks-ref'!$O86/'Infrastructure Benchmarks-ref'!$K86</f>
        <v>#DIV/0!</v>
      </c>
      <c r="Q86" s="29" t="e">
        <f>'Infrastructure Benchmarks-ref'!$O86/'Infrastructure Benchmarks-ref'!$L86</f>
        <v>#DIV/0!</v>
      </c>
      <c r="R86" s="29" t="e">
        <f>'Infrastructure Benchmarks-ref'!$O86/'Infrastructure Benchmarks-ref'!$M86</f>
        <v>#DIV/0!</v>
      </c>
      <c r="S86" s="30"/>
    </row>
    <row r="87" spans="1:19" x14ac:dyDescent="0.2">
      <c r="A87" s="25" t="s">
        <v>70</v>
      </c>
      <c r="B87" s="26" t="s">
        <v>2</v>
      </c>
      <c r="C87" s="26" t="s">
        <v>39</v>
      </c>
      <c r="D87" s="26" t="s">
        <v>106</v>
      </c>
      <c r="E87" s="26"/>
      <c r="F87" s="26" t="s">
        <v>117</v>
      </c>
      <c r="G87" s="26" t="s">
        <v>105</v>
      </c>
      <c r="H87" s="26"/>
      <c r="I87" s="27" t="s">
        <v>113</v>
      </c>
      <c r="J87" s="27" t="s">
        <v>18</v>
      </c>
      <c r="K87" s="28"/>
      <c r="L87" s="28"/>
      <c r="M87" s="28"/>
      <c r="N87" s="27" t="s">
        <v>44</v>
      </c>
      <c r="O87" s="28"/>
      <c r="P87" s="29" t="e">
        <f>'Infrastructure Benchmarks-ref'!$O87/'Infrastructure Benchmarks-ref'!$K87</f>
        <v>#DIV/0!</v>
      </c>
      <c r="Q87" s="29" t="e">
        <f>'Infrastructure Benchmarks-ref'!$O87/'Infrastructure Benchmarks-ref'!$L87</f>
        <v>#DIV/0!</v>
      </c>
      <c r="R87" s="29" t="e">
        <f>'Infrastructure Benchmarks-ref'!$O87/'Infrastructure Benchmarks-ref'!$M87</f>
        <v>#DIV/0!</v>
      </c>
      <c r="S87" s="30"/>
    </row>
    <row r="88" spans="1:19" x14ac:dyDescent="0.2">
      <c r="A88" s="25" t="s">
        <v>70</v>
      </c>
      <c r="B88" s="26" t="s">
        <v>2</v>
      </c>
      <c r="C88" s="26" t="s">
        <v>39</v>
      </c>
      <c r="D88" s="26" t="s">
        <v>106</v>
      </c>
      <c r="E88" s="26"/>
      <c r="F88" s="26" t="s">
        <v>117</v>
      </c>
      <c r="G88" s="26" t="s">
        <v>105</v>
      </c>
      <c r="H88" s="26"/>
      <c r="I88" s="27" t="s">
        <v>113</v>
      </c>
      <c r="J88" s="27" t="s">
        <v>18</v>
      </c>
      <c r="K88" s="28"/>
      <c r="L88" s="28"/>
      <c r="M88" s="28"/>
      <c r="N88" s="27" t="s">
        <v>45</v>
      </c>
      <c r="O88" s="31">
        <v>105084</v>
      </c>
      <c r="P88" s="29" t="e">
        <f>'Infrastructure Benchmarks-ref'!$O88/'Infrastructure Benchmarks-ref'!$K88</f>
        <v>#DIV/0!</v>
      </c>
      <c r="Q88" s="29" t="e">
        <f>'Infrastructure Benchmarks-ref'!$O88/'Infrastructure Benchmarks-ref'!$L88</f>
        <v>#DIV/0!</v>
      </c>
      <c r="R88" s="29" t="e">
        <f>'Infrastructure Benchmarks-ref'!$O88/'Infrastructure Benchmarks-ref'!$M88</f>
        <v>#DIV/0!</v>
      </c>
      <c r="S88" s="30"/>
    </row>
    <row r="89" spans="1:19" x14ac:dyDescent="0.2">
      <c r="A89" s="25" t="s">
        <v>70</v>
      </c>
      <c r="B89" s="26" t="s">
        <v>2</v>
      </c>
      <c r="C89" s="26" t="s">
        <v>39</v>
      </c>
      <c r="D89" s="26" t="s">
        <v>106</v>
      </c>
      <c r="E89" s="26"/>
      <c r="F89" s="26" t="s">
        <v>117</v>
      </c>
      <c r="G89" s="26" t="s">
        <v>105</v>
      </c>
      <c r="H89" s="26"/>
      <c r="I89" s="27" t="s">
        <v>113</v>
      </c>
      <c r="J89" s="27" t="s">
        <v>18</v>
      </c>
      <c r="K89" s="28"/>
      <c r="L89" s="28"/>
      <c r="M89" s="28"/>
      <c r="N89" s="27" t="s">
        <v>14</v>
      </c>
      <c r="O89" s="28">
        <v>176392.5</v>
      </c>
      <c r="P89" s="29" t="e">
        <f>'Infrastructure Benchmarks-ref'!$O89/'Infrastructure Benchmarks-ref'!$K89</f>
        <v>#DIV/0!</v>
      </c>
      <c r="Q89" s="29" t="e">
        <f>'Infrastructure Benchmarks-ref'!$O89/'Infrastructure Benchmarks-ref'!$L89</f>
        <v>#DIV/0!</v>
      </c>
      <c r="R89" s="29" t="e">
        <f>'Infrastructure Benchmarks-ref'!$O89/'Infrastructure Benchmarks-ref'!$M89</f>
        <v>#DIV/0!</v>
      </c>
      <c r="S89" s="30"/>
    </row>
    <row r="90" spans="1:19" x14ac:dyDescent="0.2">
      <c r="A90" s="25" t="s">
        <v>70</v>
      </c>
      <c r="B90" s="26" t="s">
        <v>2</v>
      </c>
      <c r="C90" s="26" t="s">
        <v>39</v>
      </c>
      <c r="D90" s="26" t="s">
        <v>106</v>
      </c>
      <c r="E90" s="26"/>
      <c r="F90" s="26" t="s">
        <v>117</v>
      </c>
      <c r="G90" s="26" t="s">
        <v>105</v>
      </c>
      <c r="H90" s="26"/>
      <c r="I90" s="27" t="s">
        <v>113</v>
      </c>
      <c r="J90" s="27" t="s">
        <v>18</v>
      </c>
      <c r="K90" s="28"/>
      <c r="L90" s="28"/>
      <c r="M90" s="28"/>
      <c r="N90" s="27" t="s">
        <v>22</v>
      </c>
      <c r="O90" s="28">
        <f>4782333+9893005</f>
        <v>14675338</v>
      </c>
      <c r="P90" s="29" t="e">
        <f>'Infrastructure Benchmarks-ref'!$O90/'Infrastructure Benchmarks-ref'!$K90</f>
        <v>#DIV/0!</v>
      </c>
      <c r="Q90" s="29" t="e">
        <f>'Infrastructure Benchmarks-ref'!$O90/'Infrastructure Benchmarks-ref'!$L90</f>
        <v>#DIV/0!</v>
      </c>
      <c r="R90" s="29" t="e">
        <f>'Infrastructure Benchmarks-ref'!$O90/'Infrastructure Benchmarks-ref'!$M90</f>
        <v>#DIV/0!</v>
      </c>
      <c r="S90" s="30"/>
    </row>
    <row r="91" spans="1:19" x14ac:dyDescent="0.2">
      <c r="A91" s="25" t="s">
        <v>70</v>
      </c>
      <c r="B91" s="26" t="s">
        <v>2</v>
      </c>
      <c r="C91" s="26" t="s">
        <v>39</v>
      </c>
      <c r="D91" s="26" t="s">
        <v>106</v>
      </c>
      <c r="E91" s="26"/>
      <c r="F91" s="26" t="s">
        <v>117</v>
      </c>
      <c r="G91" s="26" t="s">
        <v>105</v>
      </c>
      <c r="H91" s="26"/>
      <c r="I91" s="27" t="s">
        <v>113</v>
      </c>
      <c r="J91" s="27" t="s">
        <v>18</v>
      </c>
      <c r="K91" s="28"/>
      <c r="L91" s="28"/>
      <c r="M91" s="28"/>
      <c r="N91" s="27" t="s">
        <v>20</v>
      </c>
      <c r="O91" s="28">
        <v>6671260</v>
      </c>
      <c r="P91" s="29" t="e">
        <f>'Infrastructure Benchmarks-ref'!$O91/'Infrastructure Benchmarks-ref'!$K91</f>
        <v>#DIV/0!</v>
      </c>
      <c r="Q91" s="29" t="e">
        <f>'Infrastructure Benchmarks-ref'!$O91/'Infrastructure Benchmarks-ref'!$L91</f>
        <v>#DIV/0!</v>
      </c>
      <c r="R91" s="29" t="e">
        <f>'Infrastructure Benchmarks-ref'!$O91/'Infrastructure Benchmarks-ref'!$M91</f>
        <v>#DIV/0!</v>
      </c>
      <c r="S91" s="30"/>
    </row>
    <row r="92" spans="1:19" x14ac:dyDescent="0.2">
      <c r="A92" s="25" t="s">
        <v>70</v>
      </c>
      <c r="B92" s="26" t="s">
        <v>2</v>
      </c>
      <c r="C92" s="26" t="s">
        <v>39</v>
      </c>
      <c r="D92" s="26" t="s">
        <v>106</v>
      </c>
      <c r="E92" s="26"/>
      <c r="F92" s="26" t="s">
        <v>117</v>
      </c>
      <c r="G92" s="26" t="s">
        <v>105</v>
      </c>
      <c r="H92" s="26"/>
      <c r="I92" s="27" t="s">
        <v>113</v>
      </c>
      <c r="J92" s="27" t="s">
        <v>18</v>
      </c>
      <c r="K92" s="28"/>
      <c r="L92" s="28"/>
      <c r="M92" s="28"/>
      <c r="N92" s="27" t="s">
        <v>23</v>
      </c>
      <c r="O92" s="28">
        <f>4472232+4066980</f>
        <v>8539212</v>
      </c>
      <c r="P92" s="29" t="e">
        <f>'Infrastructure Benchmarks-ref'!$O92/'Infrastructure Benchmarks-ref'!$K92</f>
        <v>#DIV/0!</v>
      </c>
      <c r="Q92" s="29" t="e">
        <f>'Infrastructure Benchmarks-ref'!$O92/'Infrastructure Benchmarks-ref'!$L92</f>
        <v>#DIV/0!</v>
      </c>
      <c r="R92" s="29" t="e">
        <f>'Infrastructure Benchmarks-ref'!$O92/'Infrastructure Benchmarks-ref'!$M92</f>
        <v>#DIV/0!</v>
      </c>
      <c r="S92" s="30"/>
    </row>
    <row r="93" spans="1:19" x14ac:dyDescent="0.2">
      <c r="A93" s="25" t="s">
        <v>70</v>
      </c>
      <c r="B93" s="26" t="s">
        <v>2</v>
      </c>
      <c r="C93" s="26" t="s">
        <v>39</v>
      </c>
      <c r="D93" s="26" t="s">
        <v>106</v>
      </c>
      <c r="E93" s="26"/>
      <c r="F93" s="26" t="s">
        <v>117</v>
      </c>
      <c r="G93" s="26" t="s">
        <v>105</v>
      </c>
      <c r="H93" s="26"/>
      <c r="I93" s="27" t="s">
        <v>113</v>
      </c>
      <c r="J93" s="27" t="s">
        <v>18</v>
      </c>
      <c r="K93" s="28"/>
      <c r="L93" s="28"/>
      <c r="M93" s="28"/>
      <c r="N93" s="27" t="s">
        <v>25</v>
      </c>
      <c r="O93" s="28">
        <v>3243765</v>
      </c>
      <c r="P93" s="29" t="e">
        <f>'Infrastructure Benchmarks-ref'!$O93/'Infrastructure Benchmarks-ref'!$K93</f>
        <v>#DIV/0!</v>
      </c>
      <c r="Q93" s="29" t="e">
        <f>'Infrastructure Benchmarks-ref'!$O93/'Infrastructure Benchmarks-ref'!$L93</f>
        <v>#DIV/0!</v>
      </c>
      <c r="R93" s="29" t="e">
        <f>'Infrastructure Benchmarks-ref'!$O93/'Infrastructure Benchmarks-ref'!$M93</f>
        <v>#DIV/0!</v>
      </c>
      <c r="S93" s="30"/>
    </row>
    <row r="94" spans="1:19" x14ac:dyDescent="0.2">
      <c r="A94" s="25" t="s">
        <v>70</v>
      </c>
      <c r="B94" s="26" t="s">
        <v>2</v>
      </c>
      <c r="C94" s="26" t="s">
        <v>39</v>
      </c>
      <c r="D94" s="26" t="s">
        <v>106</v>
      </c>
      <c r="E94" s="26"/>
      <c r="F94" s="26" t="s">
        <v>117</v>
      </c>
      <c r="G94" s="26" t="s">
        <v>105</v>
      </c>
      <c r="H94" s="26"/>
      <c r="I94" s="27" t="s">
        <v>113</v>
      </c>
      <c r="J94" s="27" t="s">
        <v>18</v>
      </c>
      <c r="K94" s="28"/>
      <c r="L94" s="28"/>
      <c r="M94" s="28"/>
      <c r="N94" s="27" t="s">
        <v>46</v>
      </c>
      <c r="O94" s="28"/>
      <c r="P94" s="29" t="e">
        <f>'Infrastructure Benchmarks-ref'!$O94/'Infrastructure Benchmarks-ref'!$K94</f>
        <v>#DIV/0!</v>
      </c>
      <c r="Q94" s="29" t="e">
        <f>'Infrastructure Benchmarks-ref'!$O94/'Infrastructure Benchmarks-ref'!$L94</f>
        <v>#DIV/0!</v>
      </c>
      <c r="R94" s="29" t="e">
        <f>'Infrastructure Benchmarks-ref'!$O94/'Infrastructure Benchmarks-ref'!$M94</f>
        <v>#DIV/0!</v>
      </c>
      <c r="S94" s="30"/>
    </row>
    <row r="95" spans="1:19" x14ac:dyDescent="0.2">
      <c r="A95" s="25" t="s">
        <v>70</v>
      </c>
      <c r="B95" s="26" t="s">
        <v>2</v>
      </c>
      <c r="C95" s="26" t="s">
        <v>39</v>
      </c>
      <c r="D95" s="26" t="s">
        <v>106</v>
      </c>
      <c r="E95" s="26"/>
      <c r="F95" s="26" t="s">
        <v>117</v>
      </c>
      <c r="G95" s="26" t="s">
        <v>105</v>
      </c>
      <c r="H95" s="26"/>
      <c r="I95" s="27" t="s">
        <v>113</v>
      </c>
      <c r="J95" s="27" t="s">
        <v>18</v>
      </c>
      <c r="K95" s="28"/>
      <c r="L95" s="28"/>
      <c r="M95" s="28"/>
      <c r="N95" s="27" t="s">
        <v>34</v>
      </c>
      <c r="O95" s="28">
        <f>317730+3750000</f>
        <v>4067730</v>
      </c>
      <c r="P95" s="29" t="e">
        <f>'Infrastructure Benchmarks-ref'!$O95/'Infrastructure Benchmarks-ref'!$K95</f>
        <v>#DIV/0!</v>
      </c>
      <c r="Q95" s="29" t="e">
        <f>'Infrastructure Benchmarks-ref'!$O95/'Infrastructure Benchmarks-ref'!$L95</f>
        <v>#DIV/0!</v>
      </c>
      <c r="R95" s="29" t="e">
        <f>'Infrastructure Benchmarks-ref'!$O95/'Infrastructure Benchmarks-ref'!$M95</f>
        <v>#DIV/0!</v>
      </c>
      <c r="S95" s="30"/>
    </row>
    <row r="96" spans="1:19" x14ac:dyDescent="0.2">
      <c r="A96" s="25" t="s">
        <v>70</v>
      </c>
      <c r="B96" s="26" t="s">
        <v>2</v>
      </c>
      <c r="C96" s="26" t="s">
        <v>39</v>
      </c>
      <c r="D96" s="26" t="s">
        <v>106</v>
      </c>
      <c r="E96" s="26"/>
      <c r="F96" s="26" t="s">
        <v>117</v>
      </c>
      <c r="G96" s="26" t="s">
        <v>105</v>
      </c>
      <c r="H96" s="26"/>
      <c r="I96" s="27" t="s">
        <v>113</v>
      </c>
      <c r="J96" s="27" t="s">
        <v>18</v>
      </c>
      <c r="K96" s="28"/>
      <c r="L96" s="28"/>
      <c r="M96" s="28"/>
      <c r="N96" s="27" t="s">
        <v>26</v>
      </c>
      <c r="O96" s="28">
        <v>2886690</v>
      </c>
      <c r="P96" s="29" t="e">
        <f>'Infrastructure Benchmarks-ref'!$O96/'Infrastructure Benchmarks-ref'!$K96</f>
        <v>#DIV/0!</v>
      </c>
      <c r="Q96" s="29" t="e">
        <f>'Infrastructure Benchmarks-ref'!$O96/'Infrastructure Benchmarks-ref'!$L96</f>
        <v>#DIV/0!</v>
      </c>
      <c r="R96" s="29" t="e">
        <f>'Infrastructure Benchmarks-ref'!$O96/'Infrastructure Benchmarks-ref'!$M96</f>
        <v>#DIV/0!</v>
      </c>
      <c r="S96" s="30"/>
    </row>
    <row r="97" spans="1:19" x14ac:dyDescent="0.2">
      <c r="A97" s="25" t="s">
        <v>70</v>
      </c>
      <c r="B97" s="26" t="s">
        <v>2</v>
      </c>
      <c r="C97" s="26" t="s">
        <v>39</v>
      </c>
      <c r="D97" s="26" t="s">
        <v>106</v>
      </c>
      <c r="E97" s="26"/>
      <c r="F97" s="26" t="s">
        <v>117</v>
      </c>
      <c r="G97" s="26" t="s">
        <v>105</v>
      </c>
      <c r="H97" s="26"/>
      <c r="I97" s="27" t="s">
        <v>113</v>
      </c>
      <c r="J97" s="27" t="s">
        <v>18</v>
      </c>
      <c r="K97" s="28"/>
      <c r="L97" s="28"/>
      <c r="M97" s="28"/>
      <c r="N97" s="27" t="s">
        <v>28</v>
      </c>
      <c r="O97" s="28">
        <v>1688445</v>
      </c>
      <c r="P97" s="29" t="e">
        <f>'Infrastructure Benchmarks-ref'!$O97/'Infrastructure Benchmarks-ref'!$K97</f>
        <v>#DIV/0!</v>
      </c>
      <c r="Q97" s="29" t="e">
        <f>'Infrastructure Benchmarks-ref'!$O97/'Infrastructure Benchmarks-ref'!$L97</f>
        <v>#DIV/0!</v>
      </c>
      <c r="R97" s="29" t="e">
        <f>'Infrastructure Benchmarks-ref'!$O97/'Infrastructure Benchmarks-ref'!$M97</f>
        <v>#DIV/0!</v>
      </c>
      <c r="S97" s="30"/>
    </row>
    <row r="98" spans="1:19" x14ac:dyDescent="0.2">
      <c r="A98" s="25" t="s">
        <v>70</v>
      </c>
      <c r="B98" s="26" t="s">
        <v>2</v>
      </c>
      <c r="C98" s="26" t="s">
        <v>39</v>
      </c>
      <c r="D98" s="26" t="s">
        <v>106</v>
      </c>
      <c r="E98" s="26"/>
      <c r="F98" s="26" t="s">
        <v>117</v>
      </c>
      <c r="G98" s="26" t="s">
        <v>105</v>
      </c>
      <c r="H98" s="26"/>
      <c r="I98" s="27" t="s">
        <v>113</v>
      </c>
      <c r="J98" s="27" t="s">
        <v>18</v>
      </c>
      <c r="K98" s="28"/>
      <c r="L98" s="28"/>
      <c r="M98" s="28"/>
      <c r="N98" s="27" t="s">
        <v>47</v>
      </c>
      <c r="O98" s="28">
        <v>1350892</v>
      </c>
      <c r="P98" s="29" t="e">
        <f>'Infrastructure Benchmarks-ref'!$O98/'Infrastructure Benchmarks-ref'!$K98</f>
        <v>#DIV/0!</v>
      </c>
      <c r="Q98" s="29" t="e">
        <f>'Infrastructure Benchmarks-ref'!$O98/'Infrastructure Benchmarks-ref'!$L98</f>
        <v>#DIV/0!</v>
      </c>
      <c r="R98" s="29" t="e">
        <f>'Infrastructure Benchmarks-ref'!$O98/'Infrastructure Benchmarks-ref'!$M98</f>
        <v>#DIV/0!</v>
      </c>
      <c r="S98" s="30"/>
    </row>
    <row r="99" spans="1:19" x14ac:dyDescent="0.2">
      <c r="A99" s="25" t="s">
        <v>70</v>
      </c>
      <c r="B99" s="26" t="s">
        <v>2</v>
      </c>
      <c r="C99" s="26" t="s">
        <v>39</v>
      </c>
      <c r="D99" s="26" t="s">
        <v>106</v>
      </c>
      <c r="E99" s="26"/>
      <c r="F99" s="26" t="s">
        <v>117</v>
      </c>
      <c r="G99" s="26" t="s">
        <v>105</v>
      </c>
      <c r="H99" s="26"/>
      <c r="I99" s="27" t="s">
        <v>113</v>
      </c>
      <c r="J99" s="27" t="s">
        <v>18</v>
      </c>
      <c r="K99" s="28"/>
      <c r="L99" s="28"/>
      <c r="M99" s="28"/>
      <c r="N99" s="27" t="s">
        <v>27</v>
      </c>
      <c r="O99" s="28">
        <v>1583788</v>
      </c>
      <c r="P99" s="29" t="e">
        <f>'Infrastructure Benchmarks-ref'!$O99/'Infrastructure Benchmarks-ref'!$K99</f>
        <v>#DIV/0!</v>
      </c>
      <c r="Q99" s="29" t="e">
        <f>'Infrastructure Benchmarks-ref'!$O99/'Infrastructure Benchmarks-ref'!$L99</f>
        <v>#DIV/0!</v>
      </c>
      <c r="R99" s="29" t="e">
        <f>'Infrastructure Benchmarks-ref'!$O99/'Infrastructure Benchmarks-ref'!$M99</f>
        <v>#DIV/0!</v>
      </c>
      <c r="S99" s="30"/>
    </row>
    <row r="100" spans="1:19" x14ac:dyDescent="0.2">
      <c r="A100" s="25" t="s">
        <v>70</v>
      </c>
      <c r="B100" s="26" t="s">
        <v>2</v>
      </c>
      <c r="C100" s="26" t="s">
        <v>39</v>
      </c>
      <c r="D100" s="26" t="s">
        <v>106</v>
      </c>
      <c r="E100" s="26"/>
      <c r="F100" s="26" t="s">
        <v>117</v>
      </c>
      <c r="G100" s="26" t="s">
        <v>105</v>
      </c>
      <c r="H100" s="26"/>
      <c r="I100" s="27" t="s">
        <v>113</v>
      </c>
      <c r="J100" s="27" t="s">
        <v>18</v>
      </c>
      <c r="K100" s="28"/>
      <c r="L100" s="28"/>
      <c r="M100" s="28"/>
      <c r="N100" s="27" t="s">
        <v>48</v>
      </c>
      <c r="O100" s="28"/>
      <c r="P100" s="29" t="e">
        <f>'Infrastructure Benchmarks-ref'!$O100/'Infrastructure Benchmarks-ref'!$K100</f>
        <v>#DIV/0!</v>
      </c>
      <c r="Q100" s="29" t="e">
        <f>'Infrastructure Benchmarks-ref'!$O100/'Infrastructure Benchmarks-ref'!$L100</f>
        <v>#DIV/0!</v>
      </c>
      <c r="R100" s="29" t="e">
        <f>'Infrastructure Benchmarks-ref'!$O100/'Infrastructure Benchmarks-ref'!$M100</f>
        <v>#DIV/0!</v>
      </c>
      <c r="S100" s="30"/>
    </row>
    <row r="101" spans="1:19" x14ac:dyDescent="0.2">
      <c r="A101" s="25" t="s">
        <v>70</v>
      </c>
      <c r="B101" s="26" t="s">
        <v>2</v>
      </c>
      <c r="C101" s="26" t="s">
        <v>39</v>
      </c>
      <c r="D101" s="26" t="s">
        <v>106</v>
      </c>
      <c r="E101" s="26"/>
      <c r="F101" s="26" t="s">
        <v>117</v>
      </c>
      <c r="G101" s="26" t="s">
        <v>105</v>
      </c>
      <c r="H101" s="26"/>
      <c r="I101" s="27" t="s">
        <v>113</v>
      </c>
      <c r="J101" s="27" t="s">
        <v>18</v>
      </c>
      <c r="K101" s="28"/>
      <c r="L101" s="28"/>
      <c r="M101" s="28"/>
      <c r="N101" s="27" t="s">
        <v>49</v>
      </c>
      <c r="O101" s="31"/>
      <c r="P101" s="29" t="e">
        <f>'Infrastructure Benchmarks-ref'!$O101/'Infrastructure Benchmarks-ref'!$K101</f>
        <v>#DIV/0!</v>
      </c>
      <c r="Q101" s="29" t="e">
        <f>'Infrastructure Benchmarks-ref'!$O101/'Infrastructure Benchmarks-ref'!$L101</f>
        <v>#DIV/0!</v>
      </c>
      <c r="R101" s="29" t="e">
        <f>'Infrastructure Benchmarks-ref'!$O101/'Infrastructure Benchmarks-ref'!$M101</f>
        <v>#DIV/0!</v>
      </c>
      <c r="S101" s="30"/>
    </row>
    <row r="102" spans="1:19" x14ac:dyDescent="0.2">
      <c r="A102" s="25" t="s">
        <v>70</v>
      </c>
      <c r="B102" s="26" t="s">
        <v>2</v>
      </c>
      <c r="C102" s="26" t="s">
        <v>39</v>
      </c>
      <c r="D102" s="26" t="s">
        <v>106</v>
      </c>
      <c r="E102" s="26"/>
      <c r="F102" s="26" t="s">
        <v>117</v>
      </c>
      <c r="G102" s="26" t="s">
        <v>105</v>
      </c>
      <c r="H102" s="26"/>
      <c r="I102" s="27" t="s">
        <v>113</v>
      </c>
      <c r="J102" s="27" t="s">
        <v>18</v>
      </c>
      <c r="K102" s="28"/>
      <c r="L102" s="28"/>
      <c r="M102" s="28"/>
      <c r="N102" s="27" t="s">
        <v>50</v>
      </c>
      <c r="O102" s="31"/>
      <c r="P102" s="29" t="e">
        <f>'Infrastructure Benchmarks-ref'!$O102/'Infrastructure Benchmarks-ref'!$K102</f>
        <v>#DIV/0!</v>
      </c>
      <c r="Q102" s="29" t="e">
        <f>'Infrastructure Benchmarks-ref'!$O102/'Infrastructure Benchmarks-ref'!$L102</f>
        <v>#DIV/0!</v>
      </c>
      <c r="R102" s="29" t="e">
        <f>'Infrastructure Benchmarks-ref'!$O102/'Infrastructure Benchmarks-ref'!$M102</f>
        <v>#DIV/0!</v>
      </c>
      <c r="S102" s="30"/>
    </row>
    <row r="103" spans="1:19" x14ac:dyDescent="0.2">
      <c r="A103" s="25" t="s">
        <v>70</v>
      </c>
      <c r="B103" s="26" t="s">
        <v>2</v>
      </c>
      <c r="C103" s="26" t="s">
        <v>39</v>
      </c>
      <c r="D103" s="26" t="s">
        <v>106</v>
      </c>
      <c r="E103" s="26"/>
      <c r="F103" s="26" t="s">
        <v>117</v>
      </c>
      <c r="G103" s="26" t="s">
        <v>105</v>
      </c>
      <c r="H103" s="26"/>
      <c r="I103" s="27" t="s">
        <v>113</v>
      </c>
      <c r="J103" s="27" t="s">
        <v>18</v>
      </c>
      <c r="K103" s="28"/>
      <c r="L103" s="28"/>
      <c r="M103" s="28"/>
      <c r="N103" s="27" t="s">
        <v>51</v>
      </c>
      <c r="O103" s="28"/>
      <c r="P103" s="29" t="e">
        <f>'Infrastructure Benchmarks-ref'!$O103/'Infrastructure Benchmarks-ref'!$K103</f>
        <v>#DIV/0!</v>
      </c>
      <c r="Q103" s="29" t="e">
        <f>'Infrastructure Benchmarks-ref'!$O103/'Infrastructure Benchmarks-ref'!$L103</f>
        <v>#DIV/0!</v>
      </c>
      <c r="R103" s="29" t="e">
        <f>'Infrastructure Benchmarks-ref'!$O103/'Infrastructure Benchmarks-ref'!$M103</f>
        <v>#DIV/0!</v>
      </c>
      <c r="S103" s="30"/>
    </row>
    <row r="104" spans="1:19" x14ac:dyDescent="0.2">
      <c r="A104" s="25" t="s">
        <v>70</v>
      </c>
      <c r="B104" s="26" t="s">
        <v>2</v>
      </c>
      <c r="C104" s="26" t="s">
        <v>39</v>
      </c>
      <c r="D104" s="26" t="s">
        <v>106</v>
      </c>
      <c r="E104" s="26"/>
      <c r="F104" s="26" t="s">
        <v>117</v>
      </c>
      <c r="G104" s="26" t="s">
        <v>105</v>
      </c>
      <c r="H104" s="26"/>
      <c r="I104" s="27" t="s">
        <v>113</v>
      </c>
      <c r="J104" s="27" t="s">
        <v>18</v>
      </c>
      <c r="K104" s="28"/>
      <c r="L104" s="28"/>
      <c r="M104" s="28"/>
      <c r="N104" s="27" t="s">
        <v>52</v>
      </c>
      <c r="O104" s="28"/>
      <c r="P104" s="29" t="e">
        <f>'Infrastructure Benchmarks-ref'!$O104/'Infrastructure Benchmarks-ref'!$K104</f>
        <v>#DIV/0!</v>
      </c>
      <c r="Q104" s="29" t="e">
        <f>'Infrastructure Benchmarks-ref'!$O104/'Infrastructure Benchmarks-ref'!$L104</f>
        <v>#DIV/0!</v>
      </c>
      <c r="R104" s="29" t="e">
        <f>'Infrastructure Benchmarks-ref'!$O104/'Infrastructure Benchmarks-ref'!$M104</f>
        <v>#DIV/0!</v>
      </c>
      <c r="S104" s="30"/>
    </row>
    <row r="105" spans="1:19" x14ac:dyDescent="0.2">
      <c r="A105" s="25" t="s">
        <v>70</v>
      </c>
      <c r="B105" s="26" t="s">
        <v>2</v>
      </c>
      <c r="C105" s="26" t="s">
        <v>39</v>
      </c>
      <c r="D105" s="26" t="s">
        <v>106</v>
      </c>
      <c r="E105" s="26"/>
      <c r="F105" s="26" t="s">
        <v>117</v>
      </c>
      <c r="G105" s="26" t="s">
        <v>105</v>
      </c>
      <c r="H105" s="26"/>
      <c r="I105" s="27" t="s">
        <v>113</v>
      </c>
      <c r="J105" s="27" t="s">
        <v>18</v>
      </c>
      <c r="K105" s="28"/>
      <c r="L105" s="28"/>
      <c r="M105" s="28"/>
      <c r="N105" s="27" t="s">
        <v>53</v>
      </c>
      <c r="O105" s="28"/>
      <c r="P105" s="29" t="e">
        <f>'Infrastructure Benchmarks-ref'!$O105/'Infrastructure Benchmarks-ref'!$K105</f>
        <v>#DIV/0!</v>
      </c>
      <c r="Q105" s="29" t="e">
        <f>'Infrastructure Benchmarks-ref'!$O105/'Infrastructure Benchmarks-ref'!$L105</f>
        <v>#DIV/0!</v>
      </c>
      <c r="R105" s="29" t="e">
        <f>'Infrastructure Benchmarks-ref'!$O105/'Infrastructure Benchmarks-ref'!$M105</f>
        <v>#DIV/0!</v>
      </c>
      <c r="S105" s="30"/>
    </row>
    <row r="106" spans="1:19" x14ac:dyDescent="0.2">
      <c r="A106" s="25" t="s">
        <v>70</v>
      </c>
      <c r="B106" s="26" t="s">
        <v>2</v>
      </c>
      <c r="C106" s="26" t="s">
        <v>39</v>
      </c>
      <c r="D106" s="26" t="s">
        <v>106</v>
      </c>
      <c r="E106" s="26"/>
      <c r="F106" s="26" t="s">
        <v>117</v>
      </c>
      <c r="G106" s="26" t="s">
        <v>105</v>
      </c>
      <c r="H106" s="26"/>
      <c r="I106" s="27" t="s">
        <v>113</v>
      </c>
      <c r="J106" s="27" t="s">
        <v>18</v>
      </c>
      <c r="K106" s="28"/>
      <c r="L106" s="28"/>
      <c r="M106" s="28"/>
      <c r="N106" s="27" t="s">
        <v>55</v>
      </c>
      <c r="O106" s="28"/>
      <c r="P106" s="29" t="e">
        <f>'Infrastructure Benchmarks-ref'!$O106/'Infrastructure Benchmarks-ref'!$K106</f>
        <v>#DIV/0!</v>
      </c>
      <c r="Q106" s="29" t="e">
        <f>'Infrastructure Benchmarks-ref'!$O106/'Infrastructure Benchmarks-ref'!$L106</f>
        <v>#DIV/0!</v>
      </c>
      <c r="R106" s="29" t="e">
        <f>'Infrastructure Benchmarks-ref'!$O106/'Infrastructure Benchmarks-ref'!$M106</f>
        <v>#DIV/0!</v>
      </c>
      <c r="S106" s="30"/>
    </row>
    <row r="107" spans="1:19" x14ac:dyDescent="0.2">
      <c r="A107" s="25" t="s">
        <v>70</v>
      </c>
      <c r="B107" s="26" t="s">
        <v>2</v>
      </c>
      <c r="C107" s="26" t="s">
        <v>39</v>
      </c>
      <c r="D107" s="26" t="s">
        <v>106</v>
      </c>
      <c r="E107" s="26"/>
      <c r="F107" s="26" t="s">
        <v>117</v>
      </c>
      <c r="G107" s="26" t="s">
        <v>105</v>
      </c>
      <c r="H107" s="26"/>
      <c r="I107" s="27" t="s">
        <v>113</v>
      </c>
      <c r="J107" s="27" t="s">
        <v>18</v>
      </c>
      <c r="K107" s="28"/>
      <c r="L107" s="28"/>
      <c r="M107" s="28"/>
      <c r="N107" s="27" t="s">
        <v>54</v>
      </c>
      <c r="O107" s="31"/>
      <c r="P107" s="29" t="e">
        <f>'Infrastructure Benchmarks-ref'!$O107/'Infrastructure Benchmarks-ref'!$K107</f>
        <v>#DIV/0!</v>
      </c>
      <c r="Q107" s="29" t="e">
        <f>'Infrastructure Benchmarks-ref'!$O107/'Infrastructure Benchmarks-ref'!$L107</f>
        <v>#DIV/0!</v>
      </c>
      <c r="R107" s="29" t="e">
        <f>'Infrastructure Benchmarks-ref'!$O107/'Infrastructure Benchmarks-ref'!$M107</f>
        <v>#DIV/0!</v>
      </c>
      <c r="S107" s="30"/>
    </row>
    <row r="108" spans="1:19" x14ac:dyDescent="0.2">
      <c r="A108" s="25" t="s">
        <v>70</v>
      </c>
      <c r="B108" s="26" t="s">
        <v>2</v>
      </c>
      <c r="C108" s="26" t="s">
        <v>39</v>
      </c>
      <c r="D108" s="26" t="s">
        <v>106</v>
      </c>
      <c r="E108" s="26"/>
      <c r="F108" s="26" t="s">
        <v>117</v>
      </c>
      <c r="G108" s="26" t="s">
        <v>105</v>
      </c>
      <c r="H108" s="26"/>
      <c r="I108" s="27" t="s">
        <v>113</v>
      </c>
      <c r="J108" s="27" t="s">
        <v>18</v>
      </c>
      <c r="K108" s="28"/>
      <c r="L108" s="28"/>
      <c r="M108" s="28"/>
      <c r="N108" s="27" t="s">
        <v>56</v>
      </c>
      <c r="O108" s="28"/>
      <c r="P108" s="29" t="e">
        <f>'Infrastructure Benchmarks-ref'!$O108/'Infrastructure Benchmarks-ref'!$K108</f>
        <v>#DIV/0!</v>
      </c>
      <c r="Q108" s="29" t="e">
        <f>'Infrastructure Benchmarks-ref'!$O108/'Infrastructure Benchmarks-ref'!$L108</f>
        <v>#DIV/0!</v>
      </c>
      <c r="R108" s="29" t="e">
        <f>'Infrastructure Benchmarks-ref'!$O108/'Infrastructure Benchmarks-ref'!$M108</f>
        <v>#DIV/0!</v>
      </c>
      <c r="S108" s="30"/>
    </row>
    <row r="109" spans="1:19" x14ac:dyDescent="0.2">
      <c r="A109" s="25" t="s">
        <v>70</v>
      </c>
      <c r="B109" s="26" t="s">
        <v>2</v>
      </c>
      <c r="C109" s="26" t="s">
        <v>39</v>
      </c>
      <c r="D109" s="26" t="s">
        <v>106</v>
      </c>
      <c r="E109" s="26"/>
      <c r="F109" s="26" t="s">
        <v>117</v>
      </c>
      <c r="G109" s="26" t="s">
        <v>105</v>
      </c>
      <c r="H109" s="26"/>
      <c r="I109" s="27" t="s">
        <v>113</v>
      </c>
      <c r="J109" s="27" t="s">
        <v>18</v>
      </c>
      <c r="K109" s="28"/>
      <c r="L109" s="28"/>
      <c r="M109" s="28"/>
      <c r="N109" s="27" t="s">
        <v>73</v>
      </c>
      <c r="O109" s="28">
        <f>3311395.5+25665</f>
        <v>3337060.5</v>
      </c>
      <c r="P109" s="29" t="e">
        <f>'Infrastructure Benchmarks-ref'!$O109/'Infrastructure Benchmarks-ref'!$K109</f>
        <v>#DIV/0!</v>
      </c>
      <c r="Q109" s="29" t="e">
        <f>'Infrastructure Benchmarks-ref'!$O109/'Infrastructure Benchmarks-ref'!$L109</f>
        <v>#DIV/0!</v>
      </c>
      <c r="R109" s="29" t="e">
        <f>'Infrastructure Benchmarks-ref'!$O109/'Infrastructure Benchmarks-ref'!$M109</f>
        <v>#DIV/0!</v>
      </c>
      <c r="S109" s="30"/>
    </row>
    <row r="110" spans="1:19" x14ac:dyDescent="0.2">
      <c r="A110" s="25" t="s">
        <v>70</v>
      </c>
      <c r="B110" s="26" t="s">
        <v>2</v>
      </c>
      <c r="C110" s="26" t="s">
        <v>39</v>
      </c>
      <c r="D110" s="26" t="s">
        <v>106</v>
      </c>
      <c r="E110" s="26"/>
      <c r="F110" s="26" t="s">
        <v>117</v>
      </c>
      <c r="G110" s="26" t="s">
        <v>105</v>
      </c>
      <c r="H110" s="26"/>
      <c r="I110" s="27" t="s">
        <v>113</v>
      </c>
      <c r="J110" s="27" t="s">
        <v>18</v>
      </c>
      <c r="K110" s="28"/>
      <c r="L110" s="28"/>
      <c r="M110" s="28"/>
      <c r="N110" s="27" t="s">
        <v>57</v>
      </c>
      <c r="O110" s="63"/>
      <c r="P110" s="29" t="e">
        <f>'Infrastructure Benchmarks-ref'!$O110/'Infrastructure Benchmarks-ref'!$K110</f>
        <v>#DIV/0!</v>
      </c>
      <c r="Q110" s="29" t="e">
        <f>'Infrastructure Benchmarks-ref'!$O110/'Infrastructure Benchmarks-ref'!$L110</f>
        <v>#DIV/0!</v>
      </c>
      <c r="R110" s="29" t="e">
        <f>'Infrastructure Benchmarks-ref'!$O110/'Infrastructure Benchmarks-ref'!$M110</f>
        <v>#DIV/0!</v>
      </c>
      <c r="S110" s="30"/>
    </row>
    <row r="111" spans="1:19" x14ac:dyDescent="0.2">
      <c r="A111" s="25" t="s">
        <v>70</v>
      </c>
      <c r="B111" s="26" t="s">
        <v>2</v>
      </c>
      <c r="C111" s="26" t="s">
        <v>39</v>
      </c>
      <c r="D111" s="26" t="s">
        <v>106</v>
      </c>
      <c r="E111" s="26"/>
      <c r="F111" s="26" t="s">
        <v>117</v>
      </c>
      <c r="G111" s="26" t="s">
        <v>105</v>
      </c>
      <c r="H111" s="26"/>
      <c r="I111" s="27" t="s">
        <v>113</v>
      </c>
      <c r="J111" s="27" t="s">
        <v>18</v>
      </c>
      <c r="K111" s="28"/>
      <c r="L111" s="28"/>
      <c r="M111" s="28"/>
      <c r="N111" s="27" t="s">
        <v>58</v>
      </c>
      <c r="O111" s="31">
        <v>26500000</v>
      </c>
      <c r="P111" s="29" t="e">
        <f>'Infrastructure Benchmarks-ref'!$O111/'Infrastructure Benchmarks-ref'!$K111</f>
        <v>#DIV/0!</v>
      </c>
      <c r="Q111" s="29" t="e">
        <f>'Infrastructure Benchmarks-ref'!$O111/'Infrastructure Benchmarks-ref'!$L111</f>
        <v>#DIV/0!</v>
      </c>
      <c r="R111" s="29" t="e">
        <f>'Infrastructure Benchmarks-ref'!$O111/'Infrastructure Benchmarks-ref'!$M111</f>
        <v>#DIV/0!</v>
      </c>
      <c r="S111" s="30"/>
    </row>
    <row r="112" spans="1:19" x14ac:dyDescent="0.2">
      <c r="A112" s="25" t="s">
        <v>70</v>
      </c>
      <c r="B112" s="26" t="s">
        <v>2</v>
      </c>
      <c r="C112" s="26" t="s">
        <v>39</v>
      </c>
      <c r="D112" s="26" t="s">
        <v>106</v>
      </c>
      <c r="E112" s="26"/>
      <c r="F112" s="26" t="s">
        <v>117</v>
      </c>
      <c r="G112" s="26" t="s">
        <v>105</v>
      </c>
      <c r="H112" s="26"/>
      <c r="I112" s="27" t="s">
        <v>113</v>
      </c>
      <c r="J112" s="27" t="s">
        <v>18</v>
      </c>
      <c r="K112" s="28"/>
      <c r="L112" s="28"/>
      <c r="M112" s="28"/>
      <c r="N112" s="27" t="s">
        <v>59</v>
      </c>
      <c r="O112" s="31"/>
      <c r="P112" s="29" t="e">
        <f>'Infrastructure Benchmarks-ref'!$O112/'Infrastructure Benchmarks-ref'!$K112</f>
        <v>#DIV/0!</v>
      </c>
      <c r="Q112" s="29" t="e">
        <f>'Infrastructure Benchmarks-ref'!$O112/'Infrastructure Benchmarks-ref'!$L112</f>
        <v>#DIV/0!</v>
      </c>
      <c r="R112" s="29" t="e">
        <f>'Infrastructure Benchmarks-ref'!$O112/'Infrastructure Benchmarks-ref'!$M112</f>
        <v>#DIV/0!</v>
      </c>
      <c r="S112" s="30"/>
    </row>
    <row r="113" spans="1:19" x14ac:dyDescent="0.2">
      <c r="A113" s="25" t="s">
        <v>70</v>
      </c>
      <c r="B113" s="26" t="s">
        <v>2</v>
      </c>
      <c r="C113" s="26" t="s">
        <v>39</v>
      </c>
      <c r="D113" s="26" t="s">
        <v>106</v>
      </c>
      <c r="E113" s="26"/>
      <c r="F113" s="26" t="s">
        <v>117</v>
      </c>
      <c r="G113" s="26" t="s">
        <v>105</v>
      </c>
      <c r="H113" s="26"/>
      <c r="I113" s="27" t="s">
        <v>113</v>
      </c>
      <c r="J113" s="27" t="s">
        <v>18</v>
      </c>
      <c r="K113" s="28"/>
      <c r="L113" s="28"/>
      <c r="M113" s="28"/>
      <c r="N113" s="27" t="s">
        <v>60</v>
      </c>
      <c r="O113" s="28"/>
      <c r="P113" s="29" t="e">
        <f>'Infrastructure Benchmarks-ref'!$O113/'Infrastructure Benchmarks-ref'!$K113</f>
        <v>#DIV/0!</v>
      </c>
      <c r="Q113" s="29" t="e">
        <f>'Infrastructure Benchmarks-ref'!$O113/'Infrastructure Benchmarks-ref'!$L113</f>
        <v>#DIV/0!</v>
      </c>
      <c r="R113" s="29" t="e">
        <f>'Infrastructure Benchmarks-ref'!$O113/'Infrastructure Benchmarks-ref'!$M113</f>
        <v>#DIV/0!</v>
      </c>
      <c r="S113" s="30"/>
    </row>
    <row r="114" spans="1:19" ht="16" thickBot="1" x14ac:dyDescent="0.25">
      <c r="A114" s="25" t="s">
        <v>70</v>
      </c>
      <c r="B114" s="26" t="s">
        <v>2</v>
      </c>
      <c r="C114" s="26" t="s">
        <v>39</v>
      </c>
      <c r="D114" s="26" t="s">
        <v>106</v>
      </c>
      <c r="E114" s="26"/>
      <c r="F114" s="26" t="s">
        <v>117</v>
      </c>
      <c r="G114" s="26" t="s">
        <v>105</v>
      </c>
      <c r="H114" s="26"/>
      <c r="I114" s="27" t="s">
        <v>113</v>
      </c>
      <c r="J114" s="27" t="s">
        <v>18</v>
      </c>
      <c r="K114" s="28"/>
      <c r="L114" s="28"/>
      <c r="M114" s="28"/>
      <c r="N114" s="27" t="s">
        <v>61</v>
      </c>
      <c r="O114" s="28"/>
      <c r="P114" s="29" t="e">
        <f>'Infrastructure Benchmarks-ref'!$O114/'Infrastructure Benchmarks-ref'!$K114</f>
        <v>#DIV/0!</v>
      </c>
      <c r="Q114" s="29" t="e">
        <f>'Infrastructure Benchmarks-ref'!$O114/'Infrastructure Benchmarks-ref'!$L114</f>
        <v>#DIV/0!</v>
      </c>
      <c r="R114" s="29" t="e">
        <f>'Infrastructure Benchmarks-ref'!$O114/'Infrastructure Benchmarks-ref'!$M114</f>
        <v>#DIV/0!</v>
      </c>
      <c r="S114" s="30"/>
    </row>
    <row r="115" spans="1:19" ht="17" thickTop="1" thickBot="1" x14ac:dyDescent="0.25">
      <c r="A115" s="54"/>
      <c r="B115" s="55"/>
      <c r="C115" s="55"/>
      <c r="D115" s="55"/>
      <c r="E115" s="55"/>
      <c r="F115" s="55"/>
      <c r="G115" s="55"/>
      <c r="H115" s="55"/>
      <c r="I115" s="56"/>
      <c r="J115" s="56"/>
      <c r="K115" s="57"/>
      <c r="L115" s="57"/>
      <c r="M115" s="57"/>
      <c r="N115" s="56"/>
      <c r="O115" s="57"/>
      <c r="P115" s="58"/>
      <c r="Q115" s="58"/>
      <c r="R115" s="58"/>
      <c r="S115" s="59"/>
    </row>
    <row r="116" spans="1:19" ht="16" thickTop="1" x14ac:dyDescent="0.2">
      <c r="A116" s="25" t="s">
        <v>70</v>
      </c>
      <c r="B116" s="26" t="s">
        <v>2</v>
      </c>
      <c r="C116" s="26" t="s">
        <v>39</v>
      </c>
      <c r="D116" s="26" t="s">
        <v>106</v>
      </c>
      <c r="E116" s="26"/>
      <c r="F116" s="26" t="s">
        <v>116</v>
      </c>
      <c r="G116" s="26" t="s">
        <v>105</v>
      </c>
      <c r="H116" s="26"/>
      <c r="I116" s="27" t="s">
        <v>113</v>
      </c>
      <c r="J116" s="27" t="s">
        <v>18</v>
      </c>
      <c r="K116" s="28"/>
      <c r="L116" s="28"/>
      <c r="M116" s="28"/>
      <c r="N116" s="4" t="s">
        <v>24</v>
      </c>
      <c r="O116" s="53"/>
      <c r="P116" s="29" t="e">
        <f>'Infrastructure Benchmarks-ref'!$O116/'Infrastructure Benchmarks-ref'!$K116</f>
        <v>#DIV/0!</v>
      </c>
      <c r="Q116" s="29" t="e">
        <f>'Infrastructure Benchmarks-ref'!$O116/'Infrastructure Benchmarks-ref'!$L116</f>
        <v>#DIV/0!</v>
      </c>
      <c r="R116" s="29" t="e">
        <f>'Infrastructure Benchmarks-ref'!$O116/'Infrastructure Benchmarks-ref'!$M116</f>
        <v>#DIV/0!</v>
      </c>
      <c r="S116" s="30"/>
    </row>
    <row r="117" spans="1:19" x14ac:dyDescent="0.2">
      <c r="A117" s="25" t="s">
        <v>70</v>
      </c>
      <c r="B117" s="26" t="s">
        <v>2</v>
      </c>
      <c r="C117" s="26" t="s">
        <v>39</v>
      </c>
      <c r="D117" s="26" t="s">
        <v>106</v>
      </c>
      <c r="E117" s="26"/>
      <c r="F117" s="26" t="s">
        <v>116</v>
      </c>
      <c r="G117" s="26" t="s">
        <v>105</v>
      </c>
      <c r="H117" s="26"/>
      <c r="I117" s="27" t="s">
        <v>113</v>
      </c>
      <c r="J117" s="27" t="s">
        <v>18</v>
      </c>
      <c r="K117" s="28"/>
      <c r="L117" s="28"/>
      <c r="M117" s="28"/>
      <c r="N117" s="27" t="s">
        <v>44</v>
      </c>
      <c r="O117" s="28"/>
      <c r="P117" s="29" t="e">
        <f>'Infrastructure Benchmarks-ref'!$O117/'Infrastructure Benchmarks-ref'!$K117</f>
        <v>#DIV/0!</v>
      </c>
      <c r="Q117" s="29" t="e">
        <f>'Infrastructure Benchmarks-ref'!$O117/'Infrastructure Benchmarks-ref'!$L117</f>
        <v>#DIV/0!</v>
      </c>
      <c r="R117" s="29" t="e">
        <f>'Infrastructure Benchmarks-ref'!$O117/'Infrastructure Benchmarks-ref'!$M117</f>
        <v>#DIV/0!</v>
      </c>
      <c r="S117" s="30"/>
    </row>
    <row r="118" spans="1:19" x14ac:dyDescent="0.2">
      <c r="A118" s="25" t="s">
        <v>70</v>
      </c>
      <c r="B118" s="26" t="s">
        <v>2</v>
      </c>
      <c r="C118" s="26" t="s">
        <v>39</v>
      </c>
      <c r="D118" s="26" t="s">
        <v>106</v>
      </c>
      <c r="E118" s="26"/>
      <c r="F118" s="26" t="s">
        <v>116</v>
      </c>
      <c r="G118" s="26" t="s">
        <v>105</v>
      </c>
      <c r="H118" s="26"/>
      <c r="I118" s="27" t="s">
        <v>113</v>
      </c>
      <c r="J118" s="27" t="s">
        <v>18</v>
      </c>
      <c r="K118" s="28"/>
      <c r="L118" s="28"/>
      <c r="M118" s="28"/>
      <c r="N118" s="27" t="s">
        <v>45</v>
      </c>
      <c r="O118" s="31">
        <v>129442.65</v>
      </c>
      <c r="P118" s="29" t="e">
        <f>'Infrastructure Benchmarks-ref'!$O118/'Infrastructure Benchmarks-ref'!$K118</f>
        <v>#DIV/0!</v>
      </c>
      <c r="Q118" s="29" t="e">
        <f>'Infrastructure Benchmarks-ref'!$O118/'Infrastructure Benchmarks-ref'!$L118</f>
        <v>#DIV/0!</v>
      </c>
      <c r="R118" s="29" t="e">
        <f>'Infrastructure Benchmarks-ref'!$O118/'Infrastructure Benchmarks-ref'!$M118</f>
        <v>#DIV/0!</v>
      </c>
      <c r="S118" s="30"/>
    </row>
    <row r="119" spans="1:19" x14ac:dyDescent="0.2">
      <c r="A119" s="25" t="s">
        <v>70</v>
      </c>
      <c r="B119" s="26" t="s">
        <v>2</v>
      </c>
      <c r="C119" s="26" t="s">
        <v>39</v>
      </c>
      <c r="D119" s="26" t="s">
        <v>106</v>
      </c>
      <c r="E119" s="26"/>
      <c r="F119" s="26" t="s">
        <v>116</v>
      </c>
      <c r="G119" s="26" t="s">
        <v>105</v>
      </c>
      <c r="H119" s="26"/>
      <c r="I119" s="27" t="s">
        <v>113</v>
      </c>
      <c r="J119" s="27" t="s">
        <v>18</v>
      </c>
      <c r="K119" s="28"/>
      <c r="L119" s="28"/>
      <c r="M119" s="28"/>
      <c r="N119" s="27" t="s">
        <v>14</v>
      </c>
      <c r="O119" s="28">
        <v>214066.58</v>
      </c>
      <c r="P119" s="29" t="e">
        <f>'Infrastructure Benchmarks-ref'!$O119/'Infrastructure Benchmarks-ref'!$K119</f>
        <v>#DIV/0!</v>
      </c>
      <c r="Q119" s="29" t="e">
        <f>'Infrastructure Benchmarks-ref'!$O119/'Infrastructure Benchmarks-ref'!$L119</f>
        <v>#DIV/0!</v>
      </c>
      <c r="R119" s="29" t="e">
        <f>'Infrastructure Benchmarks-ref'!$O119/'Infrastructure Benchmarks-ref'!$M119</f>
        <v>#DIV/0!</v>
      </c>
      <c r="S119" s="30"/>
    </row>
    <row r="120" spans="1:19" x14ac:dyDescent="0.2">
      <c r="A120" s="25" t="s">
        <v>70</v>
      </c>
      <c r="B120" s="26" t="s">
        <v>2</v>
      </c>
      <c r="C120" s="26" t="s">
        <v>39</v>
      </c>
      <c r="D120" s="26" t="s">
        <v>106</v>
      </c>
      <c r="E120" s="26"/>
      <c r="F120" s="26" t="s">
        <v>116</v>
      </c>
      <c r="G120" s="26" t="s">
        <v>105</v>
      </c>
      <c r="H120" s="26"/>
      <c r="I120" s="27" t="s">
        <v>113</v>
      </c>
      <c r="J120" s="27" t="s">
        <v>18</v>
      </c>
      <c r="K120" s="28"/>
      <c r="L120" s="28"/>
      <c r="M120" s="28"/>
      <c r="N120" s="27" t="s">
        <v>22</v>
      </c>
      <c r="O120" s="28">
        <v>10042555.82</v>
      </c>
      <c r="P120" s="29" t="e">
        <f>'Infrastructure Benchmarks-ref'!$O120/'Infrastructure Benchmarks-ref'!$K120</f>
        <v>#DIV/0!</v>
      </c>
      <c r="Q120" s="29" t="e">
        <f>'Infrastructure Benchmarks-ref'!$O120/'Infrastructure Benchmarks-ref'!$L120</f>
        <v>#DIV/0!</v>
      </c>
      <c r="R120" s="29" t="e">
        <f>'Infrastructure Benchmarks-ref'!$O120/'Infrastructure Benchmarks-ref'!$M120</f>
        <v>#DIV/0!</v>
      </c>
      <c r="S120" s="30"/>
    </row>
    <row r="121" spans="1:19" x14ac:dyDescent="0.2">
      <c r="A121" s="25" t="s">
        <v>70</v>
      </c>
      <c r="B121" s="26" t="s">
        <v>2</v>
      </c>
      <c r="C121" s="26" t="s">
        <v>39</v>
      </c>
      <c r="D121" s="26" t="s">
        <v>106</v>
      </c>
      <c r="E121" s="26"/>
      <c r="F121" s="26" t="s">
        <v>116</v>
      </c>
      <c r="G121" s="26" t="s">
        <v>105</v>
      </c>
      <c r="H121" s="26"/>
      <c r="I121" s="27" t="s">
        <v>113</v>
      </c>
      <c r="J121" s="27" t="s">
        <v>18</v>
      </c>
      <c r="K121" s="28"/>
      <c r="L121" s="28"/>
      <c r="M121" s="28"/>
      <c r="N121" s="27" t="s">
        <v>20</v>
      </c>
      <c r="O121" s="28">
        <v>7708467.7699999996</v>
      </c>
      <c r="P121" s="29" t="e">
        <f>'Infrastructure Benchmarks-ref'!$O121/'Infrastructure Benchmarks-ref'!$K121</f>
        <v>#DIV/0!</v>
      </c>
      <c r="Q121" s="29" t="e">
        <f>'Infrastructure Benchmarks-ref'!$O121/'Infrastructure Benchmarks-ref'!$L121</f>
        <v>#DIV/0!</v>
      </c>
      <c r="R121" s="29" t="e">
        <f>'Infrastructure Benchmarks-ref'!$O121/'Infrastructure Benchmarks-ref'!$M121</f>
        <v>#DIV/0!</v>
      </c>
      <c r="S121" s="30"/>
    </row>
    <row r="122" spans="1:19" x14ac:dyDescent="0.2">
      <c r="A122" s="25" t="s">
        <v>70</v>
      </c>
      <c r="B122" s="26" t="s">
        <v>2</v>
      </c>
      <c r="C122" s="26" t="s">
        <v>39</v>
      </c>
      <c r="D122" s="26" t="s">
        <v>106</v>
      </c>
      <c r="E122" s="26"/>
      <c r="F122" s="26" t="s">
        <v>116</v>
      </c>
      <c r="G122" s="26" t="s">
        <v>105</v>
      </c>
      <c r="H122" s="26"/>
      <c r="I122" s="27" t="s">
        <v>113</v>
      </c>
      <c r="J122" s="27" t="s">
        <v>18</v>
      </c>
      <c r="K122" s="28"/>
      <c r="L122" s="28"/>
      <c r="M122" s="28"/>
      <c r="N122" s="27" t="s">
        <v>23</v>
      </c>
      <c r="O122" s="28">
        <v>5831423.8499999996</v>
      </c>
      <c r="P122" s="29" t="e">
        <f>'Infrastructure Benchmarks-ref'!$O122/'Infrastructure Benchmarks-ref'!$K122</f>
        <v>#DIV/0!</v>
      </c>
      <c r="Q122" s="29" t="e">
        <f>'Infrastructure Benchmarks-ref'!$O122/'Infrastructure Benchmarks-ref'!$L122</f>
        <v>#DIV/0!</v>
      </c>
      <c r="R122" s="29" t="e">
        <f>'Infrastructure Benchmarks-ref'!$O122/'Infrastructure Benchmarks-ref'!$M122</f>
        <v>#DIV/0!</v>
      </c>
      <c r="S122" s="30"/>
    </row>
    <row r="123" spans="1:19" x14ac:dyDescent="0.2">
      <c r="A123" s="25" t="s">
        <v>70</v>
      </c>
      <c r="B123" s="26" t="s">
        <v>2</v>
      </c>
      <c r="C123" s="26" t="s">
        <v>39</v>
      </c>
      <c r="D123" s="26" t="s">
        <v>106</v>
      </c>
      <c r="E123" s="26"/>
      <c r="F123" s="26" t="s">
        <v>116</v>
      </c>
      <c r="G123" s="26" t="s">
        <v>105</v>
      </c>
      <c r="H123" s="26"/>
      <c r="I123" s="27" t="s">
        <v>113</v>
      </c>
      <c r="J123" s="27" t="s">
        <v>18</v>
      </c>
      <c r="K123" s="28"/>
      <c r="L123" s="28"/>
      <c r="M123" s="28"/>
      <c r="N123" s="27" t="s">
        <v>25</v>
      </c>
      <c r="O123" s="28">
        <v>3237862.23</v>
      </c>
      <c r="P123" s="29" t="e">
        <f>'Infrastructure Benchmarks-ref'!$O123/'Infrastructure Benchmarks-ref'!$K123</f>
        <v>#DIV/0!</v>
      </c>
      <c r="Q123" s="29" t="e">
        <f>'Infrastructure Benchmarks-ref'!$O123/'Infrastructure Benchmarks-ref'!$L123</f>
        <v>#DIV/0!</v>
      </c>
      <c r="R123" s="29" t="e">
        <f>'Infrastructure Benchmarks-ref'!$O123/'Infrastructure Benchmarks-ref'!$M123</f>
        <v>#DIV/0!</v>
      </c>
      <c r="S123" s="30"/>
    </row>
    <row r="124" spans="1:19" x14ac:dyDescent="0.2">
      <c r="A124" s="25" t="s">
        <v>70</v>
      </c>
      <c r="B124" s="26" t="s">
        <v>2</v>
      </c>
      <c r="C124" s="26" t="s">
        <v>39</v>
      </c>
      <c r="D124" s="26" t="s">
        <v>106</v>
      </c>
      <c r="E124" s="26"/>
      <c r="F124" s="26" t="s">
        <v>116</v>
      </c>
      <c r="G124" s="26" t="s">
        <v>105</v>
      </c>
      <c r="H124" s="26"/>
      <c r="I124" s="27" t="s">
        <v>113</v>
      </c>
      <c r="J124" s="27" t="s">
        <v>18</v>
      </c>
      <c r="K124" s="28"/>
      <c r="L124" s="28"/>
      <c r="M124" s="28"/>
      <c r="N124" s="27" t="s">
        <v>46</v>
      </c>
      <c r="O124" s="28"/>
      <c r="P124" s="29" t="e">
        <f>'Infrastructure Benchmarks-ref'!$O124/'Infrastructure Benchmarks-ref'!$K124</f>
        <v>#DIV/0!</v>
      </c>
      <c r="Q124" s="29" t="e">
        <f>'Infrastructure Benchmarks-ref'!$O124/'Infrastructure Benchmarks-ref'!$L124</f>
        <v>#DIV/0!</v>
      </c>
      <c r="R124" s="29" t="e">
        <f>'Infrastructure Benchmarks-ref'!$O124/'Infrastructure Benchmarks-ref'!$M124</f>
        <v>#DIV/0!</v>
      </c>
      <c r="S124" s="30"/>
    </row>
    <row r="125" spans="1:19" x14ac:dyDescent="0.2">
      <c r="A125" s="25" t="s">
        <v>70</v>
      </c>
      <c r="B125" s="26" t="s">
        <v>2</v>
      </c>
      <c r="C125" s="26" t="s">
        <v>39</v>
      </c>
      <c r="D125" s="26" t="s">
        <v>106</v>
      </c>
      <c r="E125" s="26"/>
      <c r="F125" s="26" t="s">
        <v>116</v>
      </c>
      <c r="G125" s="26" t="s">
        <v>105</v>
      </c>
      <c r="H125" s="26"/>
      <c r="I125" s="27" t="s">
        <v>113</v>
      </c>
      <c r="J125" s="27" t="s">
        <v>18</v>
      </c>
      <c r="K125" s="28"/>
      <c r="L125" s="28"/>
      <c r="M125" s="28"/>
      <c r="N125" s="27" t="s">
        <v>34</v>
      </c>
      <c r="O125" s="28">
        <v>4052802.45</v>
      </c>
      <c r="P125" s="29" t="e">
        <f>'Infrastructure Benchmarks-ref'!$O125/'Infrastructure Benchmarks-ref'!$K125</f>
        <v>#DIV/0!</v>
      </c>
      <c r="Q125" s="29" t="e">
        <f>'Infrastructure Benchmarks-ref'!$O125/'Infrastructure Benchmarks-ref'!$L125</f>
        <v>#DIV/0!</v>
      </c>
      <c r="R125" s="29" t="e">
        <f>'Infrastructure Benchmarks-ref'!$O125/'Infrastructure Benchmarks-ref'!$M125</f>
        <v>#DIV/0!</v>
      </c>
      <c r="S125" s="30"/>
    </row>
    <row r="126" spans="1:19" x14ac:dyDescent="0.2">
      <c r="A126" s="25" t="s">
        <v>70</v>
      </c>
      <c r="B126" s="26" t="s">
        <v>2</v>
      </c>
      <c r="C126" s="26" t="s">
        <v>39</v>
      </c>
      <c r="D126" s="26" t="s">
        <v>106</v>
      </c>
      <c r="E126" s="26"/>
      <c r="F126" s="26" t="s">
        <v>116</v>
      </c>
      <c r="G126" s="26" t="s">
        <v>105</v>
      </c>
      <c r="H126" s="26"/>
      <c r="I126" s="27" t="s">
        <v>113</v>
      </c>
      <c r="J126" s="27" t="s">
        <v>18</v>
      </c>
      <c r="K126" s="28"/>
      <c r="L126" s="28"/>
      <c r="M126" s="28"/>
      <c r="N126" s="27" t="s">
        <v>26</v>
      </c>
      <c r="O126" s="28">
        <v>2126733.36</v>
      </c>
      <c r="P126" s="29" t="e">
        <f>'Infrastructure Benchmarks-ref'!$O126/'Infrastructure Benchmarks-ref'!$K126</f>
        <v>#DIV/0!</v>
      </c>
      <c r="Q126" s="29" t="e">
        <f>'Infrastructure Benchmarks-ref'!$O126/'Infrastructure Benchmarks-ref'!$L126</f>
        <v>#DIV/0!</v>
      </c>
      <c r="R126" s="29" t="e">
        <f>'Infrastructure Benchmarks-ref'!$O126/'Infrastructure Benchmarks-ref'!$M126</f>
        <v>#DIV/0!</v>
      </c>
      <c r="S126" s="30"/>
    </row>
    <row r="127" spans="1:19" x14ac:dyDescent="0.2">
      <c r="A127" s="25" t="s">
        <v>70</v>
      </c>
      <c r="B127" s="26" t="s">
        <v>2</v>
      </c>
      <c r="C127" s="26" t="s">
        <v>39</v>
      </c>
      <c r="D127" s="26" t="s">
        <v>106</v>
      </c>
      <c r="E127" s="26"/>
      <c r="F127" s="26" t="s">
        <v>116</v>
      </c>
      <c r="G127" s="26" t="s">
        <v>105</v>
      </c>
      <c r="H127" s="26"/>
      <c r="I127" s="27" t="s">
        <v>113</v>
      </c>
      <c r="J127" s="27" t="s">
        <v>18</v>
      </c>
      <c r="K127" s="28"/>
      <c r="L127" s="28"/>
      <c r="M127" s="28"/>
      <c r="N127" s="27" t="s">
        <v>28</v>
      </c>
      <c r="O127" s="28">
        <v>1338141.3700000001</v>
      </c>
      <c r="P127" s="29" t="e">
        <f>'Infrastructure Benchmarks-ref'!$O127/'Infrastructure Benchmarks-ref'!$K127</f>
        <v>#DIV/0!</v>
      </c>
      <c r="Q127" s="29" t="e">
        <f>'Infrastructure Benchmarks-ref'!$O127/'Infrastructure Benchmarks-ref'!$L127</f>
        <v>#DIV/0!</v>
      </c>
      <c r="R127" s="29" t="e">
        <f>'Infrastructure Benchmarks-ref'!$O127/'Infrastructure Benchmarks-ref'!$M127</f>
        <v>#DIV/0!</v>
      </c>
      <c r="S127" s="30"/>
    </row>
    <row r="128" spans="1:19" x14ac:dyDescent="0.2">
      <c r="A128" s="25" t="s">
        <v>70</v>
      </c>
      <c r="B128" s="26" t="s">
        <v>2</v>
      </c>
      <c r="C128" s="26" t="s">
        <v>39</v>
      </c>
      <c r="D128" s="26" t="s">
        <v>106</v>
      </c>
      <c r="E128" s="26"/>
      <c r="F128" s="26" t="s">
        <v>116</v>
      </c>
      <c r="G128" s="26" t="s">
        <v>105</v>
      </c>
      <c r="H128" s="26"/>
      <c r="I128" s="27" t="s">
        <v>113</v>
      </c>
      <c r="J128" s="27" t="s">
        <v>18</v>
      </c>
      <c r="K128" s="28"/>
      <c r="L128" s="28"/>
      <c r="M128" s="28"/>
      <c r="N128" s="27" t="s">
        <v>47</v>
      </c>
      <c r="O128" s="28">
        <v>1119535.8700000001</v>
      </c>
      <c r="P128" s="29" t="e">
        <f>'Infrastructure Benchmarks-ref'!$O128/'Infrastructure Benchmarks-ref'!$K128</f>
        <v>#DIV/0!</v>
      </c>
      <c r="Q128" s="29" t="e">
        <f>'Infrastructure Benchmarks-ref'!$O128/'Infrastructure Benchmarks-ref'!$L128</f>
        <v>#DIV/0!</v>
      </c>
      <c r="R128" s="29" t="e">
        <f>'Infrastructure Benchmarks-ref'!$O128/'Infrastructure Benchmarks-ref'!$M128</f>
        <v>#DIV/0!</v>
      </c>
      <c r="S128" s="30"/>
    </row>
    <row r="129" spans="1:19" x14ac:dyDescent="0.2">
      <c r="A129" s="25" t="s">
        <v>70</v>
      </c>
      <c r="B129" s="26" t="s">
        <v>2</v>
      </c>
      <c r="C129" s="26" t="s">
        <v>39</v>
      </c>
      <c r="D129" s="26" t="s">
        <v>106</v>
      </c>
      <c r="E129" s="26"/>
      <c r="F129" s="26" t="s">
        <v>116</v>
      </c>
      <c r="G129" s="26" t="s">
        <v>105</v>
      </c>
      <c r="H129" s="26"/>
      <c r="I129" s="27" t="s">
        <v>113</v>
      </c>
      <c r="J129" s="27" t="s">
        <v>18</v>
      </c>
      <c r="K129" s="28"/>
      <c r="L129" s="28"/>
      <c r="M129" s="28"/>
      <c r="N129" s="27" t="s">
        <v>27</v>
      </c>
      <c r="O129" s="28">
        <v>1220325.1200000001</v>
      </c>
      <c r="P129" s="29" t="e">
        <f>'Infrastructure Benchmarks-ref'!$O129/'Infrastructure Benchmarks-ref'!$K129</f>
        <v>#DIV/0!</v>
      </c>
      <c r="Q129" s="29" t="e">
        <f>'Infrastructure Benchmarks-ref'!$O129/'Infrastructure Benchmarks-ref'!$L129</f>
        <v>#DIV/0!</v>
      </c>
      <c r="R129" s="29" t="e">
        <f>'Infrastructure Benchmarks-ref'!$O129/'Infrastructure Benchmarks-ref'!$M129</f>
        <v>#DIV/0!</v>
      </c>
      <c r="S129" s="30"/>
    </row>
    <row r="130" spans="1:19" x14ac:dyDescent="0.2">
      <c r="A130" s="25" t="s">
        <v>70</v>
      </c>
      <c r="B130" s="26" t="s">
        <v>2</v>
      </c>
      <c r="C130" s="26" t="s">
        <v>39</v>
      </c>
      <c r="D130" s="26" t="s">
        <v>106</v>
      </c>
      <c r="E130" s="26"/>
      <c r="F130" s="26" t="s">
        <v>116</v>
      </c>
      <c r="G130" s="26" t="s">
        <v>105</v>
      </c>
      <c r="H130" s="26"/>
      <c r="I130" s="27" t="s">
        <v>113</v>
      </c>
      <c r="J130" s="27" t="s">
        <v>18</v>
      </c>
      <c r="K130" s="28"/>
      <c r="L130" s="28"/>
      <c r="M130" s="28"/>
      <c r="N130" s="27" t="s">
        <v>48</v>
      </c>
      <c r="O130" s="28"/>
      <c r="P130" s="29" t="e">
        <f>'Infrastructure Benchmarks-ref'!$O130/'Infrastructure Benchmarks-ref'!$K130</f>
        <v>#DIV/0!</v>
      </c>
      <c r="Q130" s="29" t="e">
        <f>'Infrastructure Benchmarks-ref'!$O130/'Infrastructure Benchmarks-ref'!$L130</f>
        <v>#DIV/0!</v>
      </c>
      <c r="R130" s="29" t="e">
        <f>'Infrastructure Benchmarks-ref'!$O130/'Infrastructure Benchmarks-ref'!$M130</f>
        <v>#DIV/0!</v>
      </c>
      <c r="S130" s="30"/>
    </row>
    <row r="131" spans="1:19" x14ac:dyDescent="0.2">
      <c r="A131" s="25" t="s">
        <v>70</v>
      </c>
      <c r="B131" s="26" t="s">
        <v>2</v>
      </c>
      <c r="C131" s="26" t="s">
        <v>39</v>
      </c>
      <c r="D131" s="26" t="s">
        <v>106</v>
      </c>
      <c r="E131" s="26"/>
      <c r="F131" s="26" t="s">
        <v>116</v>
      </c>
      <c r="G131" s="26" t="s">
        <v>105</v>
      </c>
      <c r="H131" s="26"/>
      <c r="I131" s="27" t="s">
        <v>113</v>
      </c>
      <c r="J131" s="27" t="s">
        <v>18</v>
      </c>
      <c r="K131" s="28"/>
      <c r="L131" s="28"/>
      <c r="M131" s="28"/>
      <c r="N131" s="27" t="s">
        <v>49</v>
      </c>
      <c r="O131" s="31"/>
      <c r="P131" s="29" t="e">
        <f>'Infrastructure Benchmarks-ref'!$O131/'Infrastructure Benchmarks-ref'!$K131</f>
        <v>#DIV/0!</v>
      </c>
      <c r="Q131" s="29" t="e">
        <f>'Infrastructure Benchmarks-ref'!$O131/'Infrastructure Benchmarks-ref'!$L131</f>
        <v>#DIV/0!</v>
      </c>
      <c r="R131" s="29" t="e">
        <f>'Infrastructure Benchmarks-ref'!$O131/'Infrastructure Benchmarks-ref'!$M131</f>
        <v>#DIV/0!</v>
      </c>
      <c r="S131" s="30"/>
    </row>
    <row r="132" spans="1:19" x14ac:dyDescent="0.2">
      <c r="A132" s="25" t="s">
        <v>70</v>
      </c>
      <c r="B132" s="26" t="s">
        <v>2</v>
      </c>
      <c r="C132" s="26" t="s">
        <v>39</v>
      </c>
      <c r="D132" s="26" t="s">
        <v>106</v>
      </c>
      <c r="E132" s="26"/>
      <c r="F132" s="26" t="s">
        <v>116</v>
      </c>
      <c r="G132" s="26" t="s">
        <v>105</v>
      </c>
      <c r="H132" s="26"/>
      <c r="I132" s="27" t="s">
        <v>113</v>
      </c>
      <c r="J132" s="27" t="s">
        <v>18</v>
      </c>
      <c r="K132" s="28"/>
      <c r="L132" s="28"/>
      <c r="M132" s="28"/>
      <c r="N132" s="27" t="s">
        <v>50</v>
      </c>
      <c r="O132" s="31"/>
      <c r="P132" s="29" t="e">
        <f>'Infrastructure Benchmarks-ref'!$O132/'Infrastructure Benchmarks-ref'!$K132</f>
        <v>#DIV/0!</v>
      </c>
      <c r="Q132" s="29" t="e">
        <f>'Infrastructure Benchmarks-ref'!$O132/'Infrastructure Benchmarks-ref'!$L132</f>
        <v>#DIV/0!</v>
      </c>
      <c r="R132" s="29" t="e">
        <f>'Infrastructure Benchmarks-ref'!$O132/'Infrastructure Benchmarks-ref'!$M132</f>
        <v>#DIV/0!</v>
      </c>
      <c r="S132" s="30"/>
    </row>
    <row r="133" spans="1:19" x14ac:dyDescent="0.2">
      <c r="A133" s="25" t="s">
        <v>70</v>
      </c>
      <c r="B133" s="26" t="s">
        <v>2</v>
      </c>
      <c r="C133" s="26" t="s">
        <v>39</v>
      </c>
      <c r="D133" s="26" t="s">
        <v>106</v>
      </c>
      <c r="E133" s="26"/>
      <c r="F133" s="26" t="s">
        <v>116</v>
      </c>
      <c r="G133" s="26" t="s">
        <v>105</v>
      </c>
      <c r="H133" s="26"/>
      <c r="I133" s="27" t="s">
        <v>113</v>
      </c>
      <c r="J133" s="27" t="s">
        <v>18</v>
      </c>
      <c r="K133" s="28"/>
      <c r="L133" s="28"/>
      <c r="M133" s="28"/>
      <c r="N133" s="27" t="s">
        <v>51</v>
      </c>
      <c r="O133" s="28"/>
      <c r="P133" s="29" t="e">
        <f>'Infrastructure Benchmarks-ref'!$O133/'Infrastructure Benchmarks-ref'!$K133</f>
        <v>#DIV/0!</v>
      </c>
      <c r="Q133" s="29" t="e">
        <f>'Infrastructure Benchmarks-ref'!$O133/'Infrastructure Benchmarks-ref'!$L133</f>
        <v>#DIV/0!</v>
      </c>
      <c r="R133" s="29" t="e">
        <f>'Infrastructure Benchmarks-ref'!$O133/'Infrastructure Benchmarks-ref'!$M133</f>
        <v>#DIV/0!</v>
      </c>
      <c r="S133" s="30"/>
    </row>
    <row r="134" spans="1:19" x14ac:dyDescent="0.2">
      <c r="A134" s="25" t="s">
        <v>70</v>
      </c>
      <c r="B134" s="26" t="s">
        <v>2</v>
      </c>
      <c r="C134" s="26" t="s">
        <v>39</v>
      </c>
      <c r="D134" s="26" t="s">
        <v>106</v>
      </c>
      <c r="E134" s="26"/>
      <c r="F134" s="26" t="s">
        <v>116</v>
      </c>
      <c r="G134" s="26" t="s">
        <v>105</v>
      </c>
      <c r="H134" s="26"/>
      <c r="I134" s="27" t="s">
        <v>113</v>
      </c>
      <c r="J134" s="27" t="s">
        <v>18</v>
      </c>
      <c r="K134" s="28"/>
      <c r="L134" s="28"/>
      <c r="M134" s="28"/>
      <c r="N134" s="27" t="s">
        <v>52</v>
      </c>
      <c r="O134" s="28"/>
      <c r="P134" s="29" t="e">
        <f>'Infrastructure Benchmarks-ref'!$O134/'Infrastructure Benchmarks-ref'!$K134</f>
        <v>#DIV/0!</v>
      </c>
      <c r="Q134" s="29" t="e">
        <f>'Infrastructure Benchmarks-ref'!$O134/'Infrastructure Benchmarks-ref'!$L134</f>
        <v>#DIV/0!</v>
      </c>
      <c r="R134" s="29" t="e">
        <f>'Infrastructure Benchmarks-ref'!$O134/'Infrastructure Benchmarks-ref'!$M134</f>
        <v>#DIV/0!</v>
      </c>
      <c r="S134" s="30"/>
    </row>
    <row r="135" spans="1:19" x14ac:dyDescent="0.2">
      <c r="A135" s="25" t="s">
        <v>70</v>
      </c>
      <c r="B135" s="26" t="s">
        <v>2</v>
      </c>
      <c r="C135" s="26" t="s">
        <v>39</v>
      </c>
      <c r="D135" s="26" t="s">
        <v>106</v>
      </c>
      <c r="E135" s="26"/>
      <c r="F135" s="26" t="s">
        <v>116</v>
      </c>
      <c r="G135" s="26" t="s">
        <v>105</v>
      </c>
      <c r="H135" s="26"/>
      <c r="I135" s="27" t="s">
        <v>113</v>
      </c>
      <c r="J135" s="27" t="s">
        <v>18</v>
      </c>
      <c r="K135" s="28"/>
      <c r="L135" s="28"/>
      <c r="M135" s="28"/>
      <c r="N135" s="27" t="s">
        <v>53</v>
      </c>
      <c r="O135" s="28"/>
      <c r="P135" s="29" t="e">
        <f>'Infrastructure Benchmarks-ref'!$O135/'Infrastructure Benchmarks-ref'!$K135</f>
        <v>#DIV/0!</v>
      </c>
      <c r="Q135" s="29" t="e">
        <f>'Infrastructure Benchmarks-ref'!$O135/'Infrastructure Benchmarks-ref'!$L135</f>
        <v>#DIV/0!</v>
      </c>
      <c r="R135" s="29" t="e">
        <f>'Infrastructure Benchmarks-ref'!$O135/'Infrastructure Benchmarks-ref'!$M135</f>
        <v>#DIV/0!</v>
      </c>
      <c r="S135" s="30"/>
    </row>
    <row r="136" spans="1:19" x14ac:dyDescent="0.2">
      <c r="A136" s="25" t="s">
        <v>70</v>
      </c>
      <c r="B136" s="26" t="s">
        <v>2</v>
      </c>
      <c r="C136" s="26" t="s">
        <v>39</v>
      </c>
      <c r="D136" s="26" t="s">
        <v>106</v>
      </c>
      <c r="E136" s="26"/>
      <c r="F136" s="26" t="s">
        <v>116</v>
      </c>
      <c r="G136" s="26" t="s">
        <v>105</v>
      </c>
      <c r="H136" s="26"/>
      <c r="I136" s="27" t="s">
        <v>113</v>
      </c>
      <c r="J136" s="27" t="s">
        <v>18</v>
      </c>
      <c r="K136" s="28"/>
      <c r="L136" s="28"/>
      <c r="M136" s="28"/>
      <c r="N136" s="27" t="s">
        <v>55</v>
      </c>
      <c r="O136" s="28"/>
      <c r="P136" s="29" t="e">
        <f>'Infrastructure Benchmarks-ref'!$O136/'Infrastructure Benchmarks-ref'!$K136</f>
        <v>#DIV/0!</v>
      </c>
      <c r="Q136" s="29" t="e">
        <f>'Infrastructure Benchmarks-ref'!$O136/'Infrastructure Benchmarks-ref'!$L136</f>
        <v>#DIV/0!</v>
      </c>
      <c r="R136" s="29" t="e">
        <f>'Infrastructure Benchmarks-ref'!$O136/'Infrastructure Benchmarks-ref'!$M136</f>
        <v>#DIV/0!</v>
      </c>
      <c r="S136" s="30"/>
    </row>
    <row r="137" spans="1:19" x14ac:dyDescent="0.2">
      <c r="A137" s="25" t="s">
        <v>70</v>
      </c>
      <c r="B137" s="26" t="s">
        <v>2</v>
      </c>
      <c r="C137" s="26" t="s">
        <v>39</v>
      </c>
      <c r="D137" s="26" t="s">
        <v>106</v>
      </c>
      <c r="E137" s="26"/>
      <c r="F137" s="26" t="s">
        <v>116</v>
      </c>
      <c r="G137" s="26" t="s">
        <v>105</v>
      </c>
      <c r="H137" s="26"/>
      <c r="I137" s="27" t="s">
        <v>113</v>
      </c>
      <c r="J137" s="27" t="s">
        <v>18</v>
      </c>
      <c r="K137" s="28"/>
      <c r="L137" s="28"/>
      <c r="M137" s="28"/>
      <c r="N137" s="27" t="s">
        <v>54</v>
      </c>
      <c r="O137" s="31"/>
      <c r="P137" s="29" t="e">
        <f>'Infrastructure Benchmarks-ref'!$O137/'Infrastructure Benchmarks-ref'!$K137</f>
        <v>#DIV/0!</v>
      </c>
      <c r="Q137" s="29" t="e">
        <f>'Infrastructure Benchmarks-ref'!$O137/'Infrastructure Benchmarks-ref'!$L137</f>
        <v>#DIV/0!</v>
      </c>
      <c r="R137" s="29" t="e">
        <f>'Infrastructure Benchmarks-ref'!$O137/'Infrastructure Benchmarks-ref'!$M137</f>
        <v>#DIV/0!</v>
      </c>
      <c r="S137" s="30"/>
    </row>
    <row r="138" spans="1:19" x14ac:dyDescent="0.2">
      <c r="A138" s="25" t="s">
        <v>70</v>
      </c>
      <c r="B138" s="26" t="s">
        <v>2</v>
      </c>
      <c r="C138" s="26" t="s">
        <v>39</v>
      </c>
      <c r="D138" s="26" t="s">
        <v>106</v>
      </c>
      <c r="E138" s="26"/>
      <c r="F138" s="26" t="s">
        <v>116</v>
      </c>
      <c r="G138" s="26" t="s">
        <v>105</v>
      </c>
      <c r="H138" s="26"/>
      <c r="I138" s="27" t="s">
        <v>113</v>
      </c>
      <c r="J138" s="27" t="s">
        <v>18</v>
      </c>
      <c r="K138" s="28"/>
      <c r="L138" s="28"/>
      <c r="M138" s="28"/>
      <c r="N138" s="27" t="s">
        <v>56</v>
      </c>
      <c r="O138" s="28"/>
      <c r="P138" s="29" t="e">
        <f>'Infrastructure Benchmarks-ref'!$O138/'Infrastructure Benchmarks-ref'!$K138</f>
        <v>#DIV/0!</v>
      </c>
      <c r="Q138" s="29" t="e">
        <f>'Infrastructure Benchmarks-ref'!$O138/'Infrastructure Benchmarks-ref'!$L138</f>
        <v>#DIV/0!</v>
      </c>
      <c r="R138" s="29" t="e">
        <f>'Infrastructure Benchmarks-ref'!$O138/'Infrastructure Benchmarks-ref'!$M138</f>
        <v>#DIV/0!</v>
      </c>
      <c r="S138" s="30"/>
    </row>
    <row r="139" spans="1:19" x14ac:dyDescent="0.2">
      <c r="A139" s="25" t="s">
        <v>70</v>
      </c>
      <c r="B139" s="26" t="s">
        <v>2</v>
      </c>
      <c r="C139" s="26" t="s">
        <v>39</v>
      </c>
      <c r="D139" s="26" t="s">
        <v>106</v>
      </c>
      <c r="E139" s="26"/>
      <c r="F139" s="26" t="s">
        <v>116</v>
      </c>
      <c r="G139" s="26" t="s">
        <v>105</v>
      </c>
      <c r="H139" s="26"/>
      <c r="I139" s="27" t="s">
        <v>113</v>
      </c>
      <c r="J139" s="27" t="s">
        <v>18</v>
      </c>
      <c r="K139" s="28"/>
      <c r="L139" s="28"/>
      <c r="M139" s="28"/>
      <c r="N139" s="27" t="s">
        <v>73</v>
      </c>
      <c r="O139" s="28">
        <v>2205027.31</v>
      </c>
      <c r="P139" s="29" t="e">
        <f>'Infrastructure Benchmarks-ref'!$O139/'Infrastructure Benchmarks-ref'!$K139</f>
        <v>#DIV/0!</v>
      </c>
      <c r="Q139" s="29" t="e">
        <f>'Infrastructure Benchmarks-ref'!$O139/'Infrastructure Benchmarks-ref'!$L139</f>
        <v>#DIV/0!</v>
      </c>
      <c r="R139" s="29" t="e">
        <f>'Infrastructure Benchmarks-ref'!$O139/'Infrastructure Benchmarks-ref'!$M139</f>
        <v>#DIV/0!</v>
      </c>
      <c r="S139" s="30"/>
    </row>
    <row r="140" spans="1:19" x14ac:dyDescent="0.2">
      <c r="A140" s="25" t="s">
        <v>70</v>
      </c>
      <c r="B140" s="26" t="s">
        <v>2</v>
      </c>
      <c r="C140" s="26" t="s">
        <v>39</v>
      </c>
      <c r="D140" s="26" t="s">
        <v>106</v>
      </c>
      <c r="E140" s="26"/>
      <c r="F140" s="26" t="s">
        <v>116</v>
      </c>
      <c r="G140" s="26" t="s">
        <v>105</v>
      </c>
      <c r="H140" s="26"/>
      <c r="I140" s="27" t="s">
        <v>113</v>
      </c>
      <c r="J140" s="27" t="s">
        <v>18</v>
      </c>
      <c r="K140" s="28"/>
      <c r="L140" s="28"/>
      <c r="M140" s="28"/>
      <c r="N140" s="27" t="s">
        <v>57</v>
      </c>
      <c r="O140" s="63"/>
      <c r="P140" s="29" t="e">
        <f>'Infrastructure Benchmarks-ref'!$O140/'Infrastructure Benchmarks-ref'!$K140</f>
        <v>#DIV/0!</v>
      </c>
      <c r="Q140" s="29" t="e">
        <f>'Infrastructure Benchmarks-ref'!$O140/'Infrastructure Benchmarks-ref'!$L140</f>
        <v>#DIV/0!</v>
      </c>
      <c r="R140" s="29" t="e">
        <f>'Infrastructure Benchmarks-ref'!$O140/'Infrastructure Benchmarks-ref'!$M140</f>
        <v>#DIV/0!</v>
      </c>
      <c r="S140" s="30"/>
    </row>
    <row r="141" spans="1:19" x14ac:dyDescent="0.2">
      <c r="A141" s="25" t="s">
        <v>70</v>
      </c>
      <c r="B141" s="26" t="s">
        <v>2</v>
      </c>
      <c r="C141" s="26" t="s">
        <v>39</v>
      </c>
      <c r="D141" s="26" t="s">
        <v>106</v>
      </c>
      <c r="E141" s="26"/>
      <c r="F141" s="26" t="s">
        <v>116</v>
      </c>
      <c r="G141" s="26" t="s">
        <v>105</v>
      </c>
      <c r="H141" s="26"/>
      <c r="I141" s="27" t="s">
        <v>113</v>
      </c>
      <c r="J141" s="27" t="s">
        <v>18</v>
      </c>
      <c r="K141" s="28"/>
      <c r="L141" s="28"/>
      <c r="M141" s="28"/>
      <c r="N141" s="27" t="s">
        <v>58</v>
      </c>
      <c r="O141" s="31">
        <v>29000000</v>
      </c>
      <c r="P141" s="29" t="e">
        <f>'Infrastructure Benchmarks-ref'!$O141/'Infrastructure Benchmarks-ref'!$K141</f>
        <v>#DIV/0!</v>
      </c>
      <c r="Q141" s="29" t="e">
        <f>'Infrastructure Benchmarks-ref'!$O141/'Infrastructure Benchmarks-ref'!$L141</f>
        <v>#DIV/0!</v>
      </c>
      <c r="R141" s="29" t="e">
        <f>'Infrastructure Benchmarks-ref'!$O141/'Infrastructure Benchmarks-ref'!$M141</f>
        <v>#DIV/0!</v>
      </c>
      <c r="S141" s="30"/>
    </row>
    <row r="142" spans="1:19" x14ac:dyDescent="0.2">
      <c r="A142" s="25" t="s">
        <v>70</v>
      </c>
      <c r="B142" s="26" t="s">
        <v>2</v>
      </c>
      <c r="C142" s="26" t="s">
        <v>39</v>
      </c>
      <c r="D142" s="26" t="s">
        <v>106</v>
      </c>
      <c r="E142" s="26"/>
      <c r="F142" s="26" t="s">
        <v>116</v>
      </c>
      <c r="G142" s="26" t="s">
        <v>105</v>
      </c>
      <c r="H142" s="26"/>
      <c r="I142" s="27" t="s">
        <v>113</v>
      </c>
      <c r="J142" s="27" t="s">
        <v>18</v>
      </c>
      <c r="K142" s="28"/>
      <c r="L142" s="28"/>
      <c r="M142" s="28"/>
      <c r="N142" s="27" t="s">
        <v>59</v>
      </c>
      <c r="O142" s="31"/>
      <c r="P142" s="29" t="e">
        <f>'Infrastructure Benchmarks-ref'!$O142/'Infrastructure Benchmarks-ref'!$K142</f>
        <v>#DIV/0!</v>
      </c>
      <c r="Q142" s="29" t="e">
        <f>'Infrastructure Benchmarks-ref'!$O142/'Infrastructure Benchmarks-ref'!$L142</f>
        <v>#DIV/0!</v>
      </c>
      <c r="R142" s="29" t="e">
        <f>'Infrastructure Benchmarks-ref'!$O142/'Infrastructure Benchmarks-ref'!$M142</f>
        <v>#DIV/0!</v>
      </c>
      <c r="S142" s="30"/>
    </row>
    <row r="143" spans="1:19" x14ac:dyDescent="0.2">
      <c r="A143" s="25" t="s">
        <v>70</v>
      </c>
      <c r="B143" s="26" t="s">
        <v>2</v>
      </c>
      <c r="C143" s="26" t="s">
        <v>39</v>
      </c>
      <c r="D143" s="26" t="s">
        <v>106</v>
      </c>
      <c r="E143" s="26"/>
      <c r="F143" s="26" t="s">
        <v>116</v>
      </c>
      <c r="G143" s="26" t="s">
        <v>105</v>
      </c>
      <c r="H143" s="26"/>
      <c r="I143" s="27" t="s">
        <v>113</v>
      </c>
      <c r="J143" s="27" t="s">
        <v>18</v>
      </c>
      <c r="K143" s="28"/>
      <c r="L143" s="28"/>
      <c r="M143" s="28"/>
      <c r="N143" s="27" t="s">
        <v>60</v>
      </c>
      <c r="O143" s="28"/>
      <c r="P143" s="29" t="e">
        <f>'Infrastructure Benchmarks-ref'!$O143/'Infrastructure Benchmarks-ref'!$K143</f>
        <v>#DIV/0!</v>
      </c>
      <c r="Q143" s="29" t="e">
        <f>'Infrastructure Benchmarks-ref'!$O143/'Infrastructure Benchmarks-ref'!$L143</f>
        <v>#DIV/0!</v>
      </c>
      <c r="R143" s="29" t="e">
        <f>'Infrastructure Benchmarks-ref'!$O143/'Infrastructure Benchmarks-ref'!$M143</f>
        <v>#DIV/0!</v>
      </c>
      <c r="S143" s="30"/>
    </row>
    <row r="144" spans="1:19" ht="16" thickBot="1" x14ac:dyDescent="0.25">
      <c r="A144" s="25" t="s">
        <v>70</v>
      </c>
      <c r="B144" s="26" t="s">
        <v>2</v>
      </c>
      <c r="C144" s="26" t="s">
        <v>39</v>
      </c>
      <c r="D144" s="26" t="s">
        <v>106</v>
      </c>
      <c r="E144" s="26"/>
      <c r="F144" s="26" t="s">
        <v>116</v>
      </c>
      <c r="G144" s="26" t="s">
        <v>105</v>
      </c>
      <c r="H144" s="26"/>
      <c r="I144" s="27" t="s">
        <v>113</v>
      </c>
      <c r="J144" s="27" t="s">
        <v>18</v>
      </c>
      <c r="K144" s="28"/>
      <c r="L144" s="28"/>
      <c r="M144" s="28"/>
      <c r="N144" s="27" t="s">
        <v>61</v>
      </c>
      <c r="O144" s="28"/>
      <c r="P144" s="29" t="e">
        <f>'Infrastructure Benchmarks-ref'!$O144/'Infrastructure Benchmarks-ref'!$K144</f>
        <v>#DIV/0!</v>
      </c>
      <c r="Q144" s="29" t="e">
        <f>'Infrastructure Benchmarks-ref'!$O144/'Infrastructure Benchmarks-ref'!$L144</f>
        <v>#DIV/0!</v>
      </c>
      <c r="R144" s="29" t="e">
        <f>'Infrastructure Benchmarks-ref'!$O144/'Infrastructure Benchmarks-ref'!$M144</f>
        <v>#DIV/0!</v>
      </c>
      <c r="S144" s="30"/>
    </row>
    <row r="145" spans="1:19" ht="17" thickTop="1" thickBot="1" x14ac:dyDescent="0.25">
      <c r="A145" s="54"/>
      <c r="B145" s="55"/>
      <c r="C145" s="55"/>
      <c r="D145" s="55"/>
      <c r="E145" s="55"/>
      <c r="F145" s="55"/>
      <c r="G145" s="55"/>
      <c r="H145" s="55"/>
      <c r="I145" s="56"/>
      <c r="J145" s="56"/>
      <c r="K145" s="57"/>
      <c r="L145" s="57"/>
      <c r="M145" s="57"/>
      <c r="N145" s="56"/>
      <c r="O145" s="57"/>
      <c r="P145" s="58"/>
      <c r="Q145" s="58"/>
      <c r="R145" s="58"/>
      <c r="S145" s="59"/>
    </row>
    <row r="146" spans="1:19" ht="16" thickTop="1" x14ac:dyDescent="0.2">
      <c r="A146" s="25" t="s">
        <v>70</v>
      </c>
      <c r="B146" s="26" t="s">
        <v>2</v>
      </c>
      <c r="C146" s="26" t="s">
        <v>39</v>
      </c>
      <c r="D146" s="26" t="s">
        <v>106</v>
      </c>
      <c r="E146" s="26"/>
      <c r="F146" s="26" t="s">
        <v>115</v>
      </c>
      <c r="G146" s="26" t="s">
        <v>105</v>
      </c>
      <c r="H146" s="26"/>
      <c r="I146" s="27" t="s">
        <v>113</v>
      </c>
      <c r="J146" s="27" t="s">
        <v>18</v>
      </c>
      <c r="K146" s="28"/>
      <c r="L146" s="28"/>
      <c r="M146" s="28"/>
      <c r="N146" s="4" t="s">
        <v>24</v>
      </c>
      <c r="O146" s="53"/>
      <c r="P146" s="29" t="e">
        <f>'Infrastructure Benchmarks-ref'!$O146/'Infrastructure Benchmarks-ref'!$K146</f>
        <v>#DIV/0!</v>
      </c>
      <c r="Q146" s="29" t="e">
        <f>'Infrastructure Benchmarks-ref'!$O146/'Infrastructure Benchmarks-ref'!$L146</f>
        <v>#DIV/0!</v>
      </c>
      <c r="R146" s="29" t="e">
        <f>'Infrastructure Benchmarks-ref'!$O146/'Infrastructure Benchmarks-ref'!$M146</f>
        <v>#DIV/0!</v>
      </c>
      <c r="S146" s="30"/>
    </row>
    <row r="147" spans="1:19" x14ac:dyDescent="0.2">
      <c r="A147" s="25" t="s">
        <v>70</v>
      </c>
      <c r="B147" s="26" t="s">
        <v>2</v>
      </c>
      <c r="C147" s="26" t="s">
        <v>39</v>
      </c>
      <c r="D147" s="26" t="s">
        <v>106</v>
      </c>
      <c r="E147" s="26"/>
      <c r="F147" s="26" t="s">
        <v>115</v>
      </c>
      <c r="G147" s="26" t="s">
        <v>105</v>
      </c>
      <c r="H147" s="26"/>
      <c r="I147" s="27" t="s">
        <v>113</v>
      </c>
      <c r="J147" s="27" t="s">
        <v>18</v>
      </c>
      <c r="K147" s="28"/>
      <c r="L147" s="28"/>
      <c r="M147" s="28"/>
      <c r="N147" s="27" t="s">
        <v>44</v>
      </c>
      <c r="O147" s="28"/>
      <c r="P147" s="29" t="e">
        <f>'Infrastructure Benchmarks-ref'!$O147/'Infrastructure Benchmarks-ref'!$K147</f>
        <v>#DIV/0!</v>
      </c>
      <c r="Q147" s="29" t="e">
        <f>'Infrastructure Benchmarks-ref'!$O147/'Infrastructure Benchmarks-ref'!$L147</f>
        <v>#DIV/0!</v>
      </c>
      <c r="R147" s="29" t="e">
        <f>'Infrastructure Benchmarks-ref'!$O147/'Infrastructure Benchmarks-ref'!$M147</f>
        <v>#DIV/0!</v>
      </c>
      <c r="S147" s="30"/>
    </row>
    <row r="148" spans="1:19" x14ac:dyDescent="0.2">
      <c r="A148" s="25" t="s">
        <v>70</v>
      </c>
      <c r="B148" s="26" t="s">
        <v>2</v>
      </c>
      <c r="C148" s="26" t="s">
        <v>39</v>
      </c>
      <c r="D148" s="26" t="s">
        <v>106</v>
      </c>
      <c r="E148" s="26"/>
      <c r="F148" s="26" t="s">
        <v>115</v>
      </c>
      <c r="G148" s="26" t="s">
        <v>105</v>
      </c>
      <c r="H148" s="26"/>
      <c r="I148" s="27" t="s">
        <v>113</v>
      </c>
      <c r="J148" s="27" t="s">
        <v>18</v>
      </c>
      <c r="K148" s="28"/>
      <c r="L148" s="28"/>
      <c r="M148" s="28"/>
      <c r="N148" s="27" t="s">
        <v>45</v>
      </c>
      <c r="O148" s="31">
        <v>133766.1</v>
      </c>
      <c r="P148" s="29" t="e">
        <f>'Infrastructure Benchmarks-ref'!$O148/'Infrastructure Benchmarks-ref'!$K148</f>
        <v>#DIV/0!</v>
      </c>
      <c r="Q148" s="29" t="e">
        <f>'Infrastructure Benchmarks-ref'!$O148/'Infrastructure Benchmarks-ref'!$L148</f>
        <v>#DIV/0!</v>
      </c>
      <c r="R148" s="29" t="e">
        <f>'Infrastructure Benchmarks-ref'!$O148/'Infrastructure Benchmarks-ref'!$M148</f>
        <v>#DIV/0!</v>
      </c>
      <c r="S148" s="30"/>
    </row>
    <row r="149" spans="1:19" x14ac:dyDescent="0.2">
      <c r="A149" s="25" t="s">
        <v>70</v>
      </c>
      <c r="B149" s="26" t="s">
        <v>2</v>
      </c>
      <c r="C149" s="26" t="s">
        <v>39</v>
      </c>
      <c r="D149" s="26" t="s">
        <v>106</v>
      </c>
      <c r="E149" s="26"/>
      <c r="F149" s="26" t="s">
        <v>115</v>
      </c>
      <c r="G149" s="26" t="s">
        <v>105</v>
      </c>
      <c r="H149" s="26"/>
      <c r="I149" s="27" t="s">
        <v>113</v>
      </c>
      <c r="J149" s="27" t="s">
        <v>18</v>
      </c>
      <c r="K149" s="28"/>
      <c r="L149" s="28"/>
      <c r="M149" s="28"/>
      <c r="N149" s="27" t="s">
        <v>14</v>
      </c>
      <c r="O149" s="28">
        <v>228976.65</v>
      </c>
      <c r="P149" s="29" t="e">
        <f>'Infrastructure Benchmarks-ref'!$O149/'Infrastructure Benchmarks-ref'!$K149</f>
        <v>#DIV/0!</v>
      </c>
      <c r="Q149" s="29" t="e">
        <f>'Infrastructure Benchmarks-ref'!$O149/'Infrastructure Benchmarks-ref'!$L149</f>
        <v>#DIV/0!</v>
      </c>
      <c r="R149" s="29" t="e">
        <f>'Infrastructure Benchmarks-ref'!$O149/'Infrastructure Benchmarks-ref'!$M149</f>
        <v>#DIV/0!</v>
      </c>
      <c r="S149" s="30"/>
    </row>
    <row r="150" spans="1:19" x14ac:dyDescent="0.2">
      <c r="A150" s="25" t="s">
        <v>70</v>
      </c>
      <c r="B150" s="26" t="s">
        <v>2</v>
      </c>
      <c r="C150" s="26" t="s">
        <v>39</v>
      </c>
      <c r="D150" s="26" t="s">
        <v>106</v>
      </c>
      <c r="E150" s="26"/>
      <c r="F150" s="26" t="s">
        <v>115</v>
      </c>
      <c r="G150" s="26" t="s">
        <v>105</v>
      </c>
      <c r="H150" s="26"/>
      <c r="I150" s="27" t="s">
        <v>113</v>
      </c>
      <c r="J150" s="27" t="s">
        <v>18</v>
      </c>
      <c r="K150" s="28"/>
      <c r="L150" s="28"/>
      <c r="M150" s="28"/>
      <c r="N150" s="27" t="s">
        <v>22</v>
      </c>
      <c r="O150" s="28">
        <v>10669113.43</v>
      </c>
      <c r="P150" s="29" t="e">
        <f>'Infrastructure Benchmarks-ref'!$O150/'Infrastructure Benchmarks-ref'!$K150</f>
        <v>#DIV/0!</v>
      </c>
      <c r="Q150" s="29" t="e">
        <f>'Infrastructure Benchmarks-ref'!$O150/'Infrastructure Benchmarks-ref'!$L150</f>
        <v>#DIV/0!</v>
      </c>
      <c r="R150" s="29" t="e">
        <f>'Infrastructure Benchmarks-ref'!$O150/'Infrastructure Benchmarks-ref'!$M150</f>
        <v>#DIV/0!</v>
      </c>
      <c r="S150" s="30"/>
    </row>
    <row r="151" spans="1:19" x14ac:dyDescent="0.2">
      <c r="A151" s="25" t="s">
        <v>70</v>
      </c>
      <c r="B151" s="26" t="s">
        <v>2</v>
      </c>
      <c r="C151" s="26" t="s">
        <v>39</v>
      </c>
      <c r="D151" s="26" t="s">
        <v>106</v>
      </c>
      <c r="E151" s="26"/>
      <c r="F151" s="26" t="s">
        <v>115</v>
      </c>
      <c r="G151" s="26" t="s">
        <v>105</v>
      </c>
      <c r="H151" s="26"/>
      <c r="I151" s="27" t="s">
        <v>113</v>
      </c>
      <c r="J151" s="27" t="s">
        <v>18</v>
      </c>
      <c r="K151" s="28"/>
      <c r="L151" s="28"/>
      <c r="M151" s="28"/>
      <c r="N151" s="27" t="s">
        <v>20</v>
      </c>
      <c r="O151" s="28">
        <v>7785932.9400000004</v>
      </c>
      <c r="P151" s="29" t="e">
        <f>'Infrastructure Benchmarks-ref'!$O151/'Infrastructure Benchmarks-ref'!$K151</f>
        <v>#DIV/0!</v>
      </c>
      <c r="Q151" s="29" t="e">
        <f>'Infrastructure Benchmarks-ref'!$O151/'Infrastructure Benchmarks-ref'!$L151</f>
        <v>#DIV/0!</v>
      </c>
      <c r="R151" s="29" t="e">
        <f>'Infrastructure Benchmarks-ref'!$O151/'Infrastructure Benchmarks-ref'!$M151</f>
        <v>#DIV/0!</v>
      </c>
      <c r="S151" s="30"/>
    </row>
    <row r="152" spans="1:19" x14ac:dyDescent="0.2">
      <c r="A152" s="25" t="s">
        <v>70</v>
      </c>
      <c r="B152" s="26" t="s">
        <v>2</v>
      </c>
      <c r="C152" s="26" t="s">
        <v>39</v>
      </c>
      <c r="D152" s="26" t="s">
        <v>106</v>
      </c>
      <c r="E152" s="26"/>
      <c r="F152" s="26" t="s">
        <v>115</v>
      </c>
      <c r="G152" s="26" t="s">
        <v>105</v>
      </c>
      <c r="H152" s="26"/>
      <c r="I152" s="27" t="s">
        <v>113</v>
      </c>
      <c r="J152" s="27" t="s">
        <v>18</v>
      </c>
      <c r="K152" s="28"/>
      <c r="L152" s="28"/>
      <c r="M152" s="28"/>
      <c r="N152" s="27" t="s">
        <v>23</v>
      </c>
      <c r="O152" s="28">
        <v>6492301.2000000002</v>
      </c>
      <c r="P152" s="29" t="e">
        <f>'Infrastructure Benchmarks-ref'!$O152/'Infrastructure Benchmarks-ref'!$K152</f>
        <v>#DIV/0!</v>
      </c>
      <c r="Q152" s="29" t="e">
        <f>'Infrastructure Benchmarks-ref'!$O152/'Infrastructure Benchmarks-ref'!$L152</f>
        <v>#DIV/0!</v>
      </c>
      <c r="R152" s="29" t="e">
        <f>'Infrastructure Benchmarks-ref'!$O152/'Infrastructure Benchmarks-ref'!$M152</f>
        <v>#DIV/0!</v>
      </c>
      <c r="S152" s="30"/>
    </row>
    <row r="153" spans="1:19" x14ac:dyDescent="0.2">
      <c r="A153" s="25" t="s">
        <v>70</v>
      </c>
      <c r="B153" s="26" t="s">
        <v>2</v>
      </c>
      <c r="C153" s="26" t="s">
        <v>39</v>
      </c>
      <c r="D153" s="26" t="s">
        <v>106</v>
      </c>
      <c r="E153" s="26"/>
      <c r="F153" s="26" t="s">
        <v>115</v>
      </c>
      <c r="G153" s="26" t="s">
        <v>105</v>
      </c>
      <c r="H153" s="26"/>
      <c r="I153" s="27" t="s">
        <v>113</v>
      </c>
      <c r="J153" s="27" t="s">
        <v>18</v>
      </c>
      <c r="K153" s="28"/>
      <c r="L153" s="28"/>
      <c r="M153" s="28"/>
      <c r="N153" s="27" t="s">
        <v>25</v>
      </c>
      <c r="O153" s="28">
        <v>2967173.19</v>
      </c>
      <c r="P153" s="29" t="e">
        <f>'Infrastructure Benchmarks-ref'!$O153/'Infrastructure Benchmarks-ref'!$K153</f>
        <v>#DIV/0!</v>
      </c>
      <c r="Q153" s="29" t="e">
        <f>'Infrastructure Benchmarks-ref'!$O153/'Infrastructure Benchmarks-ref'!$L153</f>
        <v>#DIV/0!</v>
      </c>
      <c r="R153" s="29" t="e">
        <f>'Infrastructure Benchmarks-ref'!$O153/'Infrastructure Benchmarks-ref'!$M153</f>
        <v>#DIV/0!</v>
      </c>
      <c r="S153" s="30"/>
    </row>
    <row r="154" spans="1:19" x14ac:dyDescent="0.2">
      <c r="A154" s="25" t="s">
        <v>70</v>
      </c>
      <c r="B154" s="26" t="s">
        <v>2</v>
      </c>
      <c r="C154" s="26" t="s">
        <v>39</v>
      </c>
      <c r="D154" s="26" t="s">
        <v>106</v>
      </c>
      <c r="E154" s="26"/>
      <c r="F154" s="26" t="s">
        <v>115</v>
      </c>
      <c r="G154" s="26" t="s">
        <v>105</v>
      </c>
      <c r="H154" s="26"/>
      <c r="I154" s="27" t="s">
        <v>113</v>
      </c>
      <c r="J154" s="27" t="s">
        <v>18</v>
      </c>
      <c r="K154" s="28"/>
      <c r="L154" s="28"/>
      <c r="M154" s="28"/>
      <c r="N154" s="27" t="s">
        <v>46</v>
      </c>
      <c r="O154" s="28"/>
      <c r="P154" s="29" t="e">
        <f>'Infrastructure Benchmarks-ref'!$O154/'Infrastructure Benchmarks-ref'!$K154</f>
        <v>#DIV/0!</v>
      </c>
      <c r="Q154" s="29" t="e">
        <f>'Infrastructure Benchmarks-ref'!$O154/'Infrastructure Benchmarks-ref'!$L154</f>
        <v>#DIV/0!</v>
      </c>
      <c r="R154" s="29" t="e">
        <f>'Infrastructure Benchmarks-ref'!$O154/'Infrastructure Benchmarks-ref'!$M154</f>
        <v>#DIV/0!</v>
      </c>
      <c r="S154" s="30"/>
    </row>
    <row r="155" spans="1:19" x14ac:dyDescent="0.2">
      <c r="A155" s="25" t="s">
        <v>70</v>
      </c>
      <c r="B155" s="26" t="s">
        <v>2</v>
      </c>
      <c r="C155" s="26" t="s">
        <v>39</v>
      </c>
      <c r="D155" s="26" t="s">
        <v>106</v>
      </c>
      <c r="E155" s="26"/>
      <c r="F155" s="26" t="s">
        <v>115</v>
      </c>
      <c r="G155" s="26" t="s">
        <v>105</v>
      </c>
      <c r="H155" s="26"/>
      <c r="I155" s="27" t="s">
        <v>113</v>
      </c>
      <c r="J155" s="27" t="s">
        <v>18</v>
      </c>
      <c r="K155" s="28"/>
      <c r="L155" s="28"/>
      <c r="M155" s="28"/>
      <c r="N155" s="27" t="s">
        <v>34</v>
      </c>
      <c r="O155" s="28">
        <v>4080357.09</v>
      </c>
      <c r="P155" s="29" t="e">
        <f>'Infrastructure Benchmarks-ref'!$O155/'Infrastructure Benchmarks-ref'!$K155</f>
        <v>#DIV/0!</v>
      </c>
      <c r="Q155" s="29" t="e">
        <f>'Infrastructure Benchmarks-ref'!$O155/'Infrastructure Benchmarks-ref'!$L155</f>
        <v>#DIV/0!</v>
      </c>
      <c r="R155" s="29" t="e">
        <f>'Infrastructure Benchmarks-ref'!$O155/'Infrastructure Benchmarks-ref'!$M155</f>
        <v>#DIV/0!</v>
      </c>
      <c r="S155" s="30"/>
    </row>
    <row r="156" spans="1:19" x14ac:dyDescent="0.2">
      <c r="A156" s="25" t="s">
        <v>70</v>
      </c>
      <c r="B156" s="26" t="s">
        <v>2</v>
      </c>
      <c r="C156" s="26" t="s">
        <v>39</v>
      </c>
      <c r="D156" s="26" t="s">
        <v>106</v>
      </c>
      <c r="E156" s="26"/>
      <c r="F156" s="26" t="s">
        <v>115</v>
      </c>
      <c r="G156" s="26" t="s">
        <v>105</v>
      </c>
      <c r="H156" s="26"/>
      <c r="I156" s="27" t="s">
        <v>113</v>
      </c>
      <c r="J156" s="27" t="s">
        <v>18</v>
      </c>
      <c r="K156" s="28"/>
      <c r="L156" s="28"/>
      <c r="M156" s="28"/>
      <c r="N156" s="27" t="s">
        <v>26</v>
      </c>
      <c r="O156" s="28">
        <v>2259962.2200000002</v>
      </c>
      <c r="P156" s="29" t="e">
        <f>'Infrastructure Benchmarks-ref'!$O156/'Infrastructure Benchmarks-ref'!$K156</f>
        <v>#DIV/0!</v>
      </c>
      <c r="Q156" s="29" t="e">
        <f>'Infrastructure Benchmarks-ref'!$O156/'Infrastructure Benchmarks-ref'!$L156</f>
        <v>#DIV/0!</v>
      </c>
      <c r="R156" s="29" t="e">
        <f>'Infrastructure Benchmarks-ref'!$O156/'Infrastructure Benchmarks-ref'!$M156</f>
        <v>#DIV/0!</v>
      </c>
      <c r="S156" s="30"/>
    </row>
    <row r="157" spans="1:19" x14ac:dyDescent="0.2">
      <c r="A157" s="25" t="s">
        <v>70</v>
      </c>
      <c r="B157" s="26" t="s">
        <v>2</v>
      </c>
      <c r="C157" s="26" t="s">
        <v>39</v>
      </c>
      <c r="D157" s="26" t="s">
        <v>106</v>
      </c>
      <c r="E157" s="26"/>
      <c r="F157" s="26" t="s">
        <v>115</v>
      </c>
      <c r="G157" s="26" t="s">
        <v>105</v>
      </c>
      <c r="H157" s="26"/>
      <c r="I157" s="27" t="s">
        <v>113</v>
      </c>
      <c r="J157" s="27" t="s">
        <v>18</v>
      </c>
      <c r="K157" s="28"/>
      <c r="L157" s="28"/>
      <c r="M157" s="28"/>
      <c r="N157" s="27" t="s">
        <v>28</v>
      </c>
      <c r="O157" s="28">
        <v>1477934.77</v>
      </c>
      <c r="P157" s="29" t="e">
        <f>'Infrastructure Benchmarks-ref'!$O157/'Infrastructure Benchmarks-ref'!$K157</f>
        <v>#DIV/0!</v>
      </c>
      <c r="Q157" s="29" t="e">
        <f>'Infrastructure Benchmarks-ref'!$O157/'Infrastructure Benchmarks-ref'!$L157</f>
        <v>#DIV/0!</v>
      </c>
      <c r="R157" s="29" t="e">
        <f>'Infrastructure Benchmarks-ref'!$O157/'Infrastructure Benchmarks-ref'!$M157</f>
        <v>#DIV/0!</v>
      </c>
      <c r="S157" s="30"/>
    </row>
    <row r="158" spans="1:19" x14ac:dyDescent="0.2">
      <c r="A158" s="25" t="s">
        <v>70</v>
      </c>
      <c r="B158" s="26" t="s">
        <v>2</v>
      </c>
      <c r="C158" s="26" t="s">
        <v>39</v>
      </c>
      <c r="D158" s="26" t="s">
        <v>106</v>
      </c>
      <c r="E158" s="26"/>
      <c r="F158" s="26" t="s">
        <v>115</v>
      </c>
      <c r="G158" s="26" t="s">
        <v>105</v>
      </c>
      <c r="H158" s="26"/>
      <c r="I158" s="27" t="s">
        <v>113</v>
      </c>
      <c r="J158" s="27" t="s">
        <v>18</v>
      </c>
      <c r="K158" s="28"/>
      <c r="L158" s="28"/>
      <c r="M158" s="28"/>
      <c r="N158" s="27" t="s">
        <v>47</v>
      </c>
      <c r="O158" s="28">
        <v>1185582.79</v>
      </c>
      <c r="P158" s="29" t="e">
        <f>'Infrastructure Benchmarks-ref'!$O158/'Infrastructure Benchmarks-ref'!$K158</f>
        <v>#DIV/0!</v>
      </c>
      <c r="Q158" s="29" t="e">
        <f>'Infrastructure Benchmarks-ref'!$O158/'Infrastructure Benchmarks-ref'!$L158</f>
        <v>#DIV/0!</v>
      </c>
      <c r="R158" s="29" t="e">
        <f>'Infrastructure Benchmarks-ref'!$O158/'Infrastructure Benchmarks-ref'!$M158</f>
        <v>#DIV/0!</v>
      </c>
      <c r="S158" s="30"/>
    </row>
    <row r="159" spans="1:19" x14ac:dyDescent="0.2">
      <c r="A159" s="25" t="s">
        <v>70</v>
      </c>
      <c r="B159" s="26" t="s">
        <v>2</v>
      </c>
      <c r="C159" s="26" t="s">
        <v>39</v>
      </c>
      <c r="D159" s="26" t="s">
        <v>106</v>
      </c>
      <c r="E159" s="26"/>
      <c r="F159" s="26" t="s">
        <v>115</v>
      </c>
      <c r="G159" s="26" t="s">
        <v>105</v>
      </c>
      <c r="H159" s="26"/>
      <c r="I159" s="27" t="s">
        <v>113</v>
      </c>
      <c r="J159" s="27" t="s">
        <v>18</v>
      </c>
      <c r="K159" s="28"/>
      <c r="L159" s="28"/>
      <c r="M159" s="28"/>
      <c r="N159" s="27" t="s">
        <v>27</v>
      </c>
      <c r="O159" s="28">
        <v>1305224.58</v>
      </c>
      <c r="P159" s="29" t="e">
        <f>'Infrastructure Benchmarks-ref'!$O159/'Infrastructure Benchmarks-ref'!$K159</f>
        <v>#DIV/0!</v>
      </c>
      <c r="Q159" s="29" t="e">
        <f>'Infrastructure Benchmarks-ref'!$O159/'Infrastructure Benchmarks-ref'!$L159</f>
        <v>#DIV/0!</v>
      </c>
      <c r="R159" s="29" t="e">
        <f>'Infrastructure Benchmarks-ref'!$O159/'Infrastructure Benchmarks-ref'!$M159</f>
        <v>#DIV/0!</v>
      </c>
      <c r="S159" s="30"/>
    </row>
    <row r="160" spans="1:19" x14ac:dyDescent="0.2">
      <c r="A160" s="25" t="s">
        <v>70</v>
      </c>
      <c r="B160" s="26" t="s">
        <v>2</v>
      </c>
      <c r="C160" s="26" t="s">
        <v>39</v>
      </c>
      <c r="D160" s="26" t="s">
        <v>106</v>
      </c>
      <c r="E160" s="26"/>
      <c r="F160" s="26" t="s">
        <v>115</v>
      </c>
      <c r="G160" s="26" t="s">
        <v>105</v>
      </c>
      <c r="H160" s="26"/>
      <c r="I160" s="27" t="s">
        <v>113</v>
      </c>
      <c r="J160" s="27" t="s">
        <v>18</v>
      </c>
      <c r="K160" s="28"/>
      <c r="L160" s="28"/>
      <c r="M160" s="28"/>
      <c r="N160" s="27" t="s">
        <v>48</v>
      </c>
      <c r="O160" s="28"/>
      <c r="P160" s="29" t="e">
        <f>'Infrastructure Benchmarks-ref'!$O160/'Infrastructure Benchmarks-ref'!$K160</f>
        <v>#DIV/0!</v>
      </c>
      <c r="Q160" s="29" t="e">
        <f>'Infrastructure Benchmarks-ref'!$O160/'Infrastructure Benchmarks-ref'!$L160</f>
        <v>#DIV/0!</v>
      </c>
      <c r="R160" s="29" t="e">
        <f>'Infrastructure Benchmarks-ref'!$O160/'Infrastructure Benchmarks-ref'!$M160</f>
        <v>#DIV/0!</v>
      </c>
      <c r="S160" s="30"/>
    </row>
    <row r="161" spans="1:19" x14ac:dyDescent="0.2">
      <c r="A161" s="25" t="s">
        <v>70</v>
      </c>
      <c r="B161" s="26" t="s">
        <v>2</v>
      </c>
      <c r="C161" s="26" t="s">
        <v>39</v>
      </c>
      <c r="D161" s="26" t="s">
        <v>106</v>
      </c>
      <c r="E161" s="26"/>
      <c r="F161" s="26" t="s">
        <v>115</v>
      </c>
      <c r="G161" s="26" t="s">
        <v>105</v>
      </c>
      <c r="H161" s="26"/>
      <c r="I161" s="27" t="s">
        <v>113</v>
      </c>
      <c r="J161" s="27" t="s">
        <v>18</v>
      </c>
      <c r="K161" s="28"/>
      <c r="L161" s="28"/>
      <c r="M161" s="28"/>
      <c r="N161" s="27" t="s">
        <v>49</v>
      </c>
      <c r="O161" s="31"/>
      <c r="P161" s="29" t="e">
        <f>'Infrastructure Benchmarks-ref'!$O161/'Infrastructure Benchmarks-ref'!$K161</f>
        <v>#DIV/0!</v>
      </c>
      <c r="Q161" s="29" t="e">
        <f>'Infrastructure Benchmarks-ref'!$O161/'Infrastructure Benchmarks-ref'!$L161</f>
        <v>#DIV/0!</v>
      </c>
      <c r="R161" s="29" t="e">
        <f>'Infrastructure Benchmarks-ref'!$O161/'Infrastructure Benchmarks-ref'!$M161</f>
        <v>#DIV/0!</v>
      </c>
      <c r="S161" s="30"/>
    </row>
    <row r="162" spans="1:19" x14ac:dyDescent="0.2">
      <c r="A162" s="25" t="s">
        <v>70</v>
      </c>
      <c r="B162" s="26" t="s">
        <v>2</v>
      </c>
      <c r="C162" s="26" t="s">
        <v>39</v>
      </c>
      <c r="D162" s="26" t="s">
        <v>106</v>
      </c>
      <c r="E162" s="26"/>
      <c r="F162" s="26" t="s">
        <v>115</v>
      </c>
      <c r="G162" s="26" t="s">
        <v>105</v>
      </c>
      <c r="H162" s="26"/>
      <c r="I162" s="27" t="s">
        <v>113</v>
      </c>
      <c r="J162" s="27" t="s">
        <v>18</v>
      </c>
      <c r="K162" s="28"/>
      <c r="L162" s="28"/>
      <c r="M162" s="28"/>
      <c r="N162" s="27" t="s">
        <v>50</v>
      </c>
      <c r="O162" s="31"/>
      <c r="P162" s="29" t="e">
        <f>'Infrastructure Benchmarks-ref'!$O162/'Infrastructure Benchmarks-ref'!$K162</f>
        <v>#DIV/0!</v>
      </c>
      <c r="Q162" s="29" t="e">
        <f>'Infrastructure Benchmarks-ref'!$O162/'Infrastructure Benchmarks-ref'!$L162</f>
        <v>#DIV/0!</v>
      </c>
      <c r="R162" s="29" t="e">
        <f>'Infrastructure Benchmarks-ref'!$O162/'Infrastructure Benchmarks-ref'!$M162</f>
        <v>#DIV/0!</v>
      </c>
      <c r="S162" s="30"/>
    </row>
    <row r="163" spans="1:19" x14ac:dyDescent="0.2">
      <c r="A163" s="25" t="s">
        <v>70</v>
      </c>
      <c r="B163" s="26" t="s">
        <v>2</v>
      </c>
      <c r="C163" s="26" t="s">
        <v>39</v>
      </c>
      <c r="D163" s="26" t="s">
        <v>106</v>
      </c>
      <c r="E163" s="26"/>
      <c r="F163" s="26" t="s">
        <v>115</v>
      </c>
      <c r="G163" s="26" t="s">
        <v>105</v>
      </c>
      <c r="H163" s="26"/>
      <c r="I163" s="27" t="s">
        <v>113</v>
      </c>
      <c r="J163" s="27" t="s">
        <v>18</v>
      </c>
      <c r="K163" s="28"/>
      <c r="L163" s="28"/>
      <c r="M163" s="28"/>
      <c r="N163" s="27" t="s">
        <v>51</v>
      </c>
      <c r="O163" s="28"/>
      <c r="P163" s="29" t="e">
        <f>'Infrastructure Benchmarks-ref'!$O163/'Infrastructure Benchmarks-ref'!$K163</f>
        <v>#DIV/0!</v>
      </c>
      <c r="Q163" s="29" t="e">
        <f>'Infrastructure Benchmarks-ref'!$O163/'Infrastructure Benchmarks-ref'!$L163</f>
        <v>#DIV/0!</v>
      </c>
      <c r="R163" s="29" t="e">
        <f>'Infrastructure Benchmarks-ref'!$O163/'Infrastructure Benchmarks-ref'!$M163</f>
        <v>#DIV/0!</v>
      </c>
      <c r="S163" s="30"/>
    </row>
    <row r="164" spans="1:19" x14ac:dyDescent="0.2">
      <c r="A164" s="25" t="s">
        <v>70</v>
      </c>
      <c r="B164" s="26" t="s">
        <v>2</v>
      </c>
      <c r="C164" s="26" t="s">
        <v>39</v>
      </c>
      <c r="D164" s="26" t="s">
        <v>106</v>
      </c>
      <c r="E164" s="26"/>
      <c r="F164" s="26" t="s">
        <v>115</v>
      </c>
      <c r="G164" s="26" t="s">
        <v>105</v>
      </c>
      <c r="H164" s="26"/>
      <c r="I164" s="27" t="s">
        <v>113</v>
      </c>
      <c r="J164" s="27" t="s">
        <v>18</v>
      </c>
      <c r="K164" s="28"/>
      <c r="L164" s="28"/>
      <c r="M164" s="28"/>
      <c r="N164" s="27" t="s">
        <v>52</v>
      </c>
      <c r="O164" s="28"/>
      <c r="P164" s="29" t="e">
        <f>'Infrastructure Benchmarks-ref'!$O164/'Infrastructure Benchmarks-ref'!$K164</f>
        <v>#DIV/0!</v>
      </c>
      <c r="Q164" s="29" t="e">
        <f>'Infrastructure Benchmarks-ref'!$O164/'Infrastructure Benchmarks-ref'!$L164</f>
        <v>#DIV/0!</v>
      </c>
      <c r="R164" s="29" t="e">
        <f>'Infrastructure Benchmarks-ref'!$O164/'Infrastructure Benchmarks-ref'!$M164</f>
        <v>#DIV/0!</v>
      </c>
      <c r="S164" s="30"/>
    </row>
    <row r="165" spans="1:19" x14ac:dyDescent="0.2">
      <c r="A165" s="25" t="s">
        <v>70</v>
      </c>
      <c r="B165" s="26" t="s">
        <v>2</v>
      </c>
      <c r="C165" s="26" t="s">
        <v>39</v>
      </c>
      <c r="D165" s="26" t="s">
        <v>106</v>
      </c>
      <c r="E165" s="26"/>
      <c r="F165" s="26" t="s">
        <v>115</v>
      </c>
      <c r="G165" s="26" t="s">
        <v>105</v>
      </c>
      <c r="H165" s="26"/>
      <c r="I165" s="27" t="s">
        <v>113</v>
      </c>
      <c r="J165" s="27" t="s">
        <v>18</v>
      </c>
      <c r="K165" s="28"/>
      <c r="L165" s="28"/>
      <c r="M165" s="28"/>
      <c r="N165" s="27" t="s">
        <v>53</v>
      </c>
      <c r="O165" s="28"/>
      <c r="P165" s="29" t="e">
        <f>'Infrastructure Benchmarks-ref'!$O165/'Infrastructure Benchmarks-ref'!$K165</f>
        <v>#DIV/0!</v>
      </c>
      <c r="Q165" s="29" t="e">
        <f>'Infrastructure Benchmarks-ref'!$O165/'Infrastructure Benchmarks-ref'!$L165</f>
        <v>#DIV/0!</v>
      </c>
      <c r="R165" s="29" t="e">
        <f>'Infrastructure Benchmarks-ref'!$O165/'Infrastructure Benchmarks-ref'!$M165</f>
        <v>#DIV/0!</v>
      </c>
      <c r="S165" s="30"/>
    </row>
    <row r="166" spans="1:19" x14ac:dyDescent="0.2">
      <c r="A166" s="25" t="s">
        <v>70</v>
      </c>
      <c r="B166" s="26" t="s">
        <v>2</v>
      </c>
      <c r="C166" s="26" t="s">
        <v>39</v>
      </c>
      <c r="D166" s="26" t="s">
        <v>106</v>
      </c>
      <c r="E166" s="26"/>
      <c r="F166" s="26" t="s">
        <v>115</v>
      </c>
      <c r="G166" s="26" t="s">
        <v>105</v>
      </c>
      <c r="H166" s="26"/>
      <c r="I166" s="27" t="s">
        <v>113</v>
      </c>
      <c r="J166" s="27" t="s">
        <v>18</v>
      </c>
      <c r="K166" s="28"/>
      <c r="L166" s="28"/>
      <c r="M166" s="28"/>
      <c r="N166" s="27" t="s">
        <v>55</v>
      </c>
      <c r="O166" s="28"/>
      <c r="P166" s="29" t="e">
        <f>'Infrastructure Benchmarks-ref'!$O166/'Infrastructure Benchmarks-ref'!$K166</f>
        <v>#DIV/0!</v>
      </c>
      <c r="Q166" s="29" t="e">
        <f>'Infrastructure Benchmarks-ref'!$O166/'Infrastructure Benchmarks-ref'!$L166</f>
        <v>#DIV/0!</v>
      </c>
      <c r="R166" s="29" t="e">
        <f>'Infrastructure Benchmarks-ref'!$O166/'Infrastructure Benchmarks-ref'!$M166</f>
        <v>#DIV/0!</v>
      </c>
      <c r="S166" s="30"/>
    </row>
    <row r="167" spans="1:19" x14ac:dyDescent="0.2">
      <c r="A167" s="25" t="s">
        <v>70</v>
      </c>
      <c r="B167" s="26" t="s">
        <v>2</v>
      </c>
      <c r="C167" s="26" t="s">
        <v>39</v>
      </c>
      <c r="D167" s="26" t="s">
        <v>106</v>
      </c>
      <c r="E167" s="26"/>
      <c r="F167" s="26" t="s">
        <v>115</v>
      </c>
      <c r="G167" s="26" t="s">
        <v>105</v>
      </c>
      <c r="H167" s="26"/>
      <c r="I167" s="27" t="s">
        <v>113</v>
      </c>
      <c r="J167" s="27" t="s">
        <v>18</v>
      </c>
      <c r="K167" s="28"/>
      <c r="L167" s="28"/>
      <c r="M167" s="28"/>
      <c r="N167" s="27" t="s">
        <v>54</v>
      </c>
      <c r="O167" s="31"/>
      <c r="P167" s="29" t="e">
        <f>'Infrastructure Benchmarks-ref'!$O167/'Infrastructure Benchmarks-ref'!$K167</f>
        <v>#DIV/0!</v>
      </c>
      <c r="Q167" s="29" t="e">
        <f>'Infrastructure Benchmarks-ref'!$O167/'Infrastructure Benchmarks-ref'!$L167</f>
        <v>#DIV/0!</v>
      </c>
      <c r="R167" s="29" t="e">
        <f>'Infrastructure Benchmarks-ref'!$O167/'Infrastructure Benchmarks-ref'!$M167</f>
        <v>#DIV/0!</v>
      </c>
      <c r="S167" s="30"/>
    </row>
    <row r="168" spans="1:19" x14ac:dyDescent="0.2">
      <c r="A168" s="25" t="s">
        <v>70</v>
      </c>
      <c r="B168" s="26" t="s">
        <v>2</v>
      </c>
      <c r="C168" s="26" t="s">
        <v>39</v>
      </c>
      <c r="D168" s="26" t="s">
        <v>106</v>
      </c>
      <c r="E168" s="26"/>
      <c r="F168" s="26" t="s">
        <v>115</v>
      </c>
      <c r="G168" s="26" t="s">
        <v>105</v>
      </c>
      <c r="H168" s="26"/>
      <c r="I168" s="27" t="s">
        <v>113</v>
      </c>
      <c r="J168" s="27" t="s">
        <v>18</v>
      </c>
      <c r="K168" s="28"/>
      <c r="L168" s="28"/>
      <c r="M168" s="28"/>
      <c r="N168" s="27" t="s">
        <v>56</v>
      </c>
      <c r="O168" s="28"/>
      <c r="P168" s="29" t="e">
        <f>'Infrastructure Benchmarks-ref'!$O168/'Infrastructure Benchmarks-ref'!$K168</f>
        <v>#DIV/0!</v>
      </c>
      <c r="Q168" s="29" t="e">
        <f>'Infrastructure Benchmarks-ref'!$O168/'Infrastructure Benchmarks-ref'!$L168</f>
        <v>#DIV/0!</v>
      </c>
      <c r="R168" s="29" t="e">
        <f>'Infrastructure Benchmarks-ref'!$O168/'Infrastructure Benchmarks-ref'!$M168</f>
        <v>#DIV/0!</v>
      </c>
      <c r="S168" s="30"/>
    </row>
    <row r="169" spans="1:19" x14ac:dyDescent="0.2">
      <c r="A169" s="25" t="s">
        <v>70</v>
      </c>
      <c r="B169" s="26" t="s">
        <v>2</v>
      </c>
      <c r="C169" s="26" t="s">
        <v>39</v>
      </c>
      <c r="D169" s="26" t="s">
        <v>106</v>
      </c>
      <c r="E169" s="26"/>
      <c r="F169" s="26" t="s">
        <v>115</v>
      </c>
      <c r="G169" s="26" t="s">
        <v>105</v>
      </c>
      <c r="H169" s="26"/>
      <c r="I169" s="27" t="s">
        <v>113</v>
      </c>
      <c r="J169" s="27" t="s">
        <v>18</v>
      </c>
      <c r="K169" s="28"/>
      <c r="L169" s="28"/>
      <c r="M169" s="28"/>
      <c r="N169" s="27" t="s">
        <v>73</v>
      </c>
      <c r="O169" s="28">
        <v>2377352.2000000002</v>
      </c>
      <c r="P169" s="29" t="e">
        <f>'Infrastructure Benchmarks-ref'!$O169/'Infrastructure Benchmarks-ref'!$K169</f>
        <v>#DIV/0!</v>
      </c>
      <c r="Q169" s="29" t="e">
        <f>'Infrastructure Benchmarks-ref'!$O169/'Infrastructure Benchmarks-ref'!$L169</f>
        <v>#DIV/0!</v>
      </c>
      <c r="R169" s="29" t="e">
        <f>'Infrastructure Benchmarks-ref'!$O169/'Infrastructure Benchmarks-ref'!$M169</f>
        <v>#DIV/0!</v>
      </c>
      <c r="S169" s="30"/>
    </row>
    <row r="170" spans="1:19" x14ac:dyDescent="0.2">
      <c r="A170" s="25" t="s">
        <v>70</v>
      </c>
      <c r="B170" s="26" t="s">
        <v>2</v>
      </c>
      <c r="C170" s="26" t="s">
        <v>39</v>
      </c>
      <c r="D170" s="26" t="s">
        <v>106</v>
      </c>
      <c r="E170" s="26"/>
      <c r="F170" s="26" t="s">
        <v>115</v>
      </c>
      <c r="G170" s="26" t="s">
        <v>105</v>
      </c>
      <c r="H170" s="26"/>
      <c r="I170" s="27" t="s">
        <v>113</v>
      </c>
      <c r="J170" s="27" t="s">
        <v>18</v>
      </c>
      <c r="K170" s="28"/>
      <c r="L170" s="28"/>
      <c r="M170" s="28"/>
      <c r="N170" s="27" t="s">
        <v>57</v>
      </c>
      <c r="O170" s="63"/>
      <c r="P170" s="29" t="e">
        <f>'Infrastructure Benchmarks-ref'!$O170/'Infrastructure Benchmarks-ref'!$K170</f>
        <v>#DIV/0!</v>
      </c>
      <c r="Q170" s="29" t="e">
        <f>'Infrastructure Benchmarks-ref'!$O170/'Infrastructure Benchmarks-ref'!$L170</f>
        <v>#DIV/0!</v>
      </c>
      <c r="R170" s="29" t="e">
        <f>'Infrastructure Benchmarks-ref'!$O170/'Infrastructure Benchmarks-ref'!$M170</f>
        <v>#DIV/0!</v>
      </c>
      <c r="S170" s="30"/>
    </row>
    <row r="171" spans="1:19" x14ac:dyDescent="0.2">
      <c r="A171" s="25" t="s">
        <v>70</v>
      </c>
      <c r="B171" s="26" t="s">
        <v>2</v>
      </c>
      <c r="C171" s="26" t="s">
        <v>39</v>
      </c>
      <c r="D171" s="26" t="s">
        <v>106</v>
      </c>
      <c r="E171" s="26"/>
      <c r="F171" s="26" t="s">
        <v>115</v>
      </c>
      <c r="G171" s="26" t="s">
        <v>105</v>
      </c>
      <c r="H171" s="26"/>
      <c r="I171" s="27" t="s">
        <v>113</v>
      </c>
      <c r="J171" s="27" t="s">
        <v>18</v>
      </c>
      <c r="K171" s="28"/>
      <c r="L171" s="28"/>
      <c r="M171" s="28"/>
      <c r="N171" s="27" t="s">
        <v>58</v>
      </c>
      <c r="O171" s="31">
        <v>30700000</v>
      </c>
      <c r="P171" s="29" t="e">
        <f>'Infrastructure Benchmarks-ref'!$O171/'Infrastructure Benchmarks-ref'!$K171</f>
        <v>#DIV/0!</v>
      </c>
      <c r="Q171" s="29" t="e">
        <f>'Infrastructure Benchmarks-ref'!$O171/'Infrastructure Benchmarks-ref'!$L171</f>
        <v>#DIV/0!</v>
      </c>
      <c r="R171" s="29" t="e">
        <f>'Infrastructure Benchmarks-ref'!$O171/'Infrastructure Benchmarks-ref'!$M171</f>
        <v>#DIV/0!</v>
      </c>
      <c r="S171" s="30"/>
    </row>
    <row r="172" spans="1:19" x14ac:dyDescent="0.2">
      <c r="A172" s="25" t="s">
        <v>70</v>
      </c>
      <c r="B172" s="26" t="s">
        <v>2</v>
      </c>
      <c r="C172" s="26" t="s">
        <v>39</v>
      </c>
      <c r="D172" s="26" t="s">
        <v>106</v>
      </c>
      <c r="E172" s="26"/>
      <c r="F172" s="26" t="s">
        <v>115</v>
      </c>
      <c r="G172" s="26" t="s">
        <v>105</v>
      </c>
      <c r="H172" s="26"/>
      <c r="I172" s="27" t="s">
        <v>113</v>
      </c>
      <c r="J172" s="27" t="s">
        <v>18</v>
      </c>
      <c r="K172" s="28"/>
      <c r="L172" s="28"/>
      <c r="M172" s="28"/>
      <c r="N172" s="27" t="s">
        <v>59</v>
      </c>
      <c r="O172" s="31"/>
      <c r="P172" s="29" t="e">
        <f>'Infrastructure Benchmarks-ref'!$O172/'Infrastructure Benchmarks-ref'!$K172</f>
        <v>#DIV/0!</v>
      </c>
      <c r="Q172" s="29" t="e">
        <f>'Infrastructure Benchmarks-ref'!$O172/'Infrastructure Benchmarks-ref'!$L172</f>
        <v>#DIV/0!</v>
      </c>
      <c r="R172" s="29" t="e">
        <f>'Infrastructure Benchmarks-ref'!$O172/'Infrastructure Benchmarks-ref'!$M172</f>
        <v>#DIV/0!</v>
      </c>
      <c r="S172" s="30"/>
    </row>
    <row r="173" spans="1:19" x14ac:dyDescent="0.2">
      <c r="A173" s="25" t="s">
        <v>70</v>
      </c>
      <c r="B173" s="26" t="s">
        <v>2</v>
      </c>
      <c r="C173" s="26" t="s">
        <v>39</v>
      </c>
      <c r="D173" s="26" t="s">
        <v>106</v>
      </c>
      <c r="E173" s="26"/>
      <c r="F173" s="26" t="s">
        <v>115</v>
      </c>
      <c r="G173" s="26" t="s">
        <v>105</v>
      </c>
      <c r="H173" s="26"/>
      <c r="I173" s="27" t="s">
        <v>113</v>
      </c>
      <c r="J173" s="27" t="s">
        <v>18</v>
      </c>
      <c r="K173" s="28"/>
      <c r="L173" s="28"/>
      <c r="M173" s="28"/>
      <c r="N173" s="27" t="s">
        <v>60</v>
      </c>
      <c r="O173" s="28"/>
      <c r="P173" s="29" t="e">
        <f>'Infrastructure Benchmarks-ref'!$O173/'Infrastructure Benchmarks-ref'!$K173</f>
        <v>#DIV/0!</v>
      </c>
      <c r="Q173" s="29" t="e">
        <f>'Infrastructure Benchmarks-ref'!$O173/'Infrastructure Benchmarks-ref'!$L173</f>
        <v>#DIV/0!</v>
      </c>
      <c r="R173" s="29" t="e">
        <f>'Infrastructure Benchmarks-ref'!$O173/'Infrastructure Benchmarks-ref'!$M173</f>
        <v>#DIV/0!</v>
      </c>
      <c r="S173" s="30"/>
    </row>
    <row r="174" spans="1:19" ht="16" thickBot="1" x14ac:dyDescent="0.25">
      <c r="A174" s="25" t="s">
        <v>70</v>
      </c>
      <c r="B174" s="26" t="s">
        <v>2</v>
      </c>
      <c r="C174" s="26" t="s">
        <v>39</v>
      </c>
      <c r="D174" s="26" t="s">
        <v>106</v>
      </c>
      <c r="E174" s="26"/>
      <c r="F174" s="26" t="s">
        <v>115</v>
      </c>
      <c r="G174" s="26" t="s">
        <v>105</v>
      </c>
      <c r="H174" s="26"/>
      <c r="I174" s="27" t="s">
        <v>113</v>
      </c>
      <c r="J174" s="27" t="s">
        <v>18</v>
      </c>
      <c r="K174" s="28"/>
      <c r="L174" s="28"/>
      <c r="M174" s="28"/>
      <c r="N174" s="27" t="s">
        <v>61</v>
      </c>
      <c r="O174" s="28"/>
      <c r="P174" s="29" t="e">
        <f>'Infrastructure Benchmarks-ref'!$O174/'Infrastructure Benchmarks-ref'!$K174</f>
        <v>#DIV/0!</v>
      </c>
      <c r="Q174" s="29" t="e">
        <f>'Infrastructure Benchmarks-ref'!$O174/'Infrastructure Benchmarks-ref'!$L174</f>
        <v>#DIV/0!</v>
      </c>
      <c r="R174" s="29" t="e">
        <f>'Infrastructure Benchmarks-ref'!$O174/'Infrastructure Benchmarks-ref'!$M174</f>
        <v>#DIV/0!</v>
      </c>
      <c r="S174" s="30"/>
    </row>
    <row r="175" spans="1:19" ht="17" thickTop="1" thickBot="1" x14ac:dyDescent="0.25">
      <c r="A175" s="54"/>
      <c r="B175" s="55"/>
      <c r="C175" s="55"/>
      <c r="D175" s="55"/>
      <c r="E175" s="55"/>
      <c r="F175" s="55"/>
      <c r="G175" s="55"/>
      <c r="H175" s="55"/>
      <c r="I175" s="56"/>
      <c r="J175" s="56"/>
      <c r="K175" s="57"/>
      <c r="L175" s="57"/>
      <c r="M175" s="57"/>
      <c r="N175" s="56"/>
      <c r="O175" s="57"/>
      <c r="P175" s="58"/>
      <c r="Q175" s="58"/>
      <c r="R175" s="58"/>
      <c r="S175" s="59"/>
    </row>
    <row r="176" spans="1:19" ht="16" thickTop="1" x14ac:dyDescent="0.2">
      <c r="A176" s="25" t="s">
        <v>70</v>
      </c>
      <c r="B176" s="26" t="s">
        <v>2</v>
      </c>
      <c r="C176" s="26" t="s">
        <v>39</v>
      </c>
      <c r="D176" s="26" t="s">
        <v>106</v>
      </c>
      <c r="E176" s="26"/>
      <c r="F176" s="26" t="s">
        <v>114</v>
      </c>
      <c r="G176" s="26" t="s">
        <v>105</v>
      </c>
      <c r="H176" s="26"/>
      <c r="I176" s="27" t="s">
        <v>113</v>
      </c>
      <c r="J176" s="27" t="s">
        <v>18</v>
      </c>
      <c r="K176" s="28"/>
      <c r="L176" s="28"/>
      <c r="M176" s="28"/>
      <c r="N176" s="4" t="s">
        <v>24</v>
      </c>
      <c r="O176" s="53"/>
      <c r="P176" s="29" t="e">
        <f>'Infrastructure Benchmarks-ref'!$O176/'Infrastructure Benchmarks-ref'!$K176</f>
        <v>#DIV/0!</v>
      </c>
      <c r="Q176" s="29" t="e">
        <f>'Infrastructure Benchmarks-ref'!$O176/'Infrastructure Benchmarks-ref'!$L176</f>
        <v>#DIV/0!</v>
      </c>
      <c r="R176" s="29" t="e">
        <f>'Infrastructure Benchmarks-ref'!$O176/'Infrastructure Benchmarks-ref'!$M176</f>
        <v>#DIV/0!</v>
      </c>
      <c r="S176" s="30"/>
    </row>
    <row r="177" spans="1:19" x14ac:dyDescent="0.2">
      <c r="A177" s="25" t="s">
        <v>70</v>
      </c>
      <c r="B177" s="26" t="s">
        <v>2</v>
      </c>
      <c r="C177" s="26" t="s">
        <v>39</v>
      </c>
      <c r="D177" s="26" t="s">
        <v>106</v>
      </c>
      <c r="E177" s="26"/>
      <c r="F177" s="26" t="s">
        <v>114</v>
      </c>
      <c r="G177" s="26" t="s">
        <v>105</v>
      </c>
      <c r="H177" s="26"/>
      <c r="I177" s="27" t="s">
        <v>113</v>
      </c>
      <c r="J177" s="27" t="s">
        <v>18</v>
      </c>
      <c r="K177" s="28"/>
      <c r="L177" s="28"/>
      <c r="M177" s="28"/>
      <c r="N177" s="27" t="s">
        <v>44</v>
      </c>
      <c r="O177" s="28"/>
      <c r="P177" s="29" t="e">
        <f>'Infrastructure Benchmarks-ref'!$O177/'Infrastructure Benchmarks-ref'!$K177</f>
        <v>#DIV/0!</v>
      </c>
      <c r="Q177" s="29" t="e">
        <f>'Infrastructure Benchmarks-ref'!$O177/'Infrastructure Benchmarks-ref'!$L177</f>
        <v>#DIV/0!</v>
      </c>
      <c r="R177" s="29" t="e">
        <f>'Infrastructure Benchmarks-ref'!$O177/'Infrastructure Benchmarks-ref'!$M177</f>
        <v>#DIV/0!</v>
      </c>
      <c r="S177" s="30"/>
    </row>
    <row r="178" spans="1:19" x14ac:dyDescent="0.2">
      <c r="A178" s="25" t="s">
        <v>70</v>
      </c>
      <c r="B178" s="26" t="s">
        <v>2</v>
      </c>
      <c r="C178" s="26" t="s">
        <v>39</v>
      </c>
      <c r="D178" s="26" t="s">
        <v>106</v>
      </c>
      <c r="E178" s="26"/>
      <c r="F178" s="26" t="s">
        <v>114</v>
      </c>
      <c r="G178" s="26" t="s">
        <v>105</v>
      </c>
      <c r="H178" s="26"/>
      <c r="I178" s="27" t="s">
        <v>113</v>
      </c>
      <c r="J178" s="27" t="s">
        <v>18</v>
      </c>
      <c r="K178" s="28"/>
      <c r="L178" s="28"/>
      <c r="M178" s="28"/>
      <c r="N178" s="27" t="s">
        <v>45</v>
      </c>
      <c r="O178" s="31">
        <v>118746.24000000001</v>
      </c>
      <c r="P178" s="29" t="e">
        <f>'Infrastructure Benchmarks-ref'!$O178/'Infrastructure Benchmarks-ref'!$K178</f>
        <v>#DIV/0!</v>
      </c>
      <c r="Q178" s="29" t="e">
        <f>'Infrastructure Benchmarks-ref'!$O178/'Infrastructure Benchmarks-ref'!$L178</f>
        <v>#DIV/0!</v>
      </c>
      <c r="R178" s="29" t="e">
        <f>'Infrastructure Benchmarks-ref'!$O178/'Infrastructure Benchmarks-ref'!$M178</f>
        <v>#DIV/0!</v>
      </c>
      <c r="S178" s="30"/>
    </row>
    <row r="179" spans="1:19" x14ac:dyDescent="0.2">
      <c r="A179" s="25" t="s">
        <v>70</v>
      </c>
      <c r="B179" s="26" t="s">
        <v>2</v>
      </c>
      <c r="C179" s="26" t="s">
        <v>39</v>
      </c>
      <c r="D179" s="26" t="s">
        <v>106</v>
      </c>
      <c r="E179" s="26"/>
      <c r="F179" s="26" t="s">
        <v>114</v>
      </c>
      <c r="G179" s="26" t="s">
        <v>105</v>
      </c>
      <c r="H179" s="26"/>
      <c r="I179" s="27" t="s">
        <v>113</v>
      </c>
      <c r="J179" s="27" t="s">
        <v>18</v>
      </c>
      <c r="K179" s="28"/>
      <c r="L179" s="28"/>
      <c r="M179" s="28"/>
      <c r="N179" s="27" t="s">
        <v>14</v>
      </c>
      <c r="O179" s="28">
        <v>327156</v>
      </c>
      <c r="P179" s="29" t="e">
        <f>'Infrastructure Benchmarks-ref'!$O179/'Infrastructure Benchmarks-ref'!$K179</f>
        <v>#DIV/0!</v>
      </c>
      <c r="Q179" s="29" t="e">
        <f>'Infrastructure Benchmarks-ref'!$O179/'Infrastructure Benchmarks-ref'!$L179</f>
        <v>#DIV/0!</v>
      </c>
      <c r="R179" s="29" t="e">
        <f>'Infrastructure Benchmarks-ref'!$O179/'Infrastructure Benchmarks-ref'!$M179</f>
        <v>#DIV/0!</v>
      </c>
      <c r="S179" s="30"/>
    </row>
    <row r="180" spans="1:19" x14ac:dyDescent="0.2">
      <c r="A180" s="25" t="s">
        <v>70</v>
      </c>
      <c r="B180" s="26" t="s">
        <v>2</v>
      </c>
      <c r="C180" s="26" t="s">
        <v>39</v>
      </c>
      <c r="D180" s="26" t="s">
        <v>106</v>
      </c>
      <c r="E180" s="26"/>
      <c r="F180" s="26" t="s">
        <v>114</v>
      </c>
      <c r="G180" s="26" t="s">
        <v>105</v>
      </c>
      <c r="H180" s="26"/>
      <c r="I180" s="27" t="s">
        <v>113</v>
      </c>
      <c r="J180" s="27" t="s">
        <v>18</v>
      </c>
      <c r="K180" s="28"/>
      <c r="L180" s="28"/>
      <c r="M180" s="28"/>
      <c r="N180" s="27" t="s">
        <v>22</v>
      </c>
      <c r="O180" s="28">
        <v>13519880.800000001</v>
      </c>
      <c r="P180" s="29" t="e">
        <f>'Infrastructure Benchmarks-ref'!$O180/'Infrastructure Benchmarks-ref'!$K180</f>
        <v>#DIV/0!</v>
      </c>
      <c r="Q180" s="29" t="e">
        <f>'Infrastructure Benchmarks-ref'!$O180/'Infrastructure Benchmarks-ref'!$L180</f>
        <v>#DIV/0!</v>
      </c>
      <c r="R180" s="29" t="e">
        <f>'Infrastructure Benchmarks-ref'!$O180/'Infrastructure Benchmarks-ref'!$M180</f>
        <v>#DIV/0!</v>
      </c>
      <c r="S180" s="30"/>
    </row>
    <row r="181" spans="1:19" x14ac:dyDescent="0.2">
      <c r="A181" s="25" t="s">
        <v>70</v>
      </c>
      <c r="B181" s="26" t="s">
        <v>2</v>
      </c>
      <c r="C181" s="26" t="s">
        <v>39</v>
      </c>
      <c r="D181" s="26" t="s">
        <v>106</v>
      </c>
      <c r="E181" s="26"/>
      <c r="F181" s="26" t="s">
        <v>114</v>
      </c>
      <c r="G181" s="26" t="s">
        <v>105</v>
      </c>
      <c r="H181" s="26"/>
      <c r="I181" s="27" t="s">
        <v>113</v>
      </c>
      <c r="J181" s="27" t="s">
        <v>18</v>
      </c>
      <c r="K181" s="28"/>
      <c r="L181" s="28"/>
      <c r="M181" s="28"/>
      <c r="N181" s="27" t="s">
        <v>20</v>
      </c>
      <c r="O181" s="28">
        <v>11337732</v>
      </c>
      <c r="P181" s="29" t="e">
        <f>'Infrastructure Benchmarks-ref'!$O181/'Infrastructure Benchmarks-ref'!$K181</f>
        <v>#DIV/0!</v>
      </c>
      <c r="Q181" s="29" t="e">
        <f>'Infrastructure Benchmarks-ref'!$O181/'Infrastructure Benchmarks-ref'!$L181</f>
        <v>#DIV/0!</v>
      </c>
      <c r="R181" s="29" t="e">
        <f>'Infrastructure Benchmarks-ref'!$O181/'Infrastructure Benchmarks-ref'!$M181</f>
        <v>#DIV/0!</v>
      </c>
      <c r="S181" s="30"/>
    </row>
    <row r="182" spans="1:19" x14ac:dyDescent="0.2">
      <c r="A182" s="25" t="s">
        <v>70</v>
      </c>
      <c r="B182" s="26" t="s">
        <v>2</v>
      </c>
      <c r="C182" s="26" t="s">
        <v>39</v>
      </c>
      <c r="D182" s="26" t="s">
        <v>106</v>
      </c>
      <c r="E182" s="26"/>
      <c r="F182" s="26" t="s">
        <v>114</v>
      </c>
      <c r="G182" s="26" t="s">
        <v>105</v>
      </c>
      <c r="H182" s="26"/>
      <c r="I182" s="27" t="s">
        <v>113</v>
      </c>
      <c r="J182" s="27" t="s">
        <v>18</v>
      </c>
      <c r="K182" s="28"/>
      <c r="L182" s="28"/>
      <c r="M182" s="28"/>
      <c r="N182" s="27" t="s">
        <v>23</v>
      </c>
      <c r="O182" s="28">
        <v>8021901</v>
      </c>
      <c r="P182" s="29" t="e">
        <f>'Infrastructure Benchmarks-ref'!$O182/'Infrastructure Benchmarks-ref'!$K182</f>
        <v>#DIV/0!</v>
      </c>
      <c r="Q182" s="29" t="e">
        <f>'Infrastructure Benchmarks-ref'!$O182/'Infrastructure Benchmarks-ref'!$L182</f>
        <v>#DIV/0!</v>
      </c>
      <c r="R182" s="29" t="e">
        <f>'Infrastructure Benchmarks-ref'!$O182/'Infrastructure Benchmarks-ref'!$M182</f>
        <v>#DIV/0!</v>
      </c>
      <c r="S182" s="30"/>
    </row>
    <row r="183" spans="1:19" x14ac:dyDescent="0.2">
      <c r="A183" s="25" t="s">
        <v>70</v>
      </c>
      <c r="B183" s="26" t="s">
        <v>2</v>
      </c>
      <c r="C183" s="26" t="s">
        <v>39</v>
      </c>
      <c r="D183" s="26" t="s">
        <v>106</v>
      </c>
      <c r="E183" s="26"/>
      <c r="F183" s="26" t="s">
        <v>114</v>
      </c>
      <c r="G183" s="26" t="s">
        <v>105</v>
      </c>
      <c r="H183" s="26"/>
      <c r="I183" s="27" t="s">
        <v>113</v>
      </c>
      <c r="J183" s="27" t="s">
        <v>18</v>
      </c>
      <c r="K183" s="28"/>
      <c r="L183" s="28"/>
      <c r="M183" s="28"/>
      <c r="N183" s="27" t="s">
        <v>25</v>
      </c>
      <c r="O183" s="28">
        <v>4469081</v>
      </c>
      <c r="P183" s="29" t="e">
        <f>'Infrastructure Benchmarks-ref'!$O183/'Infrastructure Benchmarks-ref'!$K183</f>
        <v>#DIV/0!</v>
      </c>
      <c r="Q183" s="29" t="e">
        <f>'Infrastructure Benchmarks-ref'!$O183/'Infrastructure Benchmarks-ref'!$L183</f>
        <v>#DIV/0!</v>
      </c>
      <c r="R183" s="29" t="e">
        <f>'Infrastructure Benchmarks-ref'!$O183/'Infrastructure Benchmarks-ref'!$M183</f>
        <v>#DIV/0!</v>
      </c>
      <c r="S183" s="30"/>
    </row>
    <row r="184" spans="1:19" x14ac:dyDescent="0.2">
      <c r="A184" s="25" t="s">
        <v>70</v>
      </c>
      <c r="B184" s="26" t="s">
        <v>2</v>
      </c>
      <c r="C184" s="26" t="s">
        <v>39</v>
      </c>
      <c r="D184" s="26" t="s">
        <v>106</v>
      </c>
      <c r="E184" s="26"/>
      <c r="F184" s="26" t="s">
        <v>114</v>
      </c>
      <c r="G184" s="26" t="s">
        <v>105</v>
      </c>
      <c r="H184" s="26"/>
      <c r="I184" s="27" t="s">
        <v>113</v>
      </c>
      <c r="J184" s="27" t="s">
        <v>18</v>
      </c>
      <c r="K184" s="28"/>
      <c r="L184" s="28"/>
      <c r="M184" s="28"/>
      <c r="N184" s="27" t="s">
        <v>46</v>
      </c>
      <c r="O184" s="28"/>
      <c r="P184" s="29" t="e">
        <f>'Infrastructure Benchmarks-ref'!$O184/'Infrastructure Benchmarks-ref'!$K184</f>
        <v>#DIV/0!</v>
      </c>
      <c r="Q184" s="29" t="e">
        <f>'Infrastructure Benchmarks-ref'!$O184/'Infrastructure Benchmarks-ref'!$L184</f>
        <v>#DIV/0!</v>
      </c>
      <c r="R184" s="29" t="e">
        <f>'Infrastructure Benchmarks-ref'!$O184/'Infrastructure Benchmarks-ref'!$M184</f>
        <v>#DIV/0!</v>
      </c>
      <c r="S184" s="30"/>
    </row>
    <row r="185" spans="1:19" x14ac:dyDescent="0.2">
      <c r="A185" s="25" t="s">
        <v>70</v>
      </c>
      <c r="B185" s="26" t="s">
        <v>2</v>
      </c>
      <c r="C185" s="26" t="s">
        <v>39</v>
      </c>
      <c r="D185" s="26" t="s">
        <v>106</v>
      </c>
      <c r="E185" s="26"/>
      <c r="F185" s="26" t="s">
        <v>114</v>
      </c>
      <c r="G185" s="26" t="s">
        <v>105</v>
      </c>
      <c r="H185" s="26"/>
      <c r="I185" s="27" t="s">
        <v>113</v>
      </c>
      <c r="J185" s="27" t="s">
        <v>18</v>
      </c>
      <c r="K185" s="28"/>
      <c r="L185" s="28"/>
      <c r="M185" s="28"/>
      <c r="N185" s="27" t="s">
        <v>34</v>
      </c>
      <c r="O185" s="28">
        <v>4383390</v>
      </c>
      <c r="P185" s="29" t="e">
        <f>'Infrastructure Benchmarks-ref'!$O185/'Infrastructure Benchmarks-ref'!$K185</f>
        <v>#DIV/0!</v>
      </c>
      <c r="Q185" s="29" t="e">
        <f>'Infrastructure Benchmarks-ref'!$O185/'Infrastructure Benchmarks-ref'!$L185</f>
        <v>#DIV/0!</v>
      </c>
      <c r="R185" s="29" t="e">
        <f>'Infrastructure Benchmarks-ref'!$O185/'Infrastructure Benchmarks-ref'!$M185</f>
        <v>#DIV/0!</v>
      </c>
      <c r="S185" s="30"/>
    </row>
    <row r="186" spans="1:19" x14ac:dyDescent="0.2">
      <c r="A186" s="25" t="s">
        <v>70</v>
      </c>
      <c r="B186" s="26" t="s">
        <v>2</v>
      </c>
      <c r="C186" s="26" t="s">
        <v>39</v>
      </c>
      <c r="D186" s="26" t="s">
        <v>106</v>
      </c>
      <c r="E186" s="26"/>
      <c r="F186" s="26" t="s">
        <v>114</v>
      </c>
      <c r="G186" s="26" t="s">
        <v>105</v>
      </c>
      <c r="H186" s="26"/>
      <c r="I186" s="27" t="s">
        <v>113</v>
      </c>
      <c r="J186" s="27" t="s">
        <v>18</v>
      </c>
      <c r="K186" s="28"/>
      <c r="L186" s="28"/>
      <c r="M186" s="28"/>
      <c r="N186" s="27" t="s">
        <v>26</v>
      </c>
      <c r="O186" s="28">
        <v>2795953</v>
      </c>
      <c r="P186" s="29" t="e">
        <f>'Infrastructure Benchmarks-ref'!$O186/'Infrastructure Benchmarks-ref'!$K186</f>
        <v>#DIV/0!</v>
      </c>
      <c r="Q186" s="29" t="e">
        <f>'Infrastructure Benchmarks-ref'!$O186/'Infrastructure Benchmarks-ref'!$L186</f>
        <v>#DIV/0!</v>
      </c>
      <c r="R186" s="29" t="e">
        <f>'Infrastructure Benchmarks-ref'!$O186/'Infrastructure Benchmarks-ref'!$M186</f>
        <v>#DIV/0!</v>
      </c>
      <c r="S186" s="30"/>
    </row>
    <row r="187" spans="1:19" x14ac:dyDescent="0.2">
      <c r="A187" s="25" t="s">
        <v>70</v>
      </c>
      <c r="B187" s="26" t="s">
        <v>2</v>
      </c>
      <c r="C187" s="26" t="s">
        <v>39</v>
      </c>
      <c r="D187" s="26" t="s">
        <v>106</v>
      </c>
      <c r="E187" s="26"/>
      <c r="F187" s="26" t="s">
        <v>114</v>
      </c>
      <c r="G187" s="26" t="s">
        <v>105</v>
      </c>
      <c r="H187" s="26"/>
      <c r="I187" s="27" t="s">
        <v>113</v>
      </c>
      <c r="J187" s="27" t="s">
        <v>18</v>
      </c>
      <c r="K187" s="28"/>
      <c r="L187" s="28"/>
      <c r="M187" s="28"/>
      <c r="N187" s="27" t="s">
        <v>28</v>
      </c>
      <c r="O187" s="28">
        <v>2144619</v>
      </c>
      <c r="P187" s="29" t="e">
        <f>'Infrastructure Benchmarks-ref'!$O187/'Infrastructure Benchmarks-ref'!$K187</f>
        <v>#DIV/0!</v>
      </c>
      <c r="Q187" s="29" t="e">
        <f>'Infrastructure Benchmarks-ref'!$O187/'Infrastructure Benchmarks-ref'!$L187</f>
        <v>#DIV/0!</v>
      </c>
      <c r="R187" s="29" t="e">
        <f>'Infrastructure Benchmarks-ref'!$O187/'Infrastructure Benchmarks-ref'!$M187</f>
        <v>#DIV/0!</v>
      </c>
      <c r="S187" s="30"/>
    </row>
    <row r="188" spans="1:19" x14ac:dyDescent="0.2">
      <c r="A188" s="25" t="s">
        <v>70</v>
      </c>
      <c r="B188" s="26" t="s">
        <v>2</v>
      </c>
      <c r="C188" s="26" t="s">
        <v>39</v>
      </c>
      <c r="D188" s="26" t="s">
        <v>106</v>
      </c>
      <c r="E188" s="26"/>
      <c r="F188" s="26" t="s">
        <v>114</v>
      </c>
      <c r="G188" s="26" t="s">
        <v>105</v>
      </c>
      <c r="H188" s="26"/>
      <c r="I188" s="27" t="s">
        <v>113</v>
      </c>
      <c r="J188" s="27" t="s">
        <v>18</v>
      </c>
      <c r="K188" s="28"/>
      <c r="L188" s="28"/>
      <c r="M188" s="28"/>
      <c r="N188" s="27" t="s">
        <v>47</v>
      </c>
      <c r="O188" s="28">
        <v>1540599</v>
      </c>
      <c r="P188" s="29" t="e">
        <f>'Infrastructure Benchmarks-ref'!$O188/'Infrastructure Benchmarks-ref'!$K188</f>
        <v>#DIV/0!</v>
      </c>
      <c r="Q188" s="29" t="e">
        <f>'Infrastructure Benchmarks-ref'!$O188/'Infrastructure Benchmarks-ref'!$L188</f>
        <v>#DIV/0!</v>
      </c>
      <c r="R188" s="29" t="e">
        <f>'Infrastructure Benchmarks-ref'!$O188/'Infrastructure Benchmarks-ref'!$M188</f>
        <v>#DIV/0!</v>
      </c>
      <c r="S188" s="30"/>
    </row>
    <row r="189" spans="1:19" x14ac:dyDescent="0.2">
      <c r="A189" s="25" t="s">
        <v>70</v>
      </c>
      <c r="B189" s="26" t="s">
        <v>2</v>
      </c>
      <c r="C189" s="26" t="s">
        <v>39</v>
      </c>
      <c r="D189" s="26" t="s">
        <v>106</v>
      </c>
      <c r="E189" s="26"/>
      <c r="F189" s="26" t="s">
        <v>114</v>
      </c>
      <c r="G189" s="26" t="s">
        <v>105</v>
      </c>
      <c r="H189" s="26"/>
      <c r="I189" s="27" t="s">
        <v>113</v>
      </c>
      <c r="J189" s="27" t="s">
        <v>18</v>
      </c>
      <c r="K189" s="28"/>
      <c r="L189" s="28"/>
      <c r="M189" s="28"/>
      <c r="N189" s="27" t="s">
        <v>27</v>
      </c>
      <c r="O189" s="28">
        <v>2719184</v>
      </c>
      <c r="P189" s="29" t="e">
        <f>'Infrastructure Benchmarks-ref'!$O189/'Infrastructure Benchmarks-ref'!$K189</f>
        <v>#DIV/0!</v>
      </c>
      <c r="Q189" s="29" t="e">
        <f>'Infrastructure Benchmarks-ref'!$O189/'Infrastructure Benchmarks-ref'!$L189</f>
        <v>#DIV/0!</v>
      </c>
      <c r="R189" s="29" t="e">
        <f>'Infrastructure Benchmarks-ref'!$O189/'Infrastructure Benchmarks-ref'!$M189</f>
        <v>#DIV/0!</v>
      </c>
      <c r="S189" s="30"/>
    </row>
    <row r="190" spans="1:19" x14ac:dyDescent="0.2">
      <c r="A190" s="25" t="s">
        <v>70</v>
      </c>
      <c r="B190" s="26" t="s">
        <v>2</v>
      </c>
      <c r="C190" s="26" t="s">
        <v>39</v>
      </c>
      <c r="D190" s="26" t="s">
        <v>106</v>
      </c>
      <c r="E190" s="26"/>
      <c r="F190" s="26" t="s">
        <v>114</v>
      </c>
      <c r="G190" s="26" t="s">
        <v>105</v>
      </c>
      <c r="H190" s="26"/>
      <c r="I190" s="27" t="s">
        <v>113</v>
      </c>
      <c r="J190" s="27" t="s">
        <v>18</v>
      </c>
      <c r="K190" s="28"/>
      <c r="L190" s="28"/>
      <c r="M190" s="28"/>
      <c r="N190" s="27" t="s">
        <v>48</v>
      </c>
      <c r="O190" s="28"/>
      <c r="P190" s="29" t="e">
        <f>'Infrastructure Benchmarks-ref'!$O190/'Infrastructure Benchmarks-ref'!$K190</f>
        <v>#DIV/0!</v>
      </c>
      <c r="Q190" s="29" t="e">
        <f>'Infrastructure Benchmarks-ref'!$O190/'Infrastructure Benchmarks-ref'!$L190</f>
        <v>#DIV/0!</v>
      </c>
      <c r="R190" s="29" t="e">
        <f>'Infrastructure Benchmarks-ref'!$O190/'Infrastructure Benchmarks-ref'!$M190</f>
        <v>#DIV/0!</v>
      </c>
      <c r="S190" s="30"/>
    </row>
    <row r="191" spans="1:19" x14ac:dyDescent="0.2">
      <c r="A191" s="25" t="s">
        <v>70</v>
      </c>
      <c r="B191" s="26" t="s">
        <v>2</v>
      </c>
      <c r="C191" s="26" t="s">
        <v>39</v>
      </c>
      <c r="D191" s="26" t="s">
        <v>106</v>
      </c>
      <c r="E191" s="26"/>
      <c r="F191" s="26" t="s">
        <v>114</v>
      </c>
      <c r="G191" s="26" t="s">
        <v>105</v>
      </c>
      <c r="H191" s="26"/>
      <c r="I191" s="27" t="s">
        <v>113</v>
      </c>
      <c r="J191" s="27" t="s">
        <v>18</v>
      </c>
      <c r="K191" s="28"/>
      <c r="L191" s="28"/>
      <c r="M191" s="28"/>
      <c r="N191" s="27" t="s">
        <v>49</v>
      </c>
      <c r="O191" s="31"/>
      <c r="P191" s="29" t="e">
        <f>'Infrastructure Benchmarks-ref'!$O191/'Infrastructure Benchmarks-ref'!$K191</f>
        <v>#DIV/0!</v>
      </c>
      <c r="Q191" s="29" t="e">
        <f>'Infrastructure Benchmarks-ref'!$O191/'Infrastructure Benchmarks-ref'!$L191</f>
        <v>#DIV/0!</v>
      </c>
      <c r="R191" s="29" t="e">
        <f>'Infrastructure Benchmarks-ref'!$O191/'Infrastructure Benchmarks-ref'!$M191</f>
        <v>#DIV/0!</v>
      </c>
      <c r="S191" s="30"/>
    </row>
    <row r="192" spans="1:19" x14ac:dyDescent="0.2">
      <c r="A192" s="25" t="s">
        <v>70</v>
      </c>
      <c r="B192" s="26" t="s">
        <v>2</v>
      </c>
      <c r="C192" s="26" t="s">
        <v>39</v>
      </c>
      <c r="D192" s="26" t="s">
        <v>106</v>
      </c>
      <c r="E192" s="26"/>
      <c r="F192" s="26" t="s">
        <v>114</v>
      </c>
      <c r="G192" s="26" t="s">
        <v>105</v>
      </c>
      <c r="H192" s="26"/>
      <c r="I192" s="27" t="s">
        <v>113</v>
      </c>
      <c r="J192" s="27" t="s">
        <v>18</v>
      </c>
      <c r="K192" s="28"/>
      <c r="L192" s="28"/>
      <c r="M192" s="28"/>
      <c r="N192" s="27" t="s">
        <v>50</v>
      </c>
      <c r="O192" s="31"/>
      <c r="P192" s="29" t="e">
        <f>'Infrastructure Benchmarks-ref'!$O192/'Infrastructure Benchmarks-ref'!$K192</f>
        <v>#DIV/0!</v>
      </c>
      <c r="Q192" s="29" t="e">
        <f>'Infrastructure Benchmarks-ref'!$O192/'Infrastructure Benchmarks-ref'!$L192</f>
        <v>#DIV/0!</v>
      </c>
      <c r="R192" s="29" t="e">
        <f>'Infrastructure Benchmarks-ref'!$O192/'Infrastructure Benchmarks-ref'!$M192</f>
        <v>#DIV/0!</v>
      </c>
      <c r="S192" s="30"/>
    </row>
    <row r="193" spans="1:19" x14ac:dyDescent="0.2">
      <c r="A193" s="25" t="s">
        <v>70</v>
      </c>
      <c r="B193" s="26" t="s">
        <v>2</v>
      </c>
      <c r="C193" s="26" t="s">
        <v>39</v>
      </c>
      <c r="D193" s="26" t="s">
        <v>106</v>
      </c>
      <c r="E193" s="26"/>
      <c r="F193" s="26" t="s">
        <v>114</v>
      </c>
      <c r="G193" s="26" t="s">
        <v>105</v>
      </c>
      <c r="H193" s="26"/>
      <c r="I193" s="27" t="s">
        <v>113</v>
      </c>
      <c r="J193" s="27" t="s">
        <v>18</v>
      </c>
      <c r="K193" s="28"/>
      <c r="L193" s="28"/>
      <c r="M193" s="28"/>
      <c r="N193" s="27" t="s">
        <v>51</v>
      </c>
      <c r="O193" s="28"/>
      <c r="P193" s="29" t="e">
        <f>'Infrastructure Benchmarks-ref'!$O193/'Infrastructure Benchmarks-ref'!$K193</f>
        <v>#DIV/0!</v>
      </c>
      <c r="Q193" s="29" t="e">
        <f>'Infrastructure Benchmarks-ref'!$O193/'Infrastructure Benchmarks-ref'!$L193</f>
        <v>#DIV/0!</v>
      </c>
      <c r="R193" s="29" t="e">
        <f>'Infrastructure Benchmarks-ref'!$O193/'Infrastructure Benchmarks-ref'!$M193</f>
        <v>#DIV/0!</v>
      </c>
      <c r="S193" s="30"/>
    </row>
    <row r="194" spans="1:19" x14ac:dyDescent="0.2">
      <c r="A194" s="25" t="s">
        <v>70</v>
      </c>
      <c r="B194" s="26" t="s">
        <v>2</v>
      </c>
      <c r="C194" s="26" t="s">
        <v>39</v>
      </c>
      <c r="D194" s="26" t="s">
        <v>106</v>
      </c>
      <c r="E194" s="26"/>
      <c r="F194" s="26" t="s">
        <v>114</v>
      </c>
      <c r="G194" s="26" t="s">
        <v>105</v>
      </c>
      <c r="H194" s="26"/>
      <c r="I194" s="27" t="s">
        <v>113</v>
      </c>
      <c r="J194" s="27" t="s">
        <v>18</v>
      </c>
      <c r="K194" s="28"/>
      <c r="L194" s="28"/>
      <c r="M194" s="28"/>
      <c r="N194" s="27" t="s">
        <v>52</v>
      </c>
      <c r="O194" s="28"/>
      <c r="P194" s="29" t="e">
        <f>'Infrastructure Benchmarks-ref'!$O194/'Infrastructure Benchmarks-ref'!$K194</f>
        <v>#DIV/0!</v>
      </c>
      <c r="Q194" s="29" t="e">
        <f>'Infrastructure Benchmarks-ref'!$O194/'Infrastructure Benchmarks-ref'!$L194</f>
        <v>#DIV/0!</v>
      </c>
      <c r="R194" s="29" t="e">
        <f>'Infrastructure Benchmarks-ref'!$O194/'Infrastructure Benchmarks-ref'!$M194</f>
        <v>#DIV/0!</v>
      </c>
      <c r="S194" s="30"/>
    </row>
    <row r="195" spans="1:19" x14ac:dyDescent="0.2">
      <c r="A195" s="25" t="s">
        <v>70</v>
      </c>
      <c r="B195" s="26" t="s">
        <v>2</v>
      </c>
      <c r="C195" s="26" t="s">
        <v>39</v>
      </c>
      <c r="D195" s="26" t="s">
        <v>106</v>
      </c>
      <c r="E195" s="26"/>
      <c r="F195" s="26" t="s">
        <v>114</v>
      </c>
      <c r="G195" s="26" t="s">
        <v>105</v>
      </c>
      <c r="H195" s="26"/>
      <c r="I195" s="27" t="s">
        <v>113</v>
      </c>
      <c r="J195" s="27" t="s">
        <v>18</v>
      </c>
      <c r="K195" s="28"/>
      <c r="L195" s="28"/>
      <c r="M195" s="28"/>
      <c r="N195" s="27" t="s">
        <v>53</v>
      </c>
      <c r="O195" s="28"/>
      <c r="P195" s="29" t="e">
        <f>'Infrastructure Benchmarks-ref'!$O195/'Infrastructure Benchmarks-ref'!$K195</f>
        <v>#DIV/0!</v>
      </c>
      <c r="Q195" s="29" t="e">
        <f>'Infrastructure Benchmarks-ref'!$O195/'Infrastructure Benchmarks-ref'!$L195</f>
        <v>#DIV/0!</v>
      </c>
      <c r="R195" s="29" t="e">
        <f>'Infrastructure Benchmarks-ref'!$O195/'Infrastructure Benchmarks-ref'!$M195</f>
        <v>#DIV/0!</v>
      </c>
      <c r="S195" s="30"/>
    </row>
    <row r="196" spans="1:19" x14ac:dyDescent="0.2">
      <c r="A196" s="25" t="s">
        <v>70</v>
      </c>
      <c r="B196" s="26" t="s">
        <v>2</v>
      </c>
      <c r="C196" s="26" t="s">
        <v>39</v>
      </c>
      <c r="D196" s="26" t="s">
        <v>106</v>
      </c>
      <c r="E196" s="26"/>
      <c r="F196" s="26" t="s">
        <v>114</v>
      </c>
      <c r="G196" s="26" t="s">
        <v>105</v>
      </c>
      <c r="H196" s="26"/>
      <c r="I196" s="27" t="s">
        <v>113</v>
      </c>
      <c r="J196" s="27" t="s">
        <v>18</v>
      </c>
      <c r="K196" s="28"/>
      <c r="L196" s="28"/>
      <c r="M196" s="28"/>
      <c r="N196" s="27" t="s">
        <v>55</v>
      </c>
      <c r="O196" s="28"/>
      <c r="P196" s="29" t="e">
        <f>'Infrastructure Benchmarks-ref'!$O196/'Infrastructure Benchmarks-ref'!$K196</f>
        <v>#DIV/0!</v>
      </c>
      <c r="Q196" s="29" t="e">
        <f>'Infrastructure Benchmarks-ref'!$O196/'Infrastructure Benchmarks-ref'!$L196</f>
        <v>#DIV/0!</v>
      </c>
      <c r="R196" s="29" t="e">
        <f>'Infrastructure Benchmarks-ref'!$O196/'Infrastructure Benchmarks-ref'!$M196</f>
        <v>#DIV/0!</v>
      </c>
      <c r="S196" s="30"/>
    </row>
    <row r="197" spans="1:19" x14ac:dyDescent="0.2">
      <c r="A197" s="25" t="s">
        <v>70</v>
      </c>
      <c r="B197" s="26" t="s">
        <v>2</v>
      </c>
      <c r="C197" s="26" t="s">
        <v>39</v>
      </c>
      <c r="D197" s="26" t="s">
        <v>106</v>
      </c>
      <c r="E197" s="26"/>
      <c r="F197" s="26" t="s">
        <v>114</v>
      </c>
      <c r="G197" s="26" t="s">
        <v>105</v>
      </c>
      <c r="H197" s="26"/>
      <c r="I197" s="27" t="s">
        <v>113</v>
      </c>
      <c r="J197" s="27" t="s">
        <v>18</v>
      </c>
      <c r="K197" s="28"/>
      <c r="L197" s="28"/>
      <c r="M197" s="28"/>
      <c r="N197" s="27" t="s">
        <v>54</v>
      </c>
      <c r="O197" s="31"/>
      <c r="P197" s="29" t="e">
        <f>'Infrastructure Benchmarks-ref'!$O197/'Infrastructure Benchmarks-ref'!$K197</f>
        <v>#DIV/0!</v>
      </c>
      <c r="Q197" s="29" t="e">
        <f>'Infrastructure Benchmarks-ref'!$O197/'Infrastructure Benchmarks-ref'!$L197</f>
        <v>#DIV/0!</v>
      </c>
      <c r="R197" s="29" t="e">
        <f>'Infrastructure Benchmarks-ref'!$O197/'Infrastructure Benchmarks-ref'!$M197</f>
        <v>#DIV/0!</v>
      </c>
      <c r="S197" s="30"/>
    </row>
    <row r="198" spans="1:19" x14ac:dyDescent="0.2">
      <c r="A198" s="25" t="s">
        <v>70</v>
      </c>
      <c r="B198" s="26" t="s">
        <v>2</v>
      </c>
      <c r="C198" s="26" t="s">
        <v>39</v>
      </c>
      <c r="D198" s="26" t="s">
        <v>106</v>
      </c>
      <c r="E198" s="26"/>
      <c r="F198" s="26" t="s">
        <v>114</v>
      </c>
      <c r="G198" s="26" t="s">
        <v>105</v>
      </c>
      <c r="H198" s="26"/>
      <c r="I198" s="27" t="s">
        <v>113</v>
      </c>
      <c r="J198" s="27" t="s">
        <v>18</v>
      </c>
      <c r="K198" s="28"/>
      <c r="L198" s="28"/>
      <c r="M198" s="28"/>
      <c r="N198" s="27" t="s">
        <v>56</v>
      </c>
      <c r="O198" s="28"/>
      <c r="P198" s="29" t="e">
        <f>'Infrastructure Benchmarks-ref'!$O198/'Infrastructure Benchmarks-ref'!$K198</f>
        <v>#DIV/0!</v>
      </c>
      <c r="Q198" s="29" t="e">
        <f>'Infrastructure Benchmarks-ref'!$O198/'Infrastructure Benchmarks-ref'!$L198</f>
        <v>#DIV/0!</v>
      </c>
      <c r="R198" s="29" t="e">
        <f>'Infrastructure Benchmarks-ref'!$O198/'Infrastructure Benchmarks-ref'!$M198</f>
        <v>#DIV/0!</v>
      </c>
      <c r="S198" s="30"/>
    </row>
    <row r="199" spans="1:19" x14ac:dyDescent="0.2">
      <c r="A199" s="25" t="s">
        <v>70</v>
      </c>
      <c r="B199" s="26" t="s">
        <v>2</v>
      </c>
      <c r="C199" s="26" t="s">
        <v>39</v>
      </c>
      <c r="D199" s="26" t="s">
        <v>106</v>
      </c>
      <c r="E199" s="26"/>
      <c r="F199" s="26" t="s">
        <v>114</v>
      </c>
      <c r="G199" s="26" t="s">
        <v>105</v>
      </c>
      <c r="H199" s="26"/>
      <c r="I199" s="27" t="s">
        <v>113</v>
      </c>
      <c r="J199" s="27" t="s">
        <v>18</v>
      </c>
      <c r="K199" s="28"/>
      <c r="L199" s="28"/>
      <c r="M199" s="28"/>
      <c r="N199" s="27" t="s">
        <v>73</v>
      </c>
      <c r="O199" s="28">
        <v>3063503</v>
      </c>
      <c r="P199" s="29" t="e">
        <f>'Infrastructure Benchmarks-ref'!$O199/'Infrastructure Benchmarks-ref'!$K199</f>
        <v>#DIV/0!</v>
      </c>
      <c r="Q199" s="29" t="e">
        <f>'Infrastructure Benchmarks-ref'!$O199/'Infrastructure Benchmarks-ref'!$L199</f>
        <v>#DIV/0!</v>
      </c>
      <c r="R199" s="29" t="e">
        <f>'Infrastructure Benchmarks-ref'!$O199/'Infrastructure Benchmarks-ref'!$M199</f>
        <v>#DIV/0!</v>
      </c>
      <c r="S199" s="30"/>
    </row>
    <row r="200" spans="1:19" x14ac:dyDescent="0.2">
      <c r="A200" s="25" t="s">
        <v>70</v>
      </c>
      <c r="B200" s="26" t="s">
        <v>2</v>
      </c>
      <c r="C200" s="26" t="s">
        <v>39</v>
      </c>
      <c r="D200" s="26" t="s">
        <v>106</v>
      </c>
      <c r="E200" s="26"/>
      <c r="F200" s="26" t="s">
        <v>114</v>
      </c>
      <c r="G200" s="26" t="s">
        <v>105</v>
      </c>
      <c r="H200" s="26"/>
      <c r="I200" s="27" t="s">
        <v>113</v>
      </c>
      <c r="J200" s="27" t="s">
        <v>18</v>
      </c>
      <c r="K200" s="28"/>
      <c r="L200" s="28"/>
      <c r="M200" s="28"/>
      <c r="N200" s="27" t="s">
        <v>57</v>
      </c>
      <c r="O200" s="63"/>
      <c r="P200" s="29" t="e">
        <f>'Infrastructure Benchmarks-ref'!$O200/'Infrastructure Benchmarks-ref'!$K200</f>
        <v>#DIV/0!</v>
      </c>
      <c r="Q200" s="29" t="e">
        <f>'Infrastructure Benchmarks-ref'!$O200/'Infrastructure Benchmarks-ref'!$L200</f>
        <v>#DIV/0!</v>
      </c>
      <c r="R200" s="29" t="e">
        <f>'Infrastructure Benchmarks-ref'!$O200/'Infrastructure Benchmarks-ref'!$M200</f>
        <v>#DIV/0!</v>
      </c>
      <c r="S200" s="30"/>
    </row>
    <row r="201" spans="1:19" x14ac:dyDescent="0.2">
      <c r="A201" s="25" t="s">
        <v>70</v>
      </c>
      <c r="B201" s="26" t="s">
        <v>2</v>
      </c>
      <c r="C201" s="26" t="s">
        <v>39</v>
      </c>
      <c r="D201" s="26" t="s">
        <v>106</v>
      </c>
      <c r="E201" s="26"/>
      <c r="F201" s="26" t="s">
        <v>114</v>
      </c>
      <c r="G201" s="26" t="s">
        <v>105</v>
      </c>
      <c r="H201" s="26"/>
      <c r="I201" s="27" t="s">
        <v>113</v>
      </c>
      <c r="J201" s="27" t="s">
        <v>18</v>
      </c>
      <c r="K201" s="28"/>
      <c r="L201" s="28"/>
      <c r="M201" s="28"/>
      <c r="N201" s="27" t="s">
        <v>58</v>
      </c>
      <c r="O201" s="31">
        <v>30200000</v>
      </c>
      <c r="P201" s="29" t="e">
        <f>'Infrastructure Benchmarks-ref'!$O201/'Infrastructure Benchmarks-ref'!$K201</f>
        <v>#DIV/0!</v>
      </c>
      <c r="Q201" s="29" t="e">
        <f>'Infrastructure Benchmarks-ref'!$O201/'Infrastructure Benchmarks-ref'!$L201</f>
        <v>#DIV/0!</v>
      </c>
      <c r="R201" s="29" t="e">
        <f>'Infrastructure Benchmarks-ref'!$O201/'Infrastructure Benchmarks-ref'!$M201</f>
        <v>#DIV/0!</v>
      </c>
      <c r="S201" s="30"/>
    </row>
    <row r="202" spans="1:19" x14ac:dyDescent="0.2">
      <c r="A202" s="25" t="s">
        <v>70</v>
      </c>
      <c r="B202" s="26" t="s">
        <v>2</v>
      </c>
      <c r="C202" s="26" t="s">
        <v>39</v>
      </c>
      <c r="D202" s="26" t="s">
        <v>106</v>
      </c>
      <c r="E202" s="26"/>
      <c r="F202" s="26" t="s">
        <v>114</v>
      </c>
      <c r="G202" s="26" t="s">
        <v>105</v>
      </c>
      <c r="H202" s="26"/>
      <c r="I202" s="27" t="s">
        <v>113</v>
      </c>
      <c r="J202" s="27" t="s">
        <v>18</v>
      </c>
      <c r="K202" s="28"/>
      <c r="L202" s="28"/>
      <c r="M202" s="28"/>
      <c r="N202" s="27" t="s">
        <v>59</v>
      </c>
      <c r="O202" s="31"/>
      <c r="P202" s="29" t="e">
        <f>'Infrastructure Benchmarks-ref'!$O202/'Infrastructure Benchmarks-ref'!$K202</f>
        <v>#DIV/0!</v>
      </c>
      <c r="Q202" s="29" t="e">
        <f>'Infrastructure Benchmarks-ref'!$O202/'Infrastructure Benchmarks-ref'!$L202</f>
        <v>#DIV/0!</v>
      </c>
      <c r="R202" s="29" t="e">
        <f>'Infrastructure Benchmarks-ref'!$O202/'Infrastructure Benchmarks-ref'!$M202</f>
        <v>#DIV/0!</v>
      </c>
      <c r="S202" s="30"/>
    </row>
    <row r="203" spans="1:19" x14ac:dyDescent="0.2">
      <c r="A203" s="25" t="s">
        <v>70</v>
      </c>
      <c r="B203" s="26" t="s">
        <v>2</v>
      </c>
      <c r="C203" s="26" t="s">
        <v>39</v>
      </c>
      <c r="D203" s="26" t="s">
        <v>106</v>
      </c>
      <c r="E203" s="26"/>
      <c r="F203" s="26" t="s">
        <v>114</v>
      </c>
      <c r="G203" s="26" t="s">
        <v>105</v>
      </c>
      <c r="H203" s="26"/>
      <c r="I203" s="27" t="s">
        <v>113</v>
      </c>
      <c r="J203" s="27" t="s">
        <v>18</v>
      </c>
      <c r="K203" s="28"/>
      <c r="L203" s="28"/>
      <c r="M203" s="28"/>
      <c r="N203" s="27" t="s">
        <v>60</v>
      </c>
      <c r="O203" s="28"/>
      <c r="P203" s="29" t="e">
        <f>'Infrastructure Benchmarks-ref'!$O203/'Infrastructure Benchmarks-ref'!$K203</f>
        <v>#DIV/0!</v>
      </c>
      <c r="Q203" s="29" t="e">
        <f>'Infrastructure Benchmarks-ref'!$O203/'Infrastructure Benchmarks-ref'!$L203</f>
        <v>#DIV/0!</v>
      </c>
      <c r="R203" s="29" t="e">
        <f>'Infrastructure Benchmarks-ref'!$O203/'Infrastructure Benchmarks-ref'!$M203</f>
        <v>#DIV/0!</v>
      </c>
      <c r="S203" s="30"/>
    </row>
    <row r="204" spans="1:19" ht="16" thickBot="1" x14ac:dyDescent="0.25">
      <c r="A204" s="25" t="s">
        <v>70</v>
      </c>
      <c r="B204" s="26" t="s">
        <v>2</v>
      </c>
      <c r="C204" s="26" t="s">
        <v>39</v>
      </c>
      <c r="D204" s="26" t="s">
        <v>106</v>
      </c>
      <c r="E204" s="26"/>
      <c r="F204" s="26" t="s">
        <v>114</v>
      </c>
      <c r="G204" s="26" t="s">
        <v>105</v>
      </c>
      <c r="H204" s="26"/>
      <c r="I204" s="27" t="s">
        <v>113</v>
      </c>
      <c r="J204" s="27" t="s">
        <v>18</v>
      </c>
      <c r="K204" s="28"/>
      <c r="L204" s="28"/>
      <c r="M204" s="28"/>
      <c r="N204" s="27" t="s">
        <v>61</v>
      </c>
      <c r="O204" s="28"/>
      <c r="P204" s="29" t="e">
        <f>'Infrastructure Benchmarks-ref'!$O204/'Infrastructure Benchmarks-ref'!$K204</f>
        <v>#DIV/0!</v>
      </c>
      <c r="Q204" s="29" t="e">
        <f>'Infrastructure Benchmarks-ref'!$O204/'Infrastructure Benchmarks-ref'!$L204</f>
        <v>#DIV/0!</v>
      </c>
      <c r="R204" s="29" t="e">
        <f>'Infrastructure Benchmarks-ref'!$O204/'Infrastructure Benchmarks-ref'!$M204</f>
        <v>#DIV/0!</v>
      </c>
      <c r="S204" s="30"/>
    </row>
    <row r="205" spans="1:19" ht="17" thickTop="1" thickBot="1" x14ac:dyDescent="0.25">
      <c r="A205" s="54"/>
      <c r="B205" s="55"/>
      <c r="C205" s="55"/>
      <c r="D205" s="55"/>
      <c r="E205" s="55"/>
      <c r="F205" s="55"/>
      <c r="G205" s="55"/>
      <c r="H205" s="55"/>
      <c r="I205" s="56"/>
      <c r="J205" s="56"/>
      <c r="K205" s="57"/>
      <c r="L205" s="57"/>
      <c r="M205" s="57"/>
      <c r="N205" s="56"/>
      <c r="O205" s="57"/>
      <c r="P205" s="58"/>
      <c r="Q205" s="58"/>
      <c r="R205" s="58"/>
      <c r="S205" s="59"/>
    </row>
    <row r="206" spans="1:19" ht="16" thickTop="1" x14ac:dyDescent="0.2">
      <c r="A206" s="25" t="s">
        <v>70</v>
      </c>
      <c r="B206" s="26" t="s">
        <v>2</v>
      </c>
      <c r="C206" s="26" t="s">
        <v>39</v>
      </c>
      <c r="D206" s="26" t="s">
        <v>106</v>
      </c>
      <c r="E206" s="26"/>
      <c r="F206" s="26" t="s">
        <v>112</v>
      </c>
      <c r="G206" s="26" t="s">
        <v>105</v>
      </c>
      <c r="H206" s="26"/>
      <c r="I206" s="27" t="s">
        <v>113</v>
      </c>
      <c r="J206" s="27" t="s">
        <v>18</v>
      </c>
      <c r="K206" s="28"/>
      <c r="L206" s="28"/>
      <c r="M206" s="28"/>
      <c r="N206" s="4" t="s">
        <v>24</v>
      </c>
      <c r="O206" s="53"/>
      <c r="P206" s="29" t="e">
        <f>'Infrastructure Benchmarks-ref'!$O206/'Infrastructure Benchmarks-ref'!$K206</f>
        <v>#DIV/0!</v>
      </c>
      <c r="Q206" s="29" t="e">
        <f>'Infrastructure Benchmarks-ref'!$O206/'Infrastructure Benchmarks-ref'!$L206</f>
        <v>#DIV/0!</v>
      </c>
      <c r="R206" s="29" t="e">
        <f>'Infrastructure Benchmarks-ref'!$O206/'Infrastructure Benchmarks-ref'!$M206</f>
        <v>#DIV/0!</v>
      </c>
      <c r="S206" s="30"/>
    </row>
    <row r="207" spans="1:19" x14ac:dyDescent="0.2">
      <c r="A207" s="25" t="s">
        <v>70</v>
      </c>
      <c r="B207" s="26" t="s">
        <v>2</v>
      </c>
      <c r="C207" s="26" t="s">
        <v>39</v>
      </c>
      <c r="D207" s="26" t="s">
        <v>106</v>
      </c>
      <c r="E207" s="26"/>
      <c r="F207" s="26" t="s">
        <v>112</v>
      </c>
      <c r="G207" s="26" t="s">
        <v>105</v>
      </c>
      <c r="H207" s="26"/>
      <c r="I207" s="27" t="s">
        <v>113</v>
      </c>
      <c r="J207" s="27" t="s">
        <v>18</v>
      </c>
      <c r="K207" s="28"/>
      <c r="L207" s="28"/>
      <c r="M207" s="28"/>
      <c r="N207" s="27" t="s">
        <v>44</v>
      </c>
      <c r="O207" s="28"/>
      <c r="P207" s="29" t="e">
        <f>'Infrastructure Benchmarks-ref'!$O207/'Infrastructure Benchmarks-ref'!$K207</f>
        <v>#DIV/0!</v>
      </c>
      <c r="Q207" s="29" t="e">
        <f>'Infrastructure Benchmarks-ref'!$O207/'Infrastructure Benchmarks-ref'!$L207</f>
        <v>#DIV/0!</v>
      </c>
      <c r="R207" s="29" t="e">
        <f>'Infrastructure Benchmarks-ref'!$O207/'Infrastructure Benchmarks-ref'!$M207</f>
        <v>#DIV/0!</v>
      </c>
      <c r="S207" s="30"/>
    </row>
    <row r="208" spans="1:19" x14ac:dyDescent="0.2">
      <c r="A208" s="25" t="s">
        <v>70</v>
      </c>
      <c r="B208" s="26" t="s">
        <v>2</v>
      </c>
      <c r="C208" s="26" t="s">
        <v>39</v>
      </c>
      <c r="D208" s="26" t="s">
        <v>106</v>
      </c>
      <c r="E208" s="26"/>
      <c r="F208" s="26" t="s">
        <v>112</v>
      </c>
      <c r="G208" s="26" t="s">
        <v>105</v>
      </c>
      <c r="H208" s="26"/>
      <c r="I208" s="27" t="s">
        <v>113</v>
      </c>
      <c r="J208" s="27" t="s">
        <v>18</v>
      </c>
      <c r="K208" s="28"/>
      <c r="L208" s="28"/>
      <c r="M208" s="28"/>
      <c r="N208" s="27" t="s">
        <v>45</v>
      </c>
      <c r="O208" s="31">
        <v>111277.8</v>
      </c>
      <c r="P208" s="29" t="e">
        <f>'Infrastructure Benchmarks-ref'!$O208/'Infrastructure Benchmarks-ref'!$K208</f>
        <v>#DIV/0!</v>
      </c>
      <c r="Q208" s="29" t="e">
        <f>'Infrastructure Benchmarks-ref'!$O208/'Infrastructure Benchmarks-ref'!$L208</f>
        <v>#DIV/0!</v>
      </c>
      <c r="R208" s="29" t="e">
        <f>'Infrastructure Benchmarks-ref'!$O208/'Infrastructure Benchmarks-ref'!$M208</f>
        <v>#DIV/0!</v>
      </c>
      <c r="S208" s="30"/>
    </row>
    <row r="209" spans="1:19" x14ac:dyDescent="0.2">
      <c r="A209" s="25" t="s">
        <v>70</v>
      </c>
      <c r="B209" s="26" t="s">
        <v>2</v>
      </c>
      <c r="C209" s="26" t="s">
        <v>39</v>
      </c>
      <c r="D209" s="26" t="s">
        <v>106</v>
      </c>
      <c r="E209" s="26"/>
      <c r="F209" s="26" t="s">
        <v>112</v>
      </c>
      <c r="G209" s="26" t="s">
        <v>105</v>
      </c>
      <c r="H209" s="26"/>
      <c r="I209" s="27" t="s">
        <v>113</v>
      </c>
      <c r="J209" s="27" t="s">
        <v>18</v>
      </c>
      <c r="K209" s="28"/>
      <c r="L209" s="28"/>
      <c r="M209" s="28"/>
      <c r="N209" s="27" t="s">
        <v>14</v>
      </c>
      <c r="O209" s="28">
        <v>325775</v>
      </c>
      <c r="P209" s="29" t="e">
        <f>'Infrastructure Benchmarks-ref'!$O209/'Infrastructure Benchmarks-ref'!$K209</f>
        <v>#DIV/0!</v>
      </c>
      <c r="Q209" s="29" t="e">
        <f>'Infrastructure Benchmarks-ref'!$O209/'Infrastructure Benchmarks-ref'!$L209</f>
        <v>#DIV/0!</v>
      </c>
      <c r="R209" s="29" t="e">
        <f>'Infrastructure Benchmarks-ref'!$O209/'Infrastructure Benchmarks-ref'!$M209</f>
        <v>#DIV/0!</v>
      </c>
      <c r="S209" s="30"/>
    </row>
    <row r="210" spans="1:19" x14ac:dyDescent="0.2">
      <c r="A210" s="25" t="s">
        <v>70</v>
      </c>
      <c r="B210" s="26" t="s">
        <v>2</v>
      </c>
      <c r="C210" s="26" t="s">
        <v>39</v>
      </c>
      <c r="D210" s="26" t="s">
        <v>106</v>
      </c>
      <c r="E210" s="26"/>
      <c r="F210" s="26" t="s">
        <v>112</v>
      </c>
      <c r="G210" s="26" t="s">
        <v>105</v>
      </c>
      <c r="H210" s="26"/>
      <c r="I210" s="27" t="s">
        <v>113</v>
      </c>
      <c r="J210" s="27" t="s">
        <v>18</v>
      </c>
      <c r="K210" s="28"/>
      <c r="L210" s="28"/>
      <c r="M210" s="28"/>
      <c r="N210" s="27" t="s">
        <v>22</v>
      </c>
      <c r="O210" s="28">
        <v>12596010.199999999</v>
      </c>
      <c r="P210" s="29" t="e">
        <f>'Infrastructure Benchmarks-ref'!$O210/'Infrastructure Benchmarks-ref'!$K210</f>
        <v>#DIV/0!</v>
      </c>
      <c r="Q210" s="29" t="e">
        <f>'Infrastructure Benchmarks-ref'!$O210/'Infrastructure Benchmarks-ref'!$L210</f>
        <v>#DIV/0!</v>
      </c>
      <c r="R210" s="29" t="e">
        <f>'Infrastructure Benchmarks-ref'!$O210/'Infrastructure Benchmarks-ref'!$M210</f>
        <v>#DIV/0!</v>
      </c>
      <c r="S210" s="30"/>
    </row>
    <row r="211" spans="1:19" x14ac:dyDescent="0.2">
      <c r="A211" s="25" t="s">
        <v>70</v>
      </c>
      <c r="B211" s="26" t="s">
        <v>2</v>
      </c>
      <c r="C211" s="26" t="s">
        <v>39</v>
      </c>
      <c r="D211" s="26" t="s">
        <v>106</v>
      </c>
      <c r="E211" s="26"/>
      <c r="F211" s="26" t="s">
        <v>112</v>
      </c>
      <c r="G211" s="26" t="s">
        <v>105</v>
      </c>
      <c r="H211" s="26"/>
      <c r="I211" s="27" t="s">
        <v>113</v>
      </c>
      <c r="J211" s="27" t="s">
        <v>18</v>
      </c>
      <c r="K211" s="28"/>
      <c r="L211" s="28"/>
      <c r="M211" s="28"/>
      <c r="N211" s="27" t="s">
        <v>20</v>
      </c>
      <c r="O211" s="28">
        <v>8976222</v>
      </c>
      <c r="P211" s="29" t="e">
        <f>'Infrastructure Benchmarks-ref'!$O211/'Infrastructure Benchmarks-ref'!$K211</f>
        <v>#DIV/0!</v>
      </c>
      <c r="Q211" s="29" t="e">
        <f>'Infrastructure Benchmarks-ref'!$O211/'Infrastructure Benchmarks-ref'!$L211</f>
        <v>#DIV/0!</v>
      </c>
      <c r="R211" s="29" t="e">
        <f>'Infrastructure Benchmarks-ref'!$O211/'Infrastructure Benchmarks-ref'!$M211</f>
        <v>#DIV/0!</v>
      </c>
      <c r="S211" s="30"/>
    </row>
    <row r="212" spans="1:19" x14ac:dyDescent="0.2">
      <c r="A212" s="25" t="s">
        <v>70</v>
      </c>
      <c r="B212" s="26" t="s">
        <v>2</v>
      </c>
      <c r="C212" s="26" t="s">
        <v>39</v>
      </c>
      <c r="D212" s="26" t="s">
        <v>106</v>
      </c>
      <c r="E212" s="26"/>
      <c r="F212" s="26" t="s">
        <v>112</v>
      </c>
      <c r="G212" s="26" t="s">
        <v>105</v>
      </c>
      <c r="H212" s="26"/>
      <c r="I212" s="27" t="s">
        <v>113</v>
      </c>
      <c r="J212" s="27" t="s">
        <v>18</v>
      </c>
      <c r="K212" s="28"/>
      <c r="L212" s="28"/>
      <c r="M212" s="28"/>
      <c r="N212" s="27" t="s">
        <v>23</v>
      </c>
      <c r="O212" s="28">
        <v>7289259</v>
      </c>
      <c r="P212" s="29" t="e">
        <f>'Infrastructure Benchmarks-ref'!$O212/'Infrastructure Benchmarks-ref'!$K212</f>
        <v>#DIV/0!</v>
      </c>
      <c r="Q212" s="29" t="e">
        <f>'Infrastructure Benchmarks-ref'!$O212/'Infrastructure Benchmarks-ref'!$L212</f>
        <v>#DIV/0!</v>
      </c>
      <c r="R212" s="29" t="e">
        <f>'Infrastructure Benchmarks-ref'!$O212/'Infrastructure Benchmarks-ref'!$M212</f>
        <v>#DIV/0!</v>
      </c>
      <c r="S212" s="30"/>
    </row>
    <row r="213" spans="1:19" x14ac:dyDescent="0.2">
      <c r="A213" s="25" t="s">
        <v>70</v>
      </c>
      <c r="B213" s="26" t="s">
        <v>2</v>
      </c>
      <c r="C213" s="26" t="s">
        <v>39</v>
      </c>
      <c r="D213" s="26" t="s">
        <v>106</v>
      </c>
      <c r="E213" s="26"/>
      <c r="F213" s="26" t="s">
        <v>112</v>
      </c>
      <c r="G213" s="26" t="s">
        <v>105</v>
      </c>
      <c r="H213" s="26"/>
      <c r="I213" s="27" t="s">
        <v>113</v>
      </c>
      <c r="J213" s="27" t="s">
        <v>18</v>
      </c>
      <c r="K213" s="28"/>
      <c r="L213" s="28"/>
      <c r="M213" s="28"/>
      <c r="N213" s="27" t="s">
        <v>25</v>
      </c>
      <c r="O213" s="28">
        <v>3495038</v>
      </c>
      <c r="P213" s="29" t="e">
        <f>'Infrastructure Benchmarks-ref'!$O213/'Infrastructure Benchmarks-ref'!$K213</f>
        <v>#DIV/0!</v>
      </c>
      <c r="Q213" s="29" t="e">
        <f>'Infrastructure Benchmarks-ref'!$O213/'Infrastructure Benchmarks-ref'!$L213</f>
        <v>#DIV/0!</v>
      </c>
      <c r="R213" s="29" t="e">
        <f>'Infrastructure Benchmarks-ref'!$O213/'Infrastructure Benchmarks-ref'!$M213</f>
        <v>#DIV/0!</v>
      </c>
      <c r="S213" s="30"/>
    </row>
    <row r="214" spans="1:19" x14ac:dyDescent="0.2">
      <c r="A214" s="25" t="s">
        <v>70</v>
      </c>
      <c r="B214" s="26" t="s">
        <v>2</v>
      </c>
      <c r="C214" s="26" t="s">
        <v>39</v>
      </c>
      <c r="D214" s="26" t="s">
        <v>106</v>
      </c>
      <c r="E214" s="26"/>
      <c r="F214" s="26" t="s">
        <v>112</v>
      </c>
      <c r="G214" s="26" t="s">
        <v>105</v>
      </c>
      <c r="H214" s="26"/>
      <c r="I214" s="27" t="s">
        <v>113</v>
      </c>
      <c r="J214" s="27" t="s">
        <v>18</v>
      </c>
      <c r="K214" s="28"/>
      <c r="L214" s="28"/>
      <c r="M214" s="28"/>
      <c r="N214" s="27" t="s">
        <v>46</v>
      </c>
      <c r="O214" s="28"/>
      <c r="P214" s="29" t="e">
        <f>'Infrastructure Benchmarks-ref'!$O214/'Infrastructure Benchmarks-ref'!$K214</f>
        <v>#DIV/0!</v>
      </c>
      <c r="Q214" s="29" t="e">
        <f>'Infrastructure Benchmarks-ref'!$O214/'Infrastructure Benchmarks-ref'!$L214</f>
        <v>#DIV/0!</v>
      </c>
      <c r="R214" s="29" t="e">
        <f>'Infrastructure Benchmarks-ref'!$O214/'Infrastructure Benchmarks-ref'!$M214</f>
        <v>#DIV/0!</v>
      </c>
      <c r="S214" s="30"/>
    </row>
    <row r="215" spans="1:19" x14ac:dyDescent="0.2">
      <c r="A215" s="25" t="s">
        <v>70</v>
      </c>
      <c r="B215" s="26" t="s">
        <v>2</v>
      </c>
      <c r="C215" s="26" t="s">
        <v>39</v>
      </c>
      <c r="D215" s="26" t="s">
        <v>106</v>
      </c>
      <c r="E215" s="26"/>
      <c r="F215" s="26" t="s">
        <v>112</v>
      </c>
      <c r="G215" s="26" t="s">
        <v>105</v>
      </c>
      <c r="H215" s="26"/>
      <c r="I215" s="27" t="s">
        <v>113</v>
      </c>
      <c r="J215" s="27" t="s">
        <v>18</v>
      </c>
      <c r="K215" s="28"/>
      <c r="L215" s="28"/>
      <c r="M215" s="28"/>
      <c r="N215" s="27" t="s">
        <v>34</v>
      </c>
      <c r="O215" s="28">
        <v>4309457</v>
      </c>
      <c r="P215" s="29" t="e">
        <f>'Infrastructure Benchmarks-ref'!$O215/'Infrastructure Benchmarks-ref'!$K215</f>
        <v>#DIV/0!</v>
      </c>
      <c r="Q215" s="29" t="e">
        <f>'Infrastructure Benchmarks-ref'!$O215/'Infrastructure Benchmarks-ref'!$L215</f>
        <v>#DIV/0!</v>
      </c>
      <c r="R215" s="29" t="e">
        <f>'Infrastructure Benchmarks-ref'!$O215/'Infrastructure Benchmarks-ref'!$M215</f>
        <v>#DIV/0!</v>
      </c>
      <c r="S215" s="30"/>
    </row>
    <row r="216" spans="1:19" x14ac:dyDescent="0.2">
      <c r="A216" s="25" t="s">
        <v>70</v>
      </c>
      <c r="B216" s="26" t="s">
        <v>2</v>
      </c>
      <c r="C216" s="26" t="s">
        <v>39</v>
      </c>
      <c r="D216" s="26" t="s">
        <v>106</v>
      </c>
      <c r="E216" s="26"/>
      <c r="F216" s="26" t="s">
        <v>112</v>
      </c>
      <c r="G216" s="26" t="s">
        <v>105</v>
      </c>
      <c r="H216" s="26"/>
      <c r="I216" s="27" t="s">
        <v>113</v>
      </c>
      <c r="J216" s="27" t="s">
        <v>18</v>
      </c>
      <c r="K216" s="28"/>
      <c r="L216" s="28"/>
      <c r="M216" s="28"/>
      <c r="N216" s="27" t="s">
        <v>26</v>
      </c>
      <c r="O216" s="28">
        <v>2452977</v>
      </c>
      <c r="P216" s="29" t="e">
        <f>'Infrastructure Benchmarks-ref'!$O216/'Infrastructure Benchmarks-ref'!$K216</f>
        <v>#DIV/0!</v>
      </c>
      <c r="Q216" s="29" t="e">
        <f>'Infrastructure Benchmarks-ref'!$O216/'Infrastructure Benchmarks-ref'!$L216</f>
        <v>#DIV/0!</v>
      </c>
      <c r="R216" s="29" t="e">
        <f>'Infrastructure Benchmarks-ref'!$O216/'Infrastructure Benchmarks-ref'!$M216</f>
        <v>#DIV/0!</v>
      </c>
      <c r="S216" s="30"/>
    </row>
    <row r="217" spans="1:19" x14ac:dyDescent="0.2">
      <c r="A217" s="25" t="s">
        <v>70</v>
      </c>
      <c r="B217" s="26" t="s">
        <v>2</v>
      </c>
      <c r="C217" s="26" t="s">
        <v>39</v>
      </c>
      <c r="D217" s="26" t="s">
        <v>106</v>
      </c>
      <c r="E217" s="26"/>
      <c r="F217" s="26" t="s">
        <v>112</v>
      </c>
      <c r="G217" s="26" t="s">
        <v>105</v>
      </c>
      <c r="H217" s="26"/>
      <c r="I217" s="27" t="s">
        <v>113</v>
      </c>
      <c r="J217" s="27" t="s">
        <v>18</v>
      </c>
      <c r="K217" s="28"/>
      <c r="L217" s="28"/>
      <c r="M217" s="28"/>
      <c r="N217" s="27" t="s">
        <v>28</v>
      </c>
      <c r="O217" s="28">
        <v>2002906</v>
      </c>
      <c r="P217" s="29" t="e">
        <f>'Infrastructure Benchmarks-ref'!$O217/'Infrastructure Benchmarks-ref'!$K217</f>
        <v>#DIV/0!</v>
      </c>
      <c r="Q217" s="29" t="e">
        <f>'Infrastructure Benchmarks-ref'!$O217/'Infrastructure Benchmarks-ref'!$L217</f>
        <v>#DIV/0!</v>
      </c>
      <c r="R217" s="29" t="e">
        <f>'Infrastructure Benchmarks-ref'!$O217/'Infrastructure Benchmarks-ref'!$M217</f>
        <v>#DIV/0!</v>
      </c>
      <c r="S217" s="30"/>
    </row>
    <row r="218" spans="1:19" x14ac:dyDescent="0.2">
      <c r="A218" s="25" t="s">
        <v>70</v>
      </c>
      <c r="B218" s="26" t="s">
        <v>2</v>
      </c>
      <c r="C218" s="26" t="s">
        <v>39</v>
      </c>
      <c r="D218" s="26" t="s">
        <v>106</v>
      </c>
      <c r="E218" s="26"/>
      <c r="F218" s="26" t="s">
        <v>112</v>
      </c>
      <c r="G218" s="26" t="s">
        <v>105</v>
      </c>
      <c r="H218" s="26"/>
      <c r="I218" s="27" t="s">
        <v>113</v>
      </c>
      <c r="J218" s="27" t="s">
        <v>18</v>
      </c>
      <c r="K218" s="28"/>
      <c r="L218" s="28"/>
      <c r="M218" s="28"/>
      <c r="N218" s="27" t="s">
        <v>47</v>
      </c>
      <c r="O218" s="28">
        <v>1456138</v>
      </c>
      <c r="P218" s="29" t="e">
        <f>'Infrastructure Benchmarks-ref'!$O218/'Infrastructure Benchmarks-ref'!$K218</f>
        <v>#DIV/0!</v>
      </c>
      <c r="Q218" s="29" t="e">
        <f>'Infrastructure Benchmarks-ref'!$O218/'Infrastructure Benchmarks-ref'!$L218</f>
        <v>#DIV/0!</v>
      </c>
      <c r="R218" s="29" t="e">
        <f>'Infrastructure Benchmarks-ref'!$O218/'Infrastructure Benchmarks-ref'!$M218</f>
        <v>#DIV/0!</v>
      </c>
      <c r="S218" s="30"/>
    </row>
    <row r="219" spans="1:19" x14ac:dyDescent="0.2">
      <c r="A219" s="25" t="s">
        <v>70</v>
      </c>
      <c r="B219" s="26" t="s">
        <v>2</v>
      </c>
      <c r="C219" s="26" t="s">
        <v>39</v>
      </c>
      <c r="D219" s="26" t="s">
        <v>106</v>
      </c>
      <c r="E219" s="26"/>
      <c r="F219" s="26" t="s">
        <v>112</v>
      </c>
      <c r="G219" s="26" t="s">
        <v>105</v>
      </c>
      <c r="H219" s="26"/>
      <c r="I219" s="27" t="s">
        <v>113</v>
      </c>
      <c r="J219" s="27" t="s">
        <v>18</v>
      </c>
      <c r="K219" s="28"/>
      <c r="L219" s="28"/>
      <c r="M219" s="28"/>
      <c r="N219" s="27" t="s">
        <v>27</v>
      </c>
      <c r="O219" s="28">
        <v>2791067</v>
      </c>
      <c r="P219" s="29" t="e">
        <f>'Infrastructure Benchmarks-ref'!$O219/'Infrastructure Benchmarks-ref'!$K219</f>
        <v>#DIV/0!</v>
      </c>
      <c r="Q219" s="29" t="e">
        <f>'Infrastructure Benchmarks-ref'!$O219/'Infrastructure Benchmarks-ref'!$L219</f>
        <v>#DIV/0!</v>
      </c>
      <c r="R219" s="29" t="e">
        <f>'Infrastructure Benchmarks-ref'!$O219/'Infrastructure Benchmarks-ref'!$M219</f>
        <v>#DIV/0!</v>
      </c>
      <c r="S219" s="30"/>
    </row>
    <row r="220" spans="1:19" x14ac:dyDescent="0.2">
      <c r="A220" s="25" t="s">
        <v>70</v>
      </c>
      <c r="B220" s="26" t="s">
        <v>2</v>
      </c>
      <c r="C220" s="26" t="s">
        <v>39</v>
      </c>
      <c r="D220" s="26" t="s">
        <v>106</v>
      </c>
      <c r="E220" s="26"/>
      <c r="F220" s="26" t="s">
        <v>112</v>
      </c>
      <c r="G220" s="26" t="s">
        <v>105</v>
      </c>
      <c r="H220" s="26"/>
      <c r="I220" s="27" t="s">
        <v>113</v>
      </c>
      <c r="J220" s="27" t="s">
        <v>18</v>
      </c>
      <c r="K220" s="28"/>
      <c r="L220" s="28"/>
      <c r="M220" s="28"/>
      <c r="N220" s="27" t="s">
        <v>48</v>
      </c>
      <c r="O220" s="28"/>
      <c r="P220" s="29" t="e">
        <f>'Infrastructure Benchmarks-ref'!$O220/'Infrastructure Benchmarks-ref'!$K220</f>
        <v>#DIV/0!</v>
      </c>
      <c r="Q220" s="29" t="e">
        <f>'Infrastructure Benchmarks-ref'!$O220/'Infrastructure Benchmarks-ref'!$L220</f>
        <v>#DIV/0!</v>
      </c>
      <c r="R220" s="29" t="e">
        <f>'Infrastructure Benchmarks-ref'!$O220/'Infrastructure Benchmarks-ref'!$M220</f>
        <v>#DIV/0!</v>
      </c>
      <c r="S220" s="30"/>
    </row>
    <row r="221" spans="1:19" x14ac:dyDescent="0.2">
      <c r="A221" s="25" t="s">
        <v>70</v>
      </c>
      <c r="B221" s="26" t="s">
        <v>2</v>
      </c>
      <c r="C221" s="26" t="s">
        <v>39</v>
      </c>
      <c r="D221" s="26" t="s">
        <v>106</v>
      </c>
      <c r="E221" s="26"/>
      <c r="F221" s="26" t="s">
        <v>112</v>
      </c>
      <c r="G221" s="26" t="s">
        <v>105</v>
      </c>
      <c r="H221" s="26"/>
      <c r="I221" s="27" t="s">
        <v>113</v>
      </c>
      <c r="J221" s="27" t="s">
        <v>18</v>
      </c>
      <c r="K221" s="28"/>
      <c r="L221" s="28"/>
      <c r="M221" s="28"/>
      <c r="N221" s="27" t="s">
        <v>49</v>
      </c>
      <c r="O221" s="31"/>
      <c r="P221" s="29" t="e">
        <f>'Infrastructure Benchmarks-ref'!$O221/'Infrastructure Benchmarks-ref'!$K221</f>
        <v>#DIV/0!</v>
      </c>
      <c r="Q221" s="29" t="e">
        <f>'Infrastructure Benchmarks-ref'!$O221/'Infrastructure Benchmarks-ref'!$L221</f>
        <v>#DIV/0!</v>
      </c>
      <c r="R221" s="29" t="e">
        <f>'Infrastructure Benchmarks-ref'!$O221/'Infrastructure Benchmarks-ref'!$M221</f>
        <v>#DIV/0!</v>
      </c>
      <c r="S221" s="30"/>
    </row>
    <row r="222" spans="1:19" x14ac:dyDescent="0.2">
      <c r="A222" s="25" t="s">
        <v>70</v>
      </c>
      <c r="B222" s="26" t="s">
        <v>2</v>
      </c>
      <c r="C222" s="26" t="s">
        <v>39</v>
      </c>
      <c r="D222" s="26" t="s">
        <v>106</v>
      </c>
      <c r="E222" s="26"/>
      <c r="F222" s="26" t="s">
        <v>112</v>
      </c>
      <c r="G222" s="26" t="s">
        <v>105</v>
      </c>
      <c r="H222" s="26"/>
      <c r="I222" s="27" t="s">
        <v>113</v>
      </c>
      <c r="J222" s="27" t="s">
        <v>18</v>
      </c>
      <c r="K222" s="28"/>
      <c r="L222" s="28"/>
      <c r="M222" s="28"/>
      <c r="N222" s="27" t="s">
        <v>50</v>
      </c>
      <c r="O222" s="31"/>
      <c r="P222" s="29" t="e">
        <f>'Infrastructure Benchmarks-ref'!$O222/'Infrastructure Benchmarks-ref'!$K222</f>
        <v>#DIV/0!</v>
      </c>
      <c r="Q222" s="29" t="e">
        <f>'Infrastructure Benchmarks-ref'!$O222/'Infrastructure Benchmarks-ref'!$L222</f>
        <v>#DIV/0!</v>
      </c>
      <c r="R222" s="29" t="e">
        <f>'Infrastructure Benchmarks-ref'!$O222/'Infrastructure Benchmarks-ref'!$M222</f>
        <v>#DIV/0!</v>
      </c>
      <c r="S222" s="30"/>
    </row>
    <row r="223" spans="1:19" x14ac:dyDescent="0.2">
      <c r="A223" s="25" t="s">
        <v>70</v>
      </c>
      <c r="B223" s="26" t="s">
        <v>2</v>
      </c>
      <c r="C223" s="26" t="s">
        <v>39</v>
      </c>
      <c r="D223" s="26" t="s">
        <v>106</v>
      </c>
      <c r="E223" s="26"/>
      <c r="F223" s="26" t="s">
        <v>112</v>
      </c>
      <c r="G223" s="26" t="s">
        <v>105</v>
      </c>
      <c r="H223" s="26"/>
      <c r="I223" s="27" t="s">
        <v>113</v>
      </c>
      <c r="J223" s="27" t="s">
        <v>18</v>
      </c>
      <c r="K223" s="28"/>
      <c r="L223" s="28"/>
      <c r="M223" s="28"/>
      <c r="N223" s="27" t="s">
        <v>51</v>
      </c>
      <c r="O223" s="28"/>
      <c r="P223" s="29" t="e">
        <f>'Infrastructure Benchmarks-ref'!$O223/'Infrastructure Benchmarks-ref'!$K223</f>
        <v>#DIV/0!</v>
      </c>
      <c r="Q223" s="29" t="e">
        <f>'Infrastructure Benchmarks-ref'!$O223/'Infrastructure Benchmarks-ref'!$L223</f>
        <v>#DIV/0!</v>
      </c>
      <c r="R223" s="29" t="e">
        <f>'Infrastructure Benchmarks-ref'!$O223/'Infrastructure Benchmarks-ref'!$M223</f>
        <v>#DIV/0!</v>
      </c>
      <c r="S223" s="30"/>
    </row>
    <row r="224" spans="1:19" x14ac:dyDescent="0.2">
      <c r="A224" s="25" t="s">
        <v>70</v>
      </c>
      <c r="B224" s="26" t="s">
        <v>2</v>
      </c>
      <c r="C224" s="26" t="s">
        <v>39</v>
      </c>
      <c r="D224" s="26" t="s">
        <v>106</v>
      </c>
      <c r="E224" s="26"/>
      <c r="F224" s="26" t="s">
        <v>112</v>
      </c>
      <c r="G224" s="26" t="s">
        <v>105</v>
      </c>
      <c r="H224" s="26"/>
      <c r="I224" s="27" t="s">
        <v>113</v>
      </c>
      <c r="J224" s="27" t="s">
        <v>18</v>
      </c>
      <c r="K224" s="28"/>
      <c r="L224" s="28"/>
      <c r="M224" s="28"/>
      <c r="N224" s="27" t="s">
        <v>52</v>
      </c>
      <c r="O224" s="28"/>
      <c r="P224" s="29" t="e">
        <f>'Infrastructure Benchmarks-ref'!$O224/'Infrastructure Benchmarks-ref'!$K224</f>
        <v>#DIV/0!</v>
      </c>
      <c r="Q224" s="29" t="e">
        <f>'Infrastructure Benchmarks-ref'!$O224/'Infrastructure Benchmarks-ref'!$L224</f>
        <v>#DIV/0!</v>
      </c>
      <c r="R224" s="29" t="e">
        <f>'Infrastructure Benchmarks-ref'!$O224/'Infrastructure Benchmarks-ref'!$M224</f>
        <v>#DIV/0!</v>
      </c>
      <c r="S224" s="30"/>
    </row>
    <row r="225" spans="1:19" x14ac:dyDescent="0.2">
      <c r="A225" s="25" t="s">
        <v>70</v>
      </c>
      <c r="B225" s="26" t="s">
        <v>2</v>
      </c>
      <c r="C225" s="26" t="s">
        <v>39</v>
      </c>
      <c r="D225" s="26" t="s">
        <v>106</v>
      </c>
      <c r="E225" s="26"/>
      <c r="F225" s="26" t="s">
        <v>112</v>
      </c>
      <c r="G225" s="26" t="s">
        <v>105</v>
      </c>
      <c r="H225" s="26"/>
      <c r="I225" s="27" t="s">
        <v>113</v>
      </c>
      <c r="J225" s="27" t="s">
        <v>18</v>
      </c>
      <c r="K225" s="28"/>
      <c r="L225" s="28"/>
      <c r="M225" s="28"/>
      <c r="N225" s="27" t="s">
        <v>53</v>
      </c>
      <c r="O225" s="28"/>
      <c r="P225" s="29" t="e">
        <f>'Infrastructure Benchmarks-ref'!$O225/'Infrastructure Benchmarks-ref'!$K225</f>
        <v>#DIV/0!</v>
      </c>
      <c r="Q225" s="29" t="e">
        <f>'Infrastructure Benchmarks-ref'!$O225/'Infrastructure Benchmarks-ref'!$L225</f>
        <v>#DIV/0!</v>
      </c>
      <c r="R225" s="29" t="e">
        <f>'Infrastructure Benchmarks-ref'!$O225/'Infrastructure Benchmarks-ref'!$M225</f>
        <v>#DIV/0!</v>
      </c>
      <c r="S225" s="30"/>
    </row>
    <row r="226" spans="1:19" x14ac:dyDescent="0.2">
      <c r="A226" s="25" t="s">
        <v>70</v>
      </c>
      <c r="B226" s="26" t="s">
        <v>2</v>
      </c>
      <c r="C226" s="26" t="s">
        <v>39</v>
      </c>
      <c r="D226" s="26" t="s">
        <v>106</v>
      </c>
      <c r="E226" s="26"/>
      <c r="F226" s="26" t="s">
        <v>112</v>
      </c>
      <c r="G226" s="26" t="s">
        <v>105</v>
      </c>
      <c r="H226" s="26"/>
      <c r="I226" s="27" t="s">
        <v>113</v>
      </c>
      <c r="J226" s="27" t="s">
        <v>18</v>
      </c>
      <c r="K226" s="28"/>
      <c r="L226" s="28"/>
      <c r="M226" s="28"/>
      <c r="N226" s="27" t="s">
        <v>55</v>
      </c>
      <c r="O226" s="28"/>
      <c r="P226" s="29" t="e">
        <f>'Infrastructure Benchmarks-ref'!$O226/'Infrastructure Benchmarks-ref'!$K226</f>
        <v>#DIV/0!</v>
      </c>
      <c r="Q226" s="29" t="e">
        <f>'Infrastructure Benchmarks-ref'!$O226/'Infrastructure Benchmarks-ref'!$L226</f>
        <v>#DIV/0!</v>
      </c>
      <c r="R226" s="29" t="e">
        <f>'Infrastructure Benchmarks-ref'!$O226/'Infrastructure Benchmarks-ref'!$M226</f>
        <v>#DIV/0!</v>
      </c>
      <c r="S226" s="30"/>
    </row>
    <row r="227" spans="1:19" x14ac:dyDescent="0.2">
      <c r="A227" s="25" t="s">
        <v>70</v>
      </c>
      <c r="B227" s="26" t="s">
        <v>2</v>
      </c>
      <c r="C227" s="26" t="s">
        <v>39</v>
      </c>
      <c r="D227" s="26" t="s">
        <v>106</v>
      </c>
      <c r="E227" s="26"/>
      <c r="F227" s="26" t="s">
        <v>112</v>
      </c>
      <c r="G227" s="26" t="s">
        <v>105</v>
      </c>
      <c r="H227" s="26"/>
      <c r="I227" s="27" t="s">
        <v>113</v>
      </c>
      <c r="J227" s="27" t="s">
        <v>18</v>
      </c>
      <c r="K227" s="28"/>
      <c r="L227" s="28"/>
      <c r="M227" s="28"/>
      <c r="N227" s="27" t="s">
        <v>54</v>
      </c>
      <c r="O227" s="31"/>
      <c r="P227" s="29" t="e">
        <f>'Infrastructure Benchmarks-ref'!$O227/'Infrastructure Benchmarks-ref'!$K227</f>
        <v>#DIV/0!</v>
      </c>
      <c r="Q227" s="29" t="e">
        <f>'Infrastructure Benchmarks-ref'!$O227/'Infrastructure Benchmarks-ref'!$L227</f>
        <v>#DIV/0!</v>
      </c>
      <c r="R227" s="29" t="e">
        <f>'Infrastructure Benchmarks-ref'!$O227/'Infrastructure Benchmarks-ref'!$M227</f>
        <v>#DIV/0!</v>
      </c>
      <c r="S227" s="30"/>
    </row>
    <row r="228" spans="1:19" x14ac:dyDescent="0.2">
      <c r="A228" s="25" t="s">
        <v>70</v>
      </c>
      <c r="B228" s="26" t="s">
        <v>2</v>
      </c>
      <c r="C228" s="26" t="s">
        <v>39</v>
      </c>
      <c r="D228" s="26" t="s">
        <v>106</v>
      </c>
      <c r="E228" s="26"/>
      <c r="F228" s="26" t="s">
        <v>112</v>
      </c>
      <c r="G228" s="26" t="s">
        <v>105</v>
      </c>
      <c r="H228" s="26"/>
      <c r="I228" s="27" t="s">
        <v>113</v>
      </c>
      <c r="J228" s="27" t="s">
        <v>18</v>
      </c>
      <c r="K228" s="28"/>
      <c r="L228" s="28"/>
      <c r="M228" s="28"/>
      <c r="N228" s="27" t="s">
        <v>56</v>
      </c>
      <c r="O228" s="28"/>
      <c r="P228" s="29" t="e">
        <f>'Infrastructure Benchmarks-ref'!$O228/'Infrastructure Benchmarks-ref'!$K228</f>
        <v>#DIV/0!</v>
      </c>
      <c r="Q228" s="29" t="e">
        <f>'Infrastructure Benchmarks-ref'!$O228/'Infrastructure Benchmarks-ref'!$L228</f>
        <v>#DIV/0!</v>
      </c>
      <c r="R228" s="29" t="e">
        <f>'Infrastructure Benchmarks-ref'!$O228/'Infrastructure Benchmarks-ref'!$M228</f>
        <v>#DIV/0!</v>
      </c>
      <c r="S228" s="30"/>
    </row>
    <row r="229" spans="1:19" x14ac:dyDescent="0.2">
      <c r="A229" s="25" t="s">
        <v>70</v>
      </c>
      <c r="B229" s="26" t="s">
        <v>2</v>
      </c>
      <c r="C229" s="26" t="s">
        <v>39</v>
      </c>
      <c r="D229" s="26" t="s">
        <v>106</v>
      </c>
      <c r="E229" s="26"/>
      <c r="F229" s="26" t="s">
        <v>112</v>
      </c>
      <c r="G229" s="26" t="s">
        <v>105</v>
      </c>
      <c r="H229" s="26"/>
      <c r="I229" s="27" t="s">
        <v>113</v>
      </c>
      <c r="J229" s="27" t="s">
        <v>18</v>
      </c>
      <c r="K229" s="28"/>
      <c r="L229" s="28"/>
      <c r="M229" s="28"/>
      <c r="N229" s="27" t="s">
        <v>73</v>
      </c>
      <c r="O229" s="28">
        <v>2767099</v>
      </c>
      <c r="P229" s="29" t="e">
        <f>'Infrastructure Benchmarks-ref'!$O229/'Infrastructure Benchmarks-ref'!$K229</f>
        <v>#DIV/0!</v>
      </c>
      <c r="Q229" s="29" t="e">
        <f>'Infrastructure Benchmarks-ref'!$O229/'Infrastructure Benchmarks-ref'!$L229</f>
        <v>#DIV/0!</v>
      </c>
      <c r="R229" s="29" t="e">
        <f>'Infrastructure Benchmarks-ref'!$O229/'Infrastructure Benchmarks-ref'!$M229</f>
        <v>#DIV/0!</v>
      </c>
      <c r="S229" s="30"/>
    </row>
    <row r="230" spans="1:19" x14ac:dyDescent="0.2">
      <c r="A230" s="25" t="s">
        <v>70</v>
      </c>
      <c r="B230" s="26" t="s">
        <v>2</v>
      </c>
      <c r="C230" s="26" t="s">
        <v>39</v>
      </c>
      <c r="D230" s="26" t="s">
        <v>106</v>
      </c>
      <c r="E230" s="26"/>
      <c r="F230" s="26" t="s">
        <v>112</v>
      </c>
      <c r="G230" s="26" t="s">
        <v>105</v>
      </c>
      <c r="H230" s="26"/>
      <c r="I230" s="27" t="s">
        <v>113</v>
      </c>
      <c r="J230" s="27" t="s">
        <v>18</v>
      </c>
      <c r="K230" s="28"/>
      <c r="L230" s="28"/>
      <c r="M230" s="28"/>
      <c r="N230" s="27" t="s">
        <v>57</v>
      </c>
      <c r="O230" s="63"/>
      <c r="P230" s="29" t="e">
        <f>'Infrastructure Benchmarks-ref'!$O230/'Infrastructure Benchmarks-ref'!$K230</f>
        <v>#DIV/0!</v>
      </c>
      <c r="Q230" s="29" t="e">
        <f>'Infrastructure Benchmarks-ref'!$O230/'Infrastructure Benchmarks-ref'!$L230</f>
        <v>#DIV/0!</v>
      </c>
      <c r="R230" s="29" t="e">
        <f>'Infrastructure Benchmarks-ref'!$O230/'Infrastructure Benchmarks-ref'!$M230</f>
        <v>#DIV/0!</v>
      </c>
      <c r="S230" s="30"/>
    </row>
    <row r="231" spans="1:19" x14ac:dyDescent="0.2">
      <c r="A231" s="25" t="s">
        <v>70</v>
      </c>
      <c r="B231" s="26" t="s">
        <v>2</v>
      </c>
      <c r="C231" s="26" t="s">
        <v>39</v>
      </c>
      <c r="D231" s="26" t="s">
        <v>106</v>
      </c>
      <c r="E231" s="26"/>
      <c r="F231" s="26" t="s">
        <v>112</v>
      </c>
      <c r="G231" s="26" t="s">
        <v>105</v>
      </c>
      <c r="H231" s="26"/>
      <c r="I231" s="27" t="s">
        <v>113</v>
      </c>
      <c r="J231" s="27" t="s">
        <v>18</v>
      </c>
      <c r="K231" s="28"/>
      <c r="L231" s="28"/>
      <c r="M231" s="28"/>
      <c r="N231" s="27" t="s">
        <v>58</v>
      </c>
      <c r="O231" s="31">
        <v>29100000</v>
      </c>
      <c r="P231" s="29" t="e">
        <f>'Infrastructure Benchmarks-ref'!$O231/'Infrastructure Benchmarks-ref'!$K231</f>
        <v>#DIV/0!</v>
      </c>
      <c r="Q231" s="29" t="e">
        <f>'Infrastructure Benchmarks-ref'!$O231/'Infrastructure Benchmarks-ref'!$L231</f>
        <v>#DIV/0!</v>
      </c>
      <c r="R231" s="29" t="e">
        <f>'Infrastructure Benchmarks-ref'!$O231/'Infrastructure Benchmarks-ref'!$M231</f>
        <v>#DIV/0!</v>
      </c>
      <c r="S231" s="30"/>
    </row>
    <row r="232" spans="1:19" x14ac:dyDescent="0.2">
      <c r="A232" s="25" t="s">
        <v>70</v>
      </c>
      <c r="B232" s="26" t="s">
        <v>2</v>
      </c>
      <c r="C232" s="26" t="s">
        <v>39</v>
      </c>
      <c r="D232" s="26" t="s">
        <v>106</v>
      </c>
      <c r="E232" s="26"/>
      <c r="F232" s="26" t="s">
        <v>112</v>
      </c>
      <c r="G232" s="26" t="s">
        <v>105</v>
      </c>
      <c r="H232" s="26"/>
      <c r="I232" s="27" t="s">
        <v>113</v>
      </c>
      <c r="J232" s="27" t="s">
        <v>18</v>
      </c>
      <c r="K232" s="28"/>
      <c r="L232" s="28"/>
      <c r="M232" s="28"/>
      <c r="N232" s="27" t="s">
        <v>59</v>
      </c>
      <c r="O232" s="31"/>
      <c r="P232" s="29" t="e">
        <f>'Infrastructure Benchmarks-ref'!$O232/'Infrastructure Benchmarks-ref'!$K232</f>
        <v>#DIV/0!</v>
      </c>
      <c r="Q232" s="29" t="e">
        <f>'Infrastructure Benchmarks-ref'!$O232/'Infrastructure Benchmarks-ref'!$L232</f>
        <v>#DIV/0!</v>
      </c>
      <c r="R232" s="29" t="e">
        <f>'Infrastructure Benchmarks-ref'!$O232/'Infrastructure Benchmarks-ref'!$M232</f>
        <v>#DIV/0!</v>
      </c>
      <c r="S232" s="30"/>
    </row>
    <row r="233" spans="1:19" x14ac:dyDescent="0.2">
      <c r="A233" s="25" t="s">
        <v>70</v>
      </c>
      <c r="B233" s="26" t="s">
        <v>2</v>
      </c>
      <c r="C233" s="26" t="s">
        <v>39</v>
      </c>
      <c r="D233" s="26" t="s">
        <v>106</v>
      </c>
      <c r="E233" s="26"/>
      <c r="F233" s="26" t="s">
        <v>112</v>
      </c>
      <c r="G233" s="26" t="s">
        <v>105</v>
      </c>
      <c r="H233" s="26"/>
      <c r="I233" s="27" t="s">
        <v>113</v>
      </c>
      <c r="J233" s="27" t="s">
        <v>18</v>
      </c>
      <c r="K233" s="28"/>
      <c r="L233" s="28"/>
      <c r="M233" s="28"/>
      <c r="N233" s="27" t="s">
        <v>60</v>
      </c>
      <c r="O233" s="28"/>
      <c r="P233" s="29" t="e">
        <f>'Infrastructure Benchmarks-ref'!$O233/'Infrastructure Benchmarks-ref'!$K233</f>
        <v>#DIV/0!</v>
      </c>
      <c r="Q233" s="29" t="e">
        <f>'Infrastructure Benchmarks-ref'!$O233/'Infrastructure Benchmarks-ref'!$L233</f>
        <v>#DIV/0!</v>
      </c>
      <c r="R233" s="29" t="e">
        <f>'Infrastructure Benchmarks-ref'!$O233/'Infrastructure Benchmarks-ref'!$M233</f>
        <v>#DIV/0!</v>
      </c>
      <c r="S233" s="30"/>
    </row>
    <row r="234" spans="1:19" ht="16" thickBot="1" x14ac:dyDescent="0.25">
      <c r="A234" s="25" t="s">
        <v>70</v>
      </c>
      <c r="B234" s="26" t="s">
        <v>2</v>
      </c>
      <c r="C234" s="26" t="s">
        <v>39</v>
      </c>
      <c r="D234" s="26" t="s">
        <v>106</v>
      </c>
      <c r="E234" s="26"/>
      <c r="F234" s="26" t="s">
        <v>112</v>
      </c>
      <c r="G234" s="26" t="s">
        <v>105</v>
      </c>
      <c r="H234" s="26"/>
      <c r="I234" s="27" t="s">
        <v>113</v>
      </c>
      <c r="J234" s="27" t="s">
        <v>18</v>
      </c>
      <c r="K234" s="28"/>
      <c r="L234" s="28"/>
      <c r="M234" s="28"/>
      <c r="N234" s="27" t="s">
        <v>61</v>
      </c>
      <c r="O234" s="28"/>
      <c r="P234" s="29" t="e">
        <f>'Infrastructure Benchmarks-ref'!$O234/'Infrastructure Benchmarks-ref'!$K234</f>
        <v>#DIV/0!</v>
      </c>
      <c r="Q234" s="29" t="e">
        <f>'Infrastructure Benchmarks-ref'!$O234/'Infrastructure Benchmarks-ref'!$L234</f>
        <v>#DIV/0!</v>
      </c>
      <c r="R234" s="29" t="e">
        <f>'Infrastructure Benchmarks-ref'!$O234/'Infrastructure Benchmarks-ref'!$M234</f>
        <v>#DIV/0!</v>
      </c>
      <c r="S234" s="30"/>
    </row>
    <row r="235" spans="1:19" ht="17" thickTop="1" thickBot="1" x14ac:dyDescent="0.25">
      <c r="A235" s="54"/>
      <c r="B235" s="55"/>
      <c r="C235" s="55"/>
      <c r="D235" s="55"/>
      <c r="E235" s="55"/>
      <c r="F235" s="55"/>
      <c r="G235" s="55"/>
      <c r="H235" s="55"/>
      <c r="I235" s="56"/>
      <c r="J235" s="56"/>
      <c r="K235" s="57"/>
      <c r="L235" s="57"/>
      <c r="M235" s="57"/>
      <c r="N235" s="56"/>
      <c r="O235" s="57"/>
      <c r="P235" s="58"/>
      <c r="Q235" s="58"/>
      <c r="R235" s="58"/>
      <c r="S235" s="59"/>
    </row>
    <row r="236" spans="1:19" ht="16" thickTop="1" x14ac:dyDescent="0.2">
      <c r="A236" s="25" t="s">
        <v>70</v>
      </c>
      <c r="B236" s="26" t="s">
        <v>2</v>
      </c>
      <c r="C236" s="26" t="s">
        <v>39</v>
      </c>
      <c r="D236" s="26" t="s">
        <v>106</v>
      </c>
      <c r="E236" s="26"/>
      <c r="F236" s="26" t="s">
        <v>104</v>
      </c>
      <c r="G236" s="26" t="s">
        <v>105</v>
      </c>
      <c r="H236" s="26"/>
      <c r="I236" s="27" t="s">
        <v>109</v>
      </c>
      <c r="J236" s="27" t="s">
        <v>18</v>
      </c>
      <c r="K236" s="28">
        <v>240859</v>
      </c>
      <c r="L236" s="28">
        <v>1049984</v>
      </c>
      <c r="M236" s="53"/>
      <c r="N236" s="4" t="s">
        <v>24</v>
      </c>
      <c r="O236" s="28">
        <v>58762542.329000011</v>
      </c>
      <c r="P236" s="29">
        <f>'Infrastructure Benchmarks-ref'!$O236/'Infrastructure Benchmarks-ref'!$K236</f>
        <v>243.9707145217742</v>
      </c>
      <c r="Q236" s="29">
        <f>'Infrastructure Benchmarks-ref'!$O236/'Infrastructure Benchmarks-ref'!$L236</f>
        <v>55.965178830344094</v>
      </c>
      <c r="R236" s="29" t="e">
        <f>'Infrastructure Benchmarks-ref'!$O236/'Infrastructure Benchmarks-ref'!$M236</f>
        <v>#DIV/0!</v>
      </c>
      <c r="S236" s="30"/>
    </row>
    <row r="237" spans="1:19" x14ac:dyDescent="0.2">
      <c r="A237" s="25" t="s">
        <v>70</v>
      </c>
      <c r="B237" s="26" t="s">
        <v>2</v>
      </c>
      <c r="C237" s="26" t="s">
        <v>39</v>
      </c>
      <c r="D237" s="26" t="s">
        <v>106</v>
      </c>
      <c r="E237" s="26"/>
      <c r="F237" s="26" t="s">
        <v>104</v>
      </c>
      <c r="G237" s="26" t="s">
        <v>105</v>
      </c>
      <c r="H237" s="26"/>
      <c r="I237" s="27" t="s">
        <v>109</v>
      </c>
      <c r="J237" s="27" t="s">
        <v>18</v>
      </c>
      <c r="K237" s="28">
        <v>240859</v>
      </c>
      <c r="L237" s="28">
        <v>1049984</v>
      </c>
      <c r="M237" s="53"/>
      <c r="N237" s="27" t="s">
        <v>44</v>
      </c>
      <c r="O237" s="28">
        <v>50850</v>
      </c>
      <c r="P237" s="29">
        <f>'Infrastructure Benchmarks-ref'!$O237/'Infrastructure Benchmarks-ref'!$K237</f>
        <v>0.21111936859324335</v>
      </c>
      <c r="Q237" s="29">
        <f>'Infrastructure Benchmarks-ref'!$O237/'Infrastructure Benchmarks-ref'!$L237</f>
        <v>4.8429309399000364E-2</v>
      </c>
      <c r="R237" s="29" t="e">
        <f>'Infrastructure Benchmarks-ref'!$O237/'Infrastructure Benchmarks-ref'!$M237</f>
        <v>#DIV/0!</v>
      </c>
      <c r="S237" s="30"/>
    </row>
    <row r="238" spans="1:19" x14ac:dyDescent="0.2">
      <c r="A238" s="25" t="s">
        <v>70</v>
      </c>
      <c r="B238" s="26" t="s">
        <v>2</v>
      </c>
      <c r="C238" s="26" t="s">
        <v>39</v>
      </c>
      <c r="D238" s="26" t="s">
        <v>106</v>
      </c>
      <c r="E238" s="26"/>
      <c r="F238" s="26" t="s">
        <v>104</v>
      </c>
      <c r="G238" s="26" t="s">
        <v>105</v>
      </c>
      <c r="H238" s="26"/>
      <c r="I238" s="27" t="s">
        <v>109</v>
      </c>
      <c r="J238" s="27" t="s">
        <v>18</v>
      </c>
      <c r="K238" s="28">
        <v>240859</v>
      </c>
      <c r="L238" s="28">
        <v>1049984</v>
      </c>
      <c r="M238" s="53"/>
      <c r="N238" s="27" t="s">
        <v>45</v>
      </c>
      <c r="O238" s="31">
        <v>733439.70000000007</v>
      </c>
      <c r="P238" s="29">
        <f>'Infrastructure Benchmarks-ref'!$O238/'Infrastructure Benchmarks-ref'!$K238</f>
        <v>3.0450998301911079</v>
      </c>
      <c r="Q238" s="29">
        <f>'Infrastructure Benchmarks-ref'!$O238/'Infrastructure Benchmarks-ref'!$L238</f>
        <v>0.69852464418505433</v>
      </c>
      <c r="R238" s="29" t="e">
        <f>'Infrastructure Benchmarks-ref'!$O238/'Infrastructure Benchmarks-ref'!$M238</f>
        <v>#DIV/0!</v>
      </c>
      <c r="S238" s="30"/>
    </row>
    <row r="239" spans="1:19" x14ac:dyDescent="0.2">
      <c r="A239" s="25" t="s">
        <v>70</v>
      </c>
      <c r="B239" s="26" t="s">
        <v>2</v>
      </c>
      <c r="C239" s="26" t="s">
        <v>39</v>
      </c>
      <c r="D239" s="26" t="s">
        <v>106</v>
      </c>
      <c r="E239" s="26"/>
      <c r="F239" s="26" t="s">
        <v>104</v>
      </c>
      <c r="G239" s="26" t="s">
        <v>105</v>
      </c>
      <c r="H239" s="26"/>
      <c r="I239" s="27" t="s">
        <v>109</v>
      </c>
      <c r="J239" s="27" t="s">
        <v>18</v>
      </c>
      <c r="K239" s="28">
        <v>240859</v>
      </c>
      <c r="L239" s="28">
        <v>1049984</v>
      </c>
      <c r="M239" s="53"/>
      <c r="N239" s="27" t="s">
        <v>14</v>
      </c>
      <c r="O239" s="28">
        <v>16172535</v>
      </c>
      <c r="P239" s="29">
        <f>'Infrastructure Benchmarks-ref'!$O239/'Infrastructure Benchmarks-ref'!$K239</f>
        <v>67.145238500533509</v>
      </c>
      <c r="Q239" s="29">
        <f>'Infrastructure Benchmarks-ref'!$O239/'Infrastructure Benchmarks-ref'!$L239</f>
        <v>15.402648992746556</v>
      </c>
      <c r="R239" s="29" t="e">
        <f>'Infrastructure Benchmarks-ref'!$O239/'Infrastructure Benchmarks-ref'!$M239</f>
        <v>#DIV/0!</v>
      </c>
      <c r="S239" s="30"/>
    </row>
    <row r="240" spans="1:19" x14ac:dyDescent="0.2">
      <c r="A240" s="25" t="s">
        <v>70</v>
      </c>
      <c r="B240" s="26" t="s">
        <v>2</v>
      </c>
      <c r="C240" s="26" t="s">
        <v>39</v>
      </c>
      <c r="D240" s="26" t="s">
        <v>106</v>
      </c>
      <c r="E240" s="26"/>
      <c r="F240" s="26" t="s">
        <v>104</v>
      </c>
      <c r="G240" s="26" t="s">
        <v>105</v>
      </c>
      <c r="H240" s="26"/>
      <c r="I240" s="27" t="s">
        <v>109</v>
      </c>
      <c r="J240" s="27" t="s">
        <v>18</v>
      </c>
      <c r="K240" s="28">
        <v>240859</v>
      </c>
      <c r="L240" s="28">
        <v>1049984</v>
      </c>
      <c r="M240" s="53"/>
      <c r="N240" s="27" t="s">
        <v>22</v>
      </c>
      <c r="O240" s="28">
        <v>40931655</v>
      </c>
      <c r="P240" s="29">
        <f>'Infrastructure Benchmarks-ref'!$O240/'Infrastructure Benchmarks-ref'!$K240</f>
        <v>169.94031777928166</v>
      </c>
      <c r="Q240" s="29">
        <f>'Infrastructure Benchmarks-ref'!$O240/'Infrastructure Benchmarks-ref'!$L240</f>
        <v>38.98312259996343</v>
      </c>
      <c r="R240" s="29" t="e">
        <f>'Infrastructure Benchmarks-ref'!$O240/'Infrastructure Benchmarks-ref'!$M240</f>
        <v>#DIV/0!</v>
      </c>
      <c r="S240" s="30"/>
    </row>
    <row r="241" spans="1:19" x14ac:dyDescent="0.2">
      <c r="A241" s="25" t="s">
        <v>70</v>
      </c>
      <c r="B241" s="26" t="s">
        <v>2</v>
      </c>
      <c r="C241" s="26" t="s">
        <v>39</v>
      </c>
      <c r="D241" s="26" t="s">
        <v>106</v>
      </c>
      <c r="E241" s="26"/>
      <c r="F241" s="26" t="s">
        <v>104</v>
      </c>
      <c r="G241" s="26" t="s">
        <v>105</v>
      </c>
      <c r="H241" s="26"/>
      <c r="I241" s="27" t="s">
        <v>109</v>
      </c>
      <c r="J241" s="27" t="s">
        <v>18</v>
      </c>
      <c r="K241" s="28">
        <v>240859</v>
      </c>
      <c r="L241" s="28">
        <v>1049984</v>
      </c>
      <c r="M241" s="53"/>
      <c r="N241" s="27" t="s">
        <v>20</v>
      </c>
      <c r="O241" s="28">
        <v>45806747.469999999</v>
      </c>
      <c r="P241" s="29">
        <f>'Infrastructure Benchmarks-ref'!$O241/'Infrastructure Benchmarks-ref'!$K241</f>
        <v>190.18075915784752</v>
      </c>
      <c r="Q241" s="29">
        <f>'Infrastructure Benchmarks-ref'!$O241/'Infrastructure Benchmarks-ref'!$L241</f>
        <v>43.626138560206634</v>
      </c>
      <c r="R241" s="29" t="e">
        <f>'Infrastructure Benchmarks-ref'!$O241/'Infrastructure Benchmarks-ref'!$M241</f>
        <v>#DIV/0!</v>
      </c>
      <c r="S241" s="30"/>
    </row>
    <row r="242" spans="1:19" x14ac:dyDescent="0.2">
      <c r="A242" s="25" t="s">
        <v>70</v>
      </c>
      <c r="B242" s="26" t="s">
        <v>2</v>
      </c>
      <c r="C242" s="26" t="s">
        <v>39</v>
      </c>
      <c r="D242" s="26" t="s">
        <v>106</v>
      </c>
      <c r="E242" s="26"/>
      <c r="F242" s="26" t="s">
        <v>104</v>
      </c>
      <c r="G242" s="26" t="s">
        <v>105</v>
      </c>
      <c r="H242" s="26"/>
      <c r="I242" s="27" t="s">
        <v>109</v>
      </c>
      <c r="J242" s="27" t="s">
        <v>18</v>
      </c>
      <c r="K242" s="28">
        <v>240859</v>
      </c>
      <c r="L242" s="28">
        <v>1049984</v>
      </c>
      <c r="M242" s="53"/>
      <c r="N242" s="27" t="s">
        <v>23</v>
      </c>
      <c r="O242" s="28">
        <v>30817252</v>
      </c>
      <c r="P242" s="29">
        <f>'Infrastructure Benchmarks-ref'!$O242/'Infrastructure Benchmarks-ref'!$K242</f>
        <v>127.94727205543492</v>
      </c>
      <c r="Q242" s="29">
        <f>'Infrastructure Benchmarks-ref'!$O242/'Infrastructure Benchmarks-ref'!$L242</f>
        <v>29.35021105083506</v>
      </c>
      <c r="R242" s="29" t="e">
        <f>'Infrastructure Benchmarks-ref'!$O242/'Infrastructure Benchmarks-ref'!$M242</f>
        <v>#DIV/0!</v>
      </c>
      <c r="S242" s="30"/>
    </row>
    <row r="243" spans="1:19" x14ac:dyDescent="0.2">
      <c r="A243" s="25" t="s">
        <v>70</v>
      </c>
      <c r="B243" s="26" t="s">
        <v>2</v>
      </c>
      <c r="C243" s="26" t="s">
        <v>39</v>
      </c>
      <c r="D243" s="26" t="s">
        <v>106</v>
      </c>
      <c r="E243" s="26"/>
      <c r="F243" s="26" t="s">
        <v>104</v>
      </c>
      <c r="G243" s="26" t="s">
        <v>105</v>
      </c>
      <c r="H243" s="26"/>
      <c r="I243" s="27" t="s">
        <v>109</v>
      </c>
      <c r="J243" s="27" t="s">
        <v>18</v>
      </c>
      <c r="K243" s="28">
        <v>240859</v>
      </c>
      <c r="L243" s="28">
        <v>1049984</v>
      </c>
      <c r="M243" s="53"/>
      <c r="N243" s="27" t="s">
        <v>25</v>
      </c>
      <c r="O243" s="28">
        <v>6949702</v>
      </c>
      <c r="P243" s="29">
        <f>'Infrastructure Benchmarks-ref'!$O243/'Infrastructure Benchmarks-ref'!$K243</f>
        <v>28.853819039354974</v>
      </c>
      <c r="Q243" s="29">
        <f>'Infrastructure Benchmarks-ref'!$O243/'Infrastructure Benchmarks-ref'!$L243</f>
        <v>6.6188646684139947</v>
      </c>
      <c r="R243" s="29" t="e">
        <f>'Infrastructure Benchmarks-ref'!$O243/'Infrastructure Benchmarks-ref'!$M243</f>
        <v>#DIV/0!</v>
      </c>
      <c r="S243" s="30"/>
    </row>
    <row r="244" spans="1:19" x14ac:dyDescent="0.2">
      <c r="A244" s="25" t="s">
        <v>70</v>
      </c>
      <c r="B244" s="26" t="s">
        <v>2</v>
      </c>
      <c r="C244" s="26" t="s">
        <v>39</v>
      </c>
      <c r="D244" s="26" t="s">
        <v>106</v>
      </c>
      <c r="E244" s="26"/>
      <c r="F244" s="26" t="s">
        <v>104</v>
      </c>
      <c r="G244" s="26" t="s">
        <v>105</v>
      </c>
      <c r="H244" s="26"/>
      <c r="I244" s="27" t="s">
        <v>109</v>
      </c>
      <c r="J244" s="27" t="s">
        <v>18</v>
      </c>
      <c r="K244" s="28">
        <v>240859</v>
      </c>
      <c r="L244" s="28">
        <v>1049984</v>
      </c>
      <c r="M244" s="53" t="s">
        <v>110</v>
      </c>
      <c r="N244" s="27" t="s">
        <v>46</v>
      </c>
      <c r="O244" s="28">
        <v>2323950</v>
      </c>
      <c r="P244" s="29">
        <f>'Infrastructure Benchmarks-ref'!$O244/'Infrastructure Benchmarks-ref'!$K244</f>
        <v>9.6485910844103806</v>
      </c>
      <c r="Q244" s="29">
        <f>'Infrastructure Benchmarks-ref'!$O244/'Infrastructure Benchmarks-ref'!$L244</f>
        <v>2.2133194410581494</v>
      </c>
      <c r="R244" s="29" t="e">
        <f>'Infrastructure Benchmarks-ref'!$O244/'Infrastructure Benchmarks-ref'!$M244</f>
        <v>#VALUE!</v>
      </c>
      <c r="S244" s="30"/>
    </row>
    <row r="245" spans="1:19" x14ac:dyDescent="0.2">
      <c r="A245" s="25" t="s">
        <v>70</v>
      </c>
      <c r="B245" s="26" t="s">
        <v>2</v>
      </c>
      <c r="C245" s="26" t="s">
        <v>39</v>
      </c>
      <c r="D245" s="26" t="s">
        <v>106</v>
      </c>
      <c r="E245" s="26"/>
      <c r="F245" s="26" t="s">
        <v>104</v>
      </c>
      <c r="G245" s="26" t="s">
        <v>105</v>
      </c>
      <c r="H245" s="26"/>
      <c r="I245" s="27" t="s">
        <v>109</v>
      </c>
      <c r="J245" s="27" t="s">
        <v>18</v>
      </c>
      <c r="K245" s="28">
        <v>240859</v>
      </c>
      <c r="L245" s="28">
        <v>1049984</v>
      </c>
      <c r="M245" s="53"/>
      <c r="N245" s="27" t="s">
        <v>34</v>
      </c>
      <c r="O245" s="28">
        <v>576057.5</v>
      </c>
      <c r="P245" s="29">
        <f>'Infrastructure Benchmarks-ref'!$O245/'Infrastructure Benchmarks-ref'!$K245</f>
        <v>2.3916793642753644</v>
      </c>
      <c r="Q245" s="29">
        <f>'Infrastructure Benchmarks-ref'!$O245/'Infrastructure Benchmarks-ref'!$L245</f>
        <v>0.54863455062172373</v>
      </c>
      <c r="R245" s="29" t="e">
        <f>'Infrastructure Benchmarks-ref'!$O245/'Infrastructure Benchmarks-ref'!$M245</f>
        <v>#DIV/0!</v>
      </c>
      <c r="S245" s="30"/>
    </row>
    <row r="246" spans="1:19" x14ac:dyDescent="0.2">
      <c r="A246" s="25" t="s">
        <v>70</v>
      </c>
      <c r="B246" s="26" t="s">
        <v>2</v>
      </c>
      <c r="C246" s="26" t="s">
        <v>39</v>
      </c>
      <c r="D246" s="26" t="s">
        <v>106</v>
      </c>
      <c r="E246" s="26"/>
      <c r="F246" s="26" t="s">
        <v>104</v>
      </c>
      <c r="G246" s="26" t="s">
        <v>105</v>
      </c>
      <c r="H246" s="26"/>
      <c r="I246" s="27" t="s">
        <v>109</v>
      </c>
      <c r="J246" s="27" t="s">
        <v>18</v>
      </c>
      <c r="K246" s="28">
        <v>240859</v>
      </c>
      <c r="L246" s="28">
        <v>1049984</v>
      </c>
      <c r="M246" s="53"/>
      <c r="N246" s="27" t="s">
        <v>26</v>
      </c>
      <c r="O246" s="28">
        <v>6592735</v>
      </c>
      <c r="P246" s="29">
        <f>'Infrastructure Benchmarks-ref'!$O246/'Infrastructure Benchmarks-ref'!$K246</f>
        <v>27.371761071830406</v>
      </c>
      <c r="Q246" s="29">
        <f>'Infrastructure Benchmarks-ref'!$O246/'Infrastructure Benchmarks-ref'!$L246</f>
        <v>6.2788909164330127</v>
      </c>
      <c r="R246" s="29" t="e">
        <f>'Infrastructure Benchmarks-ref'!$O246/'Infrastructure Benchmarks-ref'!$M246</f>
        <v>#DIV/0!</v>
      </c>
      <c r="S246" s="30"/>
    </row>
    <row r="247" spans="1:19" x14ac:dyDescent="0.2">
      <c r="A247" s="25" t="s">
        <v>70</v>
      </c>
      <c r="B247" s="26" t="s">
        <v>2</v>
      </c>
      <c r="C247" s="26" t="s">
        <v>39</v>
      </c>
      <c r="D247" s="26" t="s">
        <v>106</v>
      </c>
      <c r="E247" s="26"/>
      <c r="F247" s="26" t="s">
        <v>104</v>
      </c>
      <c r="G247" s="26" t="s">
        <v>105</v>
      </c>
      <c r="H247" s="26"/>
      <c r="I247" s="27" t="s">
        <v>109</v>
      </c>
      <c r="J247" s="27" t="s">
        <v>18</v>
      </c>
      <c r="K247" s="28">
        <v>240859</v>
      </c>
      <c r="L247" s="28">
        <v>1049984</v>
      </c>
      <c r="M247" s="53"/>
      <c r="N247" s="27" t="s">
        <v>28</v>
      </c>
      <c r="O247" s="28">
        <v>6642233.4000000004</v>
      </c>
      <c r="P247" s="29">
        <f>'Infrastructure Benchmarks-ref'!$O247/'Infrastructure Benchmarks-ref'!$K247</f>
        <v>27.577268858543796</v>
      </c>
      <c r="Q247" s="29">
        <f>'Infrastructure Benchmarks-ref'!$O247/'Infrastructure Benchmarks-ref'!$L247</f>
        <v>6.3260329681214191</v>
      </c>
      <c r="R247" s="29" t="e">
        <f>'Infrastructure Benchmarks-ref'!$O247/'Infrastructure Benchmarks-ref'!$M247</f>
        <v>#DIV/0!</v>
      </c>
      <c r="S247" s="30"/>
    </row>
    <row r="248" spans="1:19" x14ac:dyDescent="0.2">
      <c r="A248" s="25" t="s">
        <v>70</v>
      </c>
      <c r="B248" s="26" t="s">
        <v>2</v>
      </c>
      <c r="C248" s="26" t="s">
        <v>39</v>
      </c>
      <c r="D248" s="26" t="s">
        <v>106</v>
      </c>
      <c r="E248" s="26"/>
      <c r="F248" s="26" t="s">
        <v>104</v>
      </c>
      <c r="G248" s="26" t="s">
        <v>105</v>
      </c>
      <c r="H248" s="26"/>
      <c r="I248" s="27" t="s">
        <v>109</v>
      </c>
      <c r="J248" s="27" t="s">
        <v>18</v>
      </c>
      <c r="K248" s="28">
        <v>240859</v>
      </c>
      <c r="L248" s="28">
        <v>1049984</v>
      </c>
      <c r="M248" s="53"/>
      <c r="N248" s="27" t="s">
        <v>47</v>
      </c>
      <c r="O248" s="28">
        <v>13720837</v>
      </c>
      <c r="P248" s="29">
        <f>'Infrastructure Benchmarks-ref'!$O248/'Infrastructure Benchmarks-ref'!$K248</f>
        <v>56.96626241909167</v>
      </c>
      <c r="Q248" s="29">
        <f>'Infrastructure Benchmarks-ref'!$O248/'Infrastructure Benchmarks-ref'!$L248</f>
        <v>13.067662935816164</v>
      </c>
      <c r="R248" s="29" t="e">
        <f>'Infrastructure Benchmarks-ref'!$O248/'Infrastructure Benchmarks-ref'!$M248</f>
        <v>#DIV/0!</v>
      </c>
      <c r="S248" s="30"/>
    </row>
    <row r="249" spans="1:19" x14ac:dyDescent="0.2">
      <c r="A249" s="25" t="s">
        <v>70</v>
      </c>
      <c r="B249" s="26" t="s">
        <v>2</v>
      </c>
      <c r="C249" s="26" t="s">
        <v>39</v>
      </c>
      <c r="D249" s="26" t="s">
        <v>106</v>
      </c>
      <c r="E249" s="26"/>
      <c r="F249" s="26" t="s">
        <v>104</v>
      </c>
      <c r="G249" s="26" t="s">
        <v>105</v>
      </c>
      <c r="H249" s="26"/>
      <c r="I249" s="27" t="s">
        <v>109</v>
      </c>
      <c r="J249" s="27" t="s">
        <v>18</v>
      </c>
      <c r="K249" s="28">
        <v>240859</v>
      </c>
      <c r="L249" s="28">
        <v>1049984</v>
      </c>
      <c r="M249" s="53"/>
      <c r="N249" s="27" t="s">
        <v>27</v>
      </c>
      <c r="O249" s="28">
        <v>21547274</v>
      </c>
      <c r="P249" s="29">
        <f>'Infrastructure Benchmarks-ref'!$O249/'Infrastructure Benchmarks-ref'!$K249</f>
        <v>89.460115669333504</v>
      </c>
      <c r="Q249" s="29">
        <f>'Infrastructure Benchmarks-ref'!$O249/'Infrastructure Benchmarks-ref'!$L249</f>
        <v>20.521526042301598</v>
      </c>
      <c r="R249" s="29" t="e">
        <f>'Infrastructure Benchmarks-ref'!$O249/'Infrastructure Benchmarks-ref'!$M249</f>
        <v>#DIV/0!</v>
      </c>
      <c r="S249" s="30"/>
    </row>
    <row r="250" spans="1:19" x14ac:dyDescent="0.2">
      <c r="A250" s="25" t="s">
        <v>70</v>
      </c>
      <c r="B250" s="26" t="s">
        <v>2</v>
      </c>
      <c r="C250" s="26" t="s">
        <v>39</v>
      </c>
      <c r="D250" s="26" t="s">
        <v>106</v>
      </c>
      <c r="E250" s="26"/>
      <c r="F250" s="26" t="s">
        <v>104</v>
      </c>
      <c r="G250" s="26" t="s">
        <v>105</v>
      </c>
      <c r="H250" s="26"/>
      <c r="I250" s="27" t="s">
        <v>109</v>
      </c>
      <c r="J250" s="27" t="s">
        <v>18</v>
      </c>
      <c r="K250" s="28">
        <v>240859</v>
      </c>
      <c r="L250" s="28">
        <v>1049984</v>
      </c>
      <c r="M250" s="53"/>
      <c r="N250" s="27" t="s">
        <v>48</v>
      </c>
      <c r="O250" s="28">
        <v>0</v>
      </c>
      <c r="P250" s="29">
        <f>'Infrastructure Benchmarks-ref'!$O250/'Infrastructure Benchmarks-ref'!$K250</f>
        <v>0</v>
      </c>
      <c r="Q250" s="29">
        <f>'Infrastructure Benchmarks-ref'!$O250/'Infrastructure Benchmarks-ref'!$L250</f>
        <v>0</v>
      </c>
      <c r="R250" s="29" t="e">
        <f>'Infrastructure Benchmarks-ref'!$O250/'Infrastructure Benchmarks-ref'!$M250</f>
        <v>#DIV/0!</v>
      </c>
      <c r="S250" s="30"/>
    </row>
    <row r="251" spans="1:19" x14ac:dyDescent="0.2">
      <c r="A251" s="25" t="s">
        <v>70</v>
      </c>
      <c r="B251" s="26" t="s">
        <v>2</v>
      </c>
      <c r="C251" s="26" t="s">
        <v>39</v>
      </c>
      <c r="D251" s="26" t="s">
        <v>106</v>
      </c>
      <c r="E251" s="26"/>
      <c r="F251" s="26" t="s">
        <v>104</v>
      </c>
      <c r="G251" s="26" t="s">
        <v>105</v>
      </c>
      <c r="H251" s="26"/>
      <c r="I251" s="27" t="s">
        <v>109</v>
      </c>
      <c r="J251" s="27" t="s">
        <v>18</v>
      </c>
      <c r="K251" s="28">
        <v>240859</v>
      </c>
      <c r="L251" s="28">
        <v>1049984</v>
      </c>
      <c r="M251" s="53"/>
      <c r="N251" s="27" t="s">
        <v>49</v>
      </c>
      <c r="O251" s="31">
        <v>0</v>
      </c>
      <c r="P251" s="29">
        <f>'Infrastructure Benchmarks-ref'!$O251/'Infrastructure Benchmarks-ref'!$K251</f>
        <v>0</v>
      </c>
      <c r="Q251" s="29">
        <f>'Infrastructure Benchmarks-ref'!$O251/'Infrastructure Benchmarks-ref'!$L251</f>
        <v>0</v>
      </c>
      <c r="R251" s="29" t="e">
        <f>'Infrastructure Benchmarks-ref'!$O251/'Infrastructure Benchmarks-ref'!$M251</f>
        <v>#DIV/0!</v>
      </c>
      <c r="S251" s="30"/>
    </row>
    <row r="252" spans="1:19" x14ac:dyDescent="0.2">
      <c r="A252" s="25" t="s">
        <v>70</v>
      </c>
      <c r="B252" s="26" t="s">
        <v>2</v>
      </c>
      <c r="C252" s="26" t="s">
        <v>39</v>
      </c>
      <c r="D252" s="26" t="s">
        <v>106</v>
      </c>
      <c r="E252" s="26"/>
      <c r="F252" s="26" t="s">
        <v>104</v>
      </c>
      <c r="G252" s="26" t="s">
        <v>105</v>
      </c>
      <c r="H252" s="26"/>
      <c r="I252" s="27" t="s">
        <v>109</v>
      </c>
      <c r="J252" s="27" t="s">
        <v>18</v>
      </c>
      <c r="K252" s="28">
        <v>240859</v>
      </c>
      <c r="L252" s="28">
        <v>1049984</v>
      </c>
      <c r="M252" s="53"/>
      <c r="N252" s="27" t="s">
        <v>50</v>
      </c>
      <c r="O252" s="31">
        <v>0</v>
      </c>
      <c r="P252" s="29">
        <f>'Infrastructure Benchmarks-ref'!$O252/'Infrastructure Benchmarks-ref'!$K252</f>
        <v>0</v>
      </c>
      <c r="Q252" s="29">
        <f>'Infrastructure Benchmarks-ref'!$O252/'Infrastructure Benchmarks-ref'!$L252</f>
        <v>0</v>
      </c>
      <c r="R252" s="29" t="e">
        <f>'Infrastructure Benchmarks-ref'!$O252/'Infrastructure Benchmarks-ref'!$M252</f>
        <v>#DIV/0!</v>
      </c>
      <c r="S252" s="30"/>
    </row>
    <row r="253" spans="1:19" x14ac:dyDescent="0.2">
      <c r="A253" s="25" t="s">
        <v>70</v>
      </c>
      <c r="B253" s="26" t="s">
        <v>2</v>
      </c>
      <c r="C253" s="26" t="s">
        <v>39</v>
      </c>
      <c r="D253" s="26" t="s">
        <v>106</v>
      </c>
      <c r="E253" s="26"/>
      <c r="F253" s="26" t="s">
        <v>104</v>
      </c>
      <c r="G253" s="26" t="s">
        <v>105</v>
      </c>
      <c r="H253" s="26"/>
      <c r="I253" s="27" t="s">
        <v>109</v>
      </c>
      <c r="J253" s="27" t="s">
        <v>18</v>
      </c>
      <c r="K253" s="28">
        <v>240859</v>
      </c>
      <c r="L253" s="28">
        <v>1049984</v>
      </c>
      <c r="M253" s="53"/>
      <c r="N253" s="27" t="s">
        <v>51</v>
      </c>
      <c r="O253" s="28">
        <v>30167666.129999999</v>
      </c>
      <c r="P253" s="29">
        <f>'Infrastructure Benchmarks-ref'!$O253/'Infrastructure Benchmarks-ref'!$K253</f>
        <v>125.25031711499258</v>
      </c>
      <c r="Q253" s="29">
        <f>'Infrastructure Benchmarks-ref'!$O253/'Infrastructure Benchmarks-ref'!$L253</f>
        <v>28.731548414071071</v>
      </c>
      <c r="R253" s="29" t="e">
        <f>'Infrastructure Benchmarks-ref'!$O253/'Infrastructure Benchmarks-ref'!$M253</f>
        <v>#DIV/0!</v>
      </c>
      <c r="S253" s="30"/>
    </row>
    <row r="254" spans="1:19" x14ac:dyDescent="0.2">
      <c r="A254" s="25" t="s">
        <v>70</v>
      </c>
      <c r="B254" s="26" t="s">
        <v>2</v>
      </c>
      <c r="C254" s="26" t="s">
        <v>39</v>
      </c>
      <c r="D254" s="26" t="s">
        <v>106</v>
      </c>
      <c r="E254" s="26"/>
      <c r="F254" s="26" t="s">
        <v>104</v>
      </c>
      <c r="G254" s="26" t="s">
        <v>105</v>
      </c>
      <c r="H254" s="26"/>
      <c r="I254" s="27" t="s">
        <v>109</v>
      </c>
      <c r="J254" s="27" t="s">
        <v>18</v>
      </c>
      <c r="K254" s="28">
        <v>240859</v>
      </c>
      <c r="L254" s="28">
        <v>1049984</v>
      </c>
      <c r="M254" s="53"/>
      <c r="N254" s="27" t="s">
        <v>52</v>
      </c>
      <c r="O254" s="28">
        <v>0</v>
      </c>
      <c r="P254" s="29">
        <f>'Infrastructure Benchmarks-ref'!$O254/'Infrastructure Benchmarks-ref'!$K254</f>
        <v>0</v>
      </c>
      <c r="Q254" s="29">
        <f>'Infrastructure Benchmarks-ref'!$O254/'Infrastructure Benchmarks-ref'!$L254</f>
        <v>0</v>
      </c>
      <c r="R254" s="29" t="e">
        <f>'Infrastructure Benchmarks-ref'!$O254/'Infrastructure Benchmarks-ref'!$M254</f>
        <v>#DIV/0!</v>
      </c>
      <c r="S254" s="30"/>
    </row>
    <row r="255" spans="1:19" x14ac:dyDescent="0.2">
      <c r="A255" s="25" t="s">
        <v>70</v>
      </c>
      <c r="B255" s="26" t="s">
        <v>2</v>
      </c>
      <c r="C255" s="26" t="s">
        <v>39</v>
      </c>
      <c r="D255" s="26" t="s">
        <v>106</v>
      </c>
      <c r="E255" s="26"/>
      <c r="F255" s="26" t="s">
        <v>104</v>
      </c>
      <c r="G255" s="26" t="s">
        <v>105</v>
      </c>
      <c r="H255" s="26"/>
      <c r="I255" s="27" t="s">
        <v>109</v>
      </c>
      <c r="J255" s="27" t="s">
        <v>18</v>
      </c>
      <c r="K255" s="28">
        <v>240859</v>
      </c>
      <c r="L255" s="28">
        <v>1049984</v>
      </c>
      <c r="M255" s="53"/>
      <c r="N255" s="27" t="s">
        <v>53</v>
      </c>
      <c r="O255" s="28">
        <v>0</v>
      </c>
      <c r="P255" s="29">
        <f>'Infrastructure Benchmarks-ref'!$O255/'Infrastructure Benchmarks-ref'!$K255</f>
        <v>0</v>
      </c>
      <c r="Q255" s="29">
        <f>'Infrastructure Benchmarks-ref'!$O255/'Infrastructure Benchmarks-ref'!$L255</f>
        <v>0</v>
      </c>
      <c r="R255" s="29" t="e">
        <f>'Infrastructure Benchmarks-ref'!$O255/'Infrastructure Benchmarks-ref'!$M255</f>
        <v>#DIV/0!</v>
      </c>
      <c r="S255" s="30"/>
    </row>
    <row r="256" spans="1:19" x14ac:dyDescent="0.2">
      <c r="A256" s="25" t="s">
        <v>70</v>
      </c>
      <c r="B256" s="26" t="s">
        <v>2</v>
      </c>
      <c r="C256" s="26" t="s">
        <v>39</v>
      </c>
      <c r="D256" s="26" t="s">
        <v>106</v>
      </c>
      <c r="E256" s="26"/>
      <c r="F256" s="26" t="s">
        <v>104</v>
      </c>
      <c r="G256" s="26" t="s">
        <v>105</v>
      </c>
      <c r="H256" s="26"/>
      <c r="I256" s="27" t="s">
        <v>109</v>
      </c>
      <c r="J256" s="27" t="s">
        <v>18</v>
      </c>
      <c r="K256" s="28">
        <v>240859</v>
      </c>
      <c r="L256" s="28">
        <v>1049984</v>
      </c>
      <c r="M256" s="53"/>
      <c r="N256" s="27" t="s">
        <v>55</v>
      </c>
      <c r="O256" s="28">
        <v>0</v>
      </c>
      <c r="P256" s="29">
        <f>'Infrastructure Benchmarks-ref'!$O256/'Infrastructure Benchmarks-ref'!$K256</f>
        <v>0</v>
      </c>
      <c r="Q256" s="29">
        <f>'Infrastructure Benchmarks-ref'!$O256/'Infrastructure Benchmarks-ref'!$L256</f>
        <v>0</v>
      </c>
      <c r="R256" s="29" t="e">
        <f>'Infrastructure Benchmarks-ref'!$O256/'Infrastructure Benchmarks-ref'!$M256</f>
        <v>#DIV/0!</v>
      </c>
      <c r="S256" s="30"/>
    </row>
    <row r="257" spans="1:19" x14ac:dyDescent="0.2">
      <c r="A257" s="25" t="s">
        <v>70</v>
      </c>
      <c r="B257" s="26" t="s">
        <v>2</v>
      </c>
      <c r="C257" s="26" t="s">
        <v>39</v>
      </c>
      <c r="D257" s="26" t="s">
        <v>106</v>
      </c>
      <c r="E257" s="26"/>
      <c r="F257" s="26" t="s">
        <v>104</v>
      </c>
      <c r="G257" s="26" t="s">
        <v>105</v>
      </c>
      <c r="H257" s="26"/>
      <c r="I257" s="27" t="s">
        <v>109</v>
      </c>
      <c r="J257" s="27" t="s">
        <v>18</v>
      </c>
      <c r="K257" s="28">
        <v>240859</v>
      </c>
      <c r="L257" s="28">
        <v>1049984</v>
      </c>
      <c r="M257" s="53"/>
      <c r="N257" s="27" t="s">
        <v>54</v>
      </c>
      <c r="O257" s="31">
        <v>0</v>
      </c>
      <c r="P257" s="29">
        <f>'Infrastructure Benchmarks-ref'!$O257/'Infrastructure Benchmarks-ref'!$K257</f>
        <v>0</v>
      </c>
      <c r="Q257" s="29">
        <f>'Infrastructure Benchmarks-ref'!$O257/'Infrastructure Benchmarks-ref'!$L257</f>
        <v>0</v>
      </c>
      <c r="R257" s="29" t="e">
        <f>'Infrastructure Benchmarks-ref'!$O257/'Infrastructure Benchmarks-ref'!$M257</f>
        <v>#DIV/0!</v>
      </c>
      <c r="S257" s="30"/>
    </row>
    <row r="258" spans="1:19" x14ac:dyDescent="0.2">
      <c r="A258" s="25" t="s">
        <v>70</v>
      </c>
      <c r="B258" s="26" t="s">
        <v>2</v>
      </c>
      <c r="C258" s="26" t="s">
        <v>39</v>
      </c>
      <c r="D258" s="26" t="s">
        <v>106</v>
      </c>
      <c r="E258" s="26"/>
      <c r="F258" s="26" t="s">
        <v>104</v>
      </c>
      <c r="G258" s="26" t="s">
        <v>105</v>
      </c>
      <c r="H258" s="26"/>
      <c r="I258" s="27" t="s">
        <v>109</v>
      </c>
      <c r="J258" s="27" t="s">
        <v>18</v>
      </c>
      <c r="K258" s="28">
        <v>240859</v>
      </c>
      <c r="L258" s="28">
        <v>1049984</v>
      </c>
      <c r="M258" s="53"/>
      <c r="N258" s="27" t="s">
        <v>56</v>
      </c>
      <c r="O258" s="28">
        <v>0</v>
      </c>
      <c r="P258" s="29">
        <f>'Infrastructure Benchmarks-ref'!$O258/'Infrastructure Benchmarks-ref'!$K258</f>
        <v>0</v>
      </c>
      <c r="Q258" s="29">
        <f>'Infrastructure Benchmarks-ref'!$O258/'Infrastructure Benchmarks-ref'!$L258</f>
        <v>0</v>
      </c>
      <c r="R258" s="29" t="e">
        <f>'Infrastructure Benchmarks-ref'!$O258/'Infrastructure Benchmarks-ref'!$M258</f>
        <v>#DIV/0!</v>
      </c>
      <c r="S258" s="30"/>
    </row>
    <row r="259" spans="1:19" x14ac:dyDescent="0.2">
      <c r="A259" s="25" t="s">
        <v>70</v>
      </c>
      <c r="B259" s="26" t="s">
        <v>2</v>
      </c>
      <c r="C259" s="26" t="s">
        <v>39</v>
      </c>
      <c r="D259" s="26" t="s">
        <v>106</v>
      </c>
      <c r="E259" s="26"/>
      <c r="F259" s="26" t="s">
        <v>104</v>
      </c>
      <c r="G259" s="26" t="s">
        <v>105</v>
      </c>
      <c r="H259" s="26"/>
      <c r="I259" s="27" t="s">
        <v>109</v>
      </c>
      <c r="J259" s="27" t="s">
        <v>18</v>
      </c>
      <c r="K259" s="28">
        <v>240859</v>
      </c>
      <c r="L259" s="28">
        <v>1049984</v>
      </c>
      <c r="M259" s="53"/>
      <c r="N259" s="27" t="s">
        <v>73</v>
      </c>
      <c r="O259" s="28">
        <v>53040463</v>
      </c>
      <c r="P259" s="29">
        <f>'Infrastructure Benchmarks-ref'!$O259/'Infrastructure Benchmarks-ref'!$K259</f>
        <v>220.21374746220818</v>
      </c>
      <c r="Q259" s="29">
        <f>'Infrastructure Benchmarks-ref'!$O259/'Infrastructure Benchmarks-ref'!$L259</f>
        <v>50.515496426612216</v>
      </c>
      <c r="R259" s="29" t="e">
        <f>'Infrastructure Benchmarks-ref'!$O259/'Infrastructure Benchmarks-ref'!$M259</f>
        <v>#DIV/0!</v>
      </c>
      <c r="S259" s="30"/>
    </row>
    <row r="260" spans="1:19" x14ac:dyDescent="0.2">
      <c r="A260" s="25" t="s">
        <v>70</v>
      </c>
      <c r="B260" s="26" t="s">
        <v>2</v>
      </c>
      <c r="C260" s="26" t="s">
        <v>39</v>
      </c>
      <c r="D260" s="26" t="s">
        <v>106</v>
      </c>
      <c r="E260" s="26"/>
      <c r="F260" s="26" t="s">
        <v>104</v>
      </c>
      <c r="G260" s="26" t="s">
        <v>105</v>
      </c>
      <c r="H260" s="26"/>
      <c r="I260" s="27" t="s">
        <v>109</v>
      </c>
      <c r="J260" s="27" t="s">
        <v>18</v>
      </c>
      <c r="K260" s="28">
        <v>240859</v>
      </c>
      <c r="L260" s="28">
        <v>1049984</v>
      </c>
      <c r="M260" s="53"/>
      <c r="N260" s="27" t="s">
        <v>57</v>
      </c>
      <c r="O260" s="31">
        <v>45394020</v>
      </c>
      <c r="P260" s="29">
        <f>'Infrastructure Benchmarks-ref'!$O260/'Infrastructure Benchmarks-ref'!$K260</f>
        <v>188.46719449968654</v>
      </c>
      <c r="Q260" s="29">
        <f>'Infrastructure Benchmarks-ref'!$O260/'Infrastructure Benchmarks-ref'!$L260</f>
        <v>43.233058789467265</v>
      </c>
      <c r="R260" s="29" t="e">
        <f>'Infrastructure Benchmarks-ref'!$O260/'Infrastructure Benchmarks-ref'!$M260</f>
        <v>#DIV/0!</v>
      </c>
      <c r="S260" s="30"/>
    </row>
    <row r="261" spans="1:19" x14ac:dyDescent="0.2">
      <c r="A261" s="25" t="s">
        <v>70</v>
      </c>
      <c r="B261" s="26" t="s">
        <v>2</v>
      </c>
      <c r="C261" s="26" t="s">
        <v>39</v>
      </c>
      <c r="D261" s="26" t="s">
        <v>106</v>
      </c>
      <c r="E261" s="26"/>
      <c r="F261" s="26" t="s">
        <v>104</v>
      </c>
      <c r="G261" s="26" t="s">
        <v>105</v>
      </c>
      <c r="H261" s="26"/>
      <c r="I261" s="27" t="s">
        <v>109</v>
      </c>
      <c r="J261" s="27" t="s">
        <v>18</v>
      </c>
      <c r="K261" s="28">
        <v>240859</v>
      </c>
      <c r="L261" s="28">
        <v>1049984</v>
      </c>
      <c r="M261" s="53"/>
      <c r="N261" s="27" t="s">
        <v>58</v>
      </c>
      <c r="O261" s="31">
        <v>0</v>
      </c>
      <c r="P261" s="29">
        <f>'Infrastructure Benchmarks-ref'!$O261/'Infrastructure Benchmarks-ref'!$K261</f>
        <v>0</v>
      </c>
      <c r="Q261" s="29">
        <f>'Infrastructure Benchmarks-ref'!$O261/'Infrastructure Benchmarks-ref'!$L261</f>
        <v>0</v>
      </c>
      <c r="R261" s="29" t="e">
        <f>'Infrastructure Benchmarks-ref'!$O261/'Infrastructure Benchmarks-ref'!$M261</f>
        <v>#DIV/0!</v>
      </c>
      <c r="S261" s="30"/>
    </row>
    <row r="262" spans="1:19" x14ac:dyDescent="0.2">
      <c r="A262" s="25" t="s">
        <v>70</v>
      </c>
      <c r="B262" s="26" t="s">
        <v>2</v>
      </c>
      <c r="C262" s="26" t="s">
        <v>39</v>
      </c>
      <c r="D262" s="26" t="s">
        <v>106</v>
      </c>
      <c r="E262" s="26"/>
      <c r="F262" s="26" t="s">
        <v>104</v>
      </c>
      <c r="G262" s="26" t="s">
        <v>105</v>
      </c>
      <c r="H262" s="26"/>
      <c r="I262" s="27" t="s">
        <v>109</v>
      </c>
      <c r="J262" s="27" t="s">
        <v>18</v>
      </c>
      <c r="K262" s="28">
        <v>240859</v>
      </c>
      <c r="L262" s="28">
        <v>1049984</v>
      </c>
      <c r="M262" s="53"/>
      <c r="N262" s="27" t="s">
        <v>59</v>
      </c>
      <c r="O262" s="31">
        <v>0</v>
      </c>
      <c r="P262" s="29">
        <f>'Infrastructure Benchmarks-ref'!$O262/'Infrastructure Benchmarks-ref'!$K262</f>
        <v>0</v>
      </c>
      <c r="Q262" s="29">
        <f>'Infrastructure Benchmarks-ref'!$O262/'Infrastructure Benchmarks-ref'!$L262</f>
        <v>0</v>
      </c>
      <c r="R262" s="29" t="e">
        <f>'Infrastructure Benchmarks-ref'!$O262/'Infrastructure Benchmarks-ref'!$M262</f>
        <v>#DIV/0!</v>
      </c>
      <c r="S262" s="30"/>
    </row>
    <row r="263" spans="1:19" x14ac:dyDescent="0.2">
      <c r="A263" s="25" t="s">
        <v>70</v>
      </c>
      <c r="B263" s="26" t="s">
        <v>2</v>
      </c>
      <c r="C263" s="26" t="s">
        <v>39</v>
      </c>
      <c r="D263" s="26" t="s">
        <v>106</v>
      </c>
      <c r="E263" s="26"/>
      <c r="F263" s="26" t="s">
        <v>104</v>
      </c>
      <c r="G263" s="26" t="s">
        <v>105</v>
      </c>
      <c r="H263" s="26"/>
      <c r="I263" s="27" t="s">
        <v>109</v>
      </c>
      <c r="J263" s="27" t="s">
        <v>18</v>
      </c>
      <c r="K263" s="28">
        <v>240859</v>
      </c>
      <c r="L263" s="28">
        <v>1049984</v>
      </c>
      <c r="M263" s="53"/>
      <c r="N263" s="27" t="s">
        <v>60</v>
      </c>
      <c r="O263" s="28">
        <v>24194596.5</v>
      </c>
      <c r="P263" s="29">
        <f>'Infrastructure Benchmarks-ref'!$O263/'Infrastructure Benchmarks-ref'!$K263</f>
        <v>100.45128685247386</v>
      </c>
      <c r="Q263" s="29">
        <f>'Infrastructure Benchmarks-ref'!$O263/'Infrastructure Benchmarks-ref'!$L263</f>
        <v>23.04282398588931</v>
      </c>
      <c r="R263" s="29" t="e">
        <f>'Infrastructure Benchmarks-ref'!$O263/'Infrastructure Benchmarks-ref'!$M263</f>
        <v>#DIV/0!</v>
      </c>
      <c r="S263" s="30"/>
    </row>
    <row r="264" spans="1:19" ht="16" thickBot="1" x14ac:dyDescent="0.25">
      <c r="A264" s="25" t="s">
        <v>70</v>
      </c>
      <c r="B264" s="26" t="s">
        <v>2</v>
      </c>
      <c r="C264" s="26" t="s">
        <v>39</v>
      </c>
      <c r="D264" s="26" t="s">
        <v>106</v>
      </c>
      <c r="E264" s="26"/>
      <c r="F264" s="26" t="s">
        <v>104</v>
      </c>
      <c r="G264" s="26" t="s">
        <v>105</v>
      </c>
      <c r="H264" s="26"/>
      <c r="I264" s="27" t="s">
        <v>109</v>
      </c>
      <c r="J264" s="27" t="s">
        <v>18</v>
      </c>
      <c r="K264" s="28">
        <v>240859</v>
      </c>
      <c r="L264" s="28">
        <v>1049984</v>
      </c>
      <c r="M264" s="53"/>
      <c r="N264" s="27" t="s">
        <v>61</v>
      </c>
      <c r="O264" s="28">
        <v>0</v>
      </c>
      <c r="P264" s="29">
        <f>'Infrastructure Benchmarks-ref'!$O264/'Infrastructure Benchmarks-ref'!$K264</f>
        <v>0</v>
      </c>
      <c r="Q264" s="29">
        <f>'Infrastructure Benchmarks-ref'!$O264/'Infrastructure Benchmarks-ref'!$L264</f>
        <v>0</v>
      </c>
      <c r="R264" s="29" t="e">
        <f>'Infrastructure Benchmarks-ref'!$O264/'Infrastructure Benchmarks-ref'!$M264</f>
        <v>#DIV/0!</v>
      </c>
      <c r="S264" s="30"/>
    </row>
    <row r="265" spans="1:19" ht="17" thickTop="1" thickBot="1" x14ac:dyDescent="0.25">
      <c r="A265" s="54"/>
      <c r="B265" s="55"/>
      <c r="C265" s="55"/>
      <c r="D265" s="55"/>
      <c r="E265" s="55"/>
      <c r="F265" s="55"/>
      <c r="G265" s="55"/>
      <c r="H265" s="55"/>
      <c r="I265" s="56"/>
      <c r="J265" s="56"/>
      <c r="K265" s="57"/>
      <c r="L265" s="57"/>
      <c r="M265" s="57"/>
      <c r="N265" s="56"/>
      <c r="O265" s="57"/>
      <c r="P265" s="58"/>
      <c r="Q265" s="58"/>
      <c r="R265" s="58"/>
      <c r="S265" s="59"/>
    </row>
    <row r="266" spans="1:19" ht="16" thickTop="1" x14ac:dyDescent="0.2">
      <c r="A266" s="33" t="s">
        <v>70</v>
      </c>
      <c r="B266" s="1" t="s">
        <v>2</v>
      </c>
      <c r="C266" s="1" t="s">
        <v>39</v>
      </c>
      <c r="D266" s="1" t="s">
        <v>102</v>
      </c>
      <c r="E266" s="1"/>
      <c r="F266" s="1" t="s">
        <v>103</v>
      </c>
      <c r="G266" s="1" t="s">
        <v>101</v>
      </c>
      <c r="I266" s="4" t="s">
        <v>109</v>
      </c>
      <c r="J266" s="4" t="s">
        <v>18</v>
      </c>
      <c r="K266" s="7">
        <v>106864</v>
      </c>
      <c r="L266" s="7">
        <v>737134</v>
      </c>
      <c r="M266" s="7">
        <v>777670</v>
      </c>
      <c r="N266" s="4" t="s">
        <v>24</v>
      </c>
      <c r="O266" s="7">
        <v>26930469.09</v>
      </c>
      <c r="P266" s="2">
        <f>'Infrastructure Benchmarks-ref'!$O266/'Infrastructure Benchmarks-ref'!$K266</f>
        <v>252.00693488920496</v>
      </c>
      <c r="Q266" s="2">
        <f>'Infrastructure Benchmarks-ref'!$O266/'Infrastructure Benchmarks-ref'!$L266</f>
        <v>36.534021073509024</v>
      </c>
      <c r="R266" s="2">
        <f>'Infrastructure Benchmarks-ref'!$O266/'Infrastructure Benchmarks-ref'!$M266</f>
        <v>34.629687515269971</v>
      </c>
      <c r="S266" s="34"/>
    </row>
    <row r="267" spans="1:19" x14ac:dyDescent="0.2">
      <c r="A267" s="25" t="s">
        <v>70</v>
      </c>
      <c r="B267" s="26" t="s">
        <v>2</v>
      </c>
      <c r="C267" s="26" t="s">
        <v>39</v>
      </c>
      <c r="D267" s="26" t="s">
        <v>102</v>
      </c>
      <c r="E267" s="26"/>
      <c r="F267" s="26" t="s">
        <v>103</v>
      </c>
      <c r="G267" s="26" t="s">
        <v>101</v>
      </c>
      <c r="H267" s="26"/>
      <c r="I267" s="27" t="s">
        <v>109</v>
      </c>
      <c r="J267" s="27" t="s">
        <v>18</v>
      </c>
      <c r="K267" s="28">
        <v>106864</v>
      </c>
      <c r="L267" s="28">
        <v>737134</v>
      </c>
      <c r="M267" s="28">
        <v>777670</v>
      </c>
      <c r="N267" s="27" t="s">
        <v>44</v>
      </c>
      <c r="O267" s="28">
        <v>0</v>
      </c>
      <c r="P267" s="29">
        <f>'Infrastructure Benchmarks-ref'!$O267/'Infrastructure Benchmarks-ref'!$K267</f>
        <v>0</v>
      </c>
      <c r="Q267" s="29">
        <f>'Infrastructure Benchmarks-ref'!$O267/'Infrastructure Benchmarks-ref'!$L267</f>
        <v>0</v>
      </c>
      <c r="R267" s="29">
        <f>'Infrastructure Benchmarks-ref'!$O267/'Infrastructure Benchmarks-ref'!$M267</f>
        <v>0</v>
      </c>
      <c r="S267" s="30"/>
    </row>
    <row r="268" spans="1:19" x14ac:dyDescent="0.2">
      <c r="A268" s="25" t="s">
        <v>70</v>
      </c>
      <c r="B268" s="26" t="s">
        <v>2</v>
      </c>
      <c r="C268" s="26" t="s">
        <v>39</v>
      </c>
      <c r="D268" s="26" t="s">
        <v>102</v>
      </c>
      <c r="E268" s="26"/>
      <c r="F268" s="26" t="s">
        <v>103</v>
      </c>
      <c r="G268" s="26" t="s">
        <v>101</v>
      </c>
      <c r="H268" s="26"/>
      <c r="I268" s="27" t="s">
        <v>109</v>
      </c>
      <c r="J268" s="27" t="s">
        <v>18</v>
      </c>
      <c r="K268" s="28">
        <v>106864</v>
      </c>
      <c r="L268" s="28">
        <v>737134</v>
      </c>
      <c r="M268" s="28">
        <v>777670</v>
      </c>
      <c r="N268" s="27" t="s">
        <v>45</v>
      </c>
      <c r="O268" s="31">
        <v>1065366.1100000001</v>
      </c>
      <c r="P268" s="29">
        <f>'Infrastructure Benchmarks-ref'!$O268/'Infrastructure Benchmarks-ref'!$K268</f>
        <v>9.9693639579278344</v>
      </c>
      <c r="Q268" s="29">
        <f>'Infrastructure Benchmarks-ref'!$O268/'Infrastructure Benchmarks-ref'!$L268</f>
        <v>1.4452814684982651</v>
      </c>
      <c r="R268" s="29">
        <f>'Infrastructure Benchmarks-ref'!$O268/'Infrastructure Benchmarks-ref'!$M268</f>
        <v>1.3699462625535255</v>
      </c>
      <c r="S268" s="30"/>
    </row>
    <row r="269" spans="1:19" x14ac:dyDescent="0.2">
      <c r="A269" s="25" t="s">
        <v>70</v>
      </c>
      <c r="B269" s="26" t="s">
        <v>2</v>
      </c>
      <c r="C269" s="26" t="s">
        <v>39</v>
      </c>
      <c r="D269" s="26" t="s">
        <v>102</v>
      </c>
      <c r="E269" s="26"/>
      <c r="F269" s="26" t="s">
        <v>103</v>
      </c>
      <c r="G269" s="26" t="s">
        <v>101</v>
      </c>
      <c r="H269" s="26"/>
      <c r="I269" s="27" t="s">
        <v>109</v>
      </c>
      <c r="J269" s="27" t="s">
        <v>18</v>
      </c>
      <c r="K269" s="28">
        <v>106864</v>
      </c>
      <c r="L269" s="28">
        <v>737134</v>
      </c>
      <c r="M269" s="28">
        <v>777670</v>
      </c>
      <c r="N269" s="27" t="s">
        <v>14</v>
      </c>
      <c r="O269" s="28">
        <f>9012137.36+ 207725.09</f>
        <v>9219862.4499999993</v>
      </c>
      <c r="P269" s="29">
        <f>'Infrastructure Benchmarks-ref'!$O269/'Infrastructure Benchmarks-ref'!$K269</f>
        <v>86.276598761042067</v>
      </c>
      <c r="Q269" s="29">
        <f>'Infrastructure Benchmarks-ref'!$O269/'Infrastructure Benchmarks-ref'!$L269</f>
        <v>12.507715625652866</v>
      </c>
      <c r="R269" s="29">
        <f>'Infrastructure Benchmarks-ref'!$O269/'Infrastructure Benchmarks-ref'!$M269</f>
        <v>11.855751732740107</v>
      </c>
      <c r="S269" s="30"/>
    </row>
    <row r="270" spans="1:19" x14ac:dyDescent="0.2">
      <c r="A270" s="25" t="s">
        <v>70</v>
      </c>
      <c r="B270" s="26" t="s">
        <v>2</v>
      </c>
      <c r="C270" s="26" t="s">
        <v>39</v>
      </c>
      <c r="D270" s="26" t="s">
        <v>102</v>
      </c>
      <c r="E270" s="26"/>
      <c r="F270" s="26" t="s">
        <v>103</v>
      </c>
      <c r="G270" s="26" t="s">
        <v>101</v>
      </c>
      <c r="H270" s="26"/>
      <c r="I270" s="27" t="s">
        <v>109</v>
      </c>
      <c r="J270" s="27" t="s">
        <v>18</v>
      </c>
      <c r="K270" s="28">
        <v>106864</v>
      </c>
      <c r="L270" s="28">
        <v>737134</v>
      </c>
      <c r="M270" s="28">
        <v>777670</v>
      </c>
      <c r="N270" s="27" t="s">
        <v>22</v>
      </c>
      <c r="O270" s="28">
        <v>18270172.300000001</v>
      </c>
      <c r="P270" s="29">
        <f>'Infrastructure Benchmarks-ref'!$O270/'Infrastructure Benchmarks-ref'!$K270</f>
        <v>170.96657714478215</v>
      </c>
      <c r="Q270" s="29">
        <f>'Infrastructure Benchmarks-ref'!$O270/'Infrastructure Benchmarks-ref'!$L270</f>
        <v>24.785415270493562</v>
      </c>
      <c r="R270" s="29">
        <f>'Infrastructure Benchmarks-ref'!$O270/'Infrastructure Benchmarks-ref'!$M270</f>
        <v>23.493477053248807</v>
      </c>
      <c r="S270" s="30"/>
    </row>
    <row r="271" spans="1:19" x14ac:dyDescent="0.2">
      <c r="A271" s="25" t="s">
        <v>70</v>
      </c>
      <c r="B271" s="26" t="s">
        <v>2</v>
      </c>
      <c r="C271" s="26" t="s">
        <v>39</v>
      </c>
      <c r="D271" s="26" t="s">
        <v>102</v>
      </c>
      <c r="E271" s="26"/>
      <c r="F271" s="26" t="s">
        <v>103</v>
      </c>
      <c r="G271" s="26" t="s">
        <v>101</v>
      </c>
      <c r="H271" s="26"/>
      <c r="I271" s="27" t="s">
        <v>109</v>
      </c>
      <c r="J271" s="27" t="s">
        <v>18</v>
      </c>
      <c r="K271" s="28">
        <v>106864</v>
      </c>
      <c r="L271" s="28">
        <v>737134</v>
      </c>
      <c r="M271" s="28">
        <v>777670</v>
      </c>
      <c r="N271" s="27" t="s">
        <v>20</v>
      </c>
      <c r="O271" s="28">
        <f>38349678.57+1777929.1+ 3533513.75</f>
        <v>43661121.420000002</v>
      </c>
      <c r="P271" s="29">
        <f>'Infrastructure Benchmarks-ref'!$O271/'Infrastructure Benchmarks-ref'!$K271</f>
        <v>408.5671640589909</v>
      </c>
      <c r="Q271" s="29">
        <f>'Infrastructure Benchmarks-ref'!$O271/'Infrastructure Benchmarks-ref'!$L271</f>
        <v>59.23091516603494</v>
      </c>
      <c r="R271" s="29">
        <f>'Infrastructure Benchmarks-ref'!$O271/'Infrastructure Benchmarks-ref'!$M271</f>
        <v>56.143507426029039</v>
      </c>
      <c r="S271" s="30"/>
    </row>
    <row r="272" spans="1:19" x14ac:dyDescent="0.2">
      <c r="A272" s="25" t="s">
        <v>70</v>
      </c>
      <c r="B272" s="26" t="s">
        <v>2</v>
      </c>
      <c r="C272" s="26" t="s">
        <v>39</v>
      </c>
      <c r="D272" s="26" t="s">
        <v>102</v>
      </c>
      <c r="E272" s="26"/>
      <c r="F272" s="26" t="s">
        <v>103</v>
      </c>
      <c r="G272" s="26" t="s">
        <v>101</v>
      </c>
      <c r="H272" s="26"/>
      <c r="I272" s="27" t="s">
        <v>109</v>
      </c>
      <c r="J272" s="27" t="s">
        <v>18</v>
      </c>
      <c r="K272" s="28">
        <v>106864</v>
      </c>
      <c r="L272" s="28">
        <v>737134</v>
      </c>
      <c r="M272" s="28">
        <v>777670</v>
      </c>
      <c r="N272" s="27" t="s">
        <v>23</v>
      </c>
      <c r="O272" s="28">
        <f>9260004.63+55855.8</f>
        <v>9315860.4300000016</v>
      </c>
      <c r="P272" s="29">
        <f>'Infrastructure Benchmarks-ref'!$O272/'Infrastructure Benchmarks-ref'!$K272</f>
        <v>87.174917933073829</v>
      </c>
      <c r="Q272" s="29">
        <f>'Infrastructure Benchmarks-ref'!$O272/'Infrastructure Benchmarks-ref'!$L272</f>
        <v>12.637947008278008</v>
      </c>
      <c r="R272" s="29">
        <f>'Infrastructure Benchmarks-ref'!$O272/'Infrastructure Benchmarks-ref'!$M272</f>
        <v>11.979194812709764</v>
      </c>
      <c r="S272" s="30"/>
    </row>
    <row r="273" spans="1:19" x14ac:dyDescent="0.2">
      <c r="A273" s="25" t="s">
        <v>70</v>
      </c>
      <c r="B273" s="26" t="s">
        <v>2</v>
      </c>
      <c r="C273" s="26" t="s">
        <v>39</v>
      </c>
      <c r="D273" s="26" t="s">
        <v>102</v>
      </c>
      <c r="E273" s="26"/>
      <c r="F273" s="26" t="s">
        <v>103</v>
      </c>
      <c r="G273" s="26" t="s">
        <v>101</v>
      </c>
      <c r="H273" s="26"/>
      <c r="I273" s="27" t="s">
        <v>109</v>
      </c>
      <c r="J273" s="27" t="s">
        <v>18</v>
      </c>
      <c r="K273" s="28">
        <v>106864</v>
      </c>
      <c r="L273" s="28">
        <v>737134</v>
      </c>
      <c r="M273" s="28">
        <v>777670</v>
      </c>
      <c r="N273" s="27" t="s">
        <v>25</v>
      </c>
      <c r="O273" s="28">
        <f>3928760.15+ 170329.63</f>
        <v>4099089.78</v>
      </c>
      <c r="P273" s="29">
        <f>'Infrastructure Benchmarks-ref'!$O273/'Infrastructure Benchmarks-ref'!$K273</f>
        <v>38.35800437939811</v>
      </c>
      <c r="Q273" s="29">
        <f>'Infrastructure Benchmarks-ref'!$O273/'Infrastructure Benchmarks-ref'!$L273</f>
        <v>5.5608475256873238</v>
      </c>
      <c r="R273" s="29">
        <f>'Infrastructure Benchmarks-ref'!$O273/'Infrastructure Benchmarks-ref'!$M273</f>
        <v>5.2709886970051558</v>
      </c>
      <c r="S273" s="30"/>
    </row>
    <row r="274" spans="1:19" x14ac:dyDescent="0.2">
      <c r="A274" s="25" t="s">
        <v>70</v>
      </c>
      <c r="B274" s="26" t="s">
        <v>2</v>
      </c>
      <c r="C274" s="26" t="s">
        <v>39</v>
      </c>
      <c r="D274" s="26" t="s">
        <v>102</v>
      </c>
      <c r="E274" s="26"/>
      <c r="F274" s="26" t="s">
        <v>103</v>
      </c>
      <c r="G274" s="26" t="s">
        <v>101</v>
      </c>
      <c r="H274" s="26"/>
      <c r="I274" s="27" t="s">
        <v>109</v>
      </c>
      <c r="J274" s="27" t="s">
        <v>18</v>
      </c>
      <c r="K274" s="28">
        <v>106864</v>
      </c>
      <c r="L274" s="28">
        <v>737134</v>
      </c>
      <c r="M274" s="28">
        <v>777670</v>
      </c>
      <c r="N274" s="27" t="s">
        <v>46</v>
      </c>
      <c r="O274" s="28">
        <v>0</v>
      </c>
      <c r="P274" s="29">
        <f>'Infrastructure Benchmarks-ref'!$O274/'Infrastructure Benchmarks-ref'!$K274</f>
        <v>0</v>
      </c>
      <c r="Q274" s="29">
        <f>'Infrastructure Benchmarks-ref'!$O274/'Infrastructure Benchmarks-ref'!$L274</f>
        <v>0</v>
      </c>
      <c r="R274" s="29">
        <f>'Infrastructure Benchmarks-ref'!$O274/'Infrastructure Benchmarks-ref'!$M274</f>
        <v>0</v>
      </c>
      <c r="S274" s="30"/>
    </row>
    <row r="275" spans="1:19" x14ac:dyDescent="0.2">
      <c r="A275" s="25" t="s">
        <v>70</v>
      </c>
      <c r="B275" s="26" t="s">
        <v>2</v>
      </c>
      <c r="C275" s="26" t="s">
        <v>39</v>
      </c>
      <c r="D275" s="26" t="s">
        <v>102</v>
      </c>
      <c r="E275" s="26"/>
      <c r="F275" s="26" t="s">
        <v>103</v>
      </c>
      <c r="G275" s="26" t="s">
        <v>101</v>
      </c>
      <c r="H275" s="26"/>
      <c r="I275" s="27" t="s">
        <v>109</v>
      </c>
      <c r="J275" s="27" t="s">
        <v>18</v>
      </c>
      <c r="K275" s="28">
        <v>106864</v>
      </c>
      <c r="L275" s="28">
        <v>737134</v>
      </c>
      <c r="M275" s="28">
        <v>777670</v>
      </c>
      <c r="N275" s="27" t="s">
        <v>34</v>
      </c>
      <c r="O275" s="28">
        <v>4126535.53</v>
      </c>
      <c r="P275" s="29">
        <f>'Infrastructure Benchmarks-ref'!$O275/'Infrastructure Benchmarks-ref'!$K275</f>
        <v>38.614833152418022</v>
      </c>
      <c r="Q275" s="29">
        <f>'Infrastructure Benchmarks-ref'!$O275/'Infrastructure Benchmarks-ref'!$L275</f>
        <v>5.5980805796503752</v>
      </c>
      <c r="R275" s="29">
        <f>'Infrastructure Benchmarks-ref'!$O275/'Infrastructure Benchmarks-ref'!$M275</f>
        <v>5.3062809803644218</v>
      </c>
      <c r="S275" s="30"/>
    </row>
    <row r="276" spans="1:19" x14ac:dyDescent="0.2">
      <c r="A276" s="25" t="s">
        <v>70</v>
      </c>
      <c r="B276" s="26" t="s">
        <v>2</v>
      </c>
      <c r="C276" s="26" t="s">
        <v>39</v>
      </c>
      <c r="D276" s="26" t="s">
        <v>102</v>
      </c>
      <c r="E276" s="26"/>
      <c r="F276" s="26" t="s">
        <v>103</v>
      </c>
      <c r="G276" s="26" t="s">
        <v>101</v>
      </c>
      <c r="H276" s="26"/>
      <c r="I276" s="27" t="s">
        <v>109</v>
      </c>
      <c r="J276" s="27" t="s">
        <v>18</v>
      </c>
      <c r="K276" s="28">
        <v>106864</v>
      </c>
      <c r="L276" s="28">
        <v>737134</v>
      </c>
      <c r="M276" s="28">
        <v>777670</v>
      </c>
      <c r="N276" s="27" t="s">
        <v>26</v>
      </c>
      <c r="O276" s="28">
        <v>8752195.9900000002</v>
      </c>
      <c r="P276" s="29">
        <f>'Infrastructure Benchmarks-ref'!$O276/'Infrastructure Benchmarks-ref'!$K276</f>
        <v>81.90032181089984</v>
      </c>
      <c r="Q276" s="29">
        <f>'Infrastructure Benchmarks-ref'!$O276/'Infrastructure Benchmarks-ref'!$L276</f>
        <v>11.873276758364151</v>
      </c>
      <c r="R276" s="29">
        <f>'Infrastructure Benchmarks-ref'!$O276/'Infrastructure Benchmarks-ref'!$M276</f>
        <v>11.254382951637584</v>
      </c>
      <c r="S276" s="30"/>
    </row>
    <row r="277" spans="1:19" x14ac:dyDescent="0.2">
      <c r="A277" s="25" t="s">
        <v>70</v>
      </c>
      <c r="B277" s="26" t="s">
        <v>2</v>
      </c>
      <c r="C277" s="26" t="s">
        <v>39</v>
      </c>
      <c r="D277" s="26" t="s">
        <v>102</v>
      </c>
      <c r="E277" s="26"/>
      <c r="F277" s="26" t="s">
        <v>103</v>
      </c>
      <c r="G277" s="26" t="s">
        <v>101</v>
      </c>
      <c r="H277" s="26"/>
      <c r="I277" s="27" t="s">
        <v>109</v>
      </c>
      <c r="J277" s="27" t="s">
        <v>18</v>
      </c>
      <c r="K277" s="28">
        <v>106864</v>
      </c>
      <c r="L277" s="28">
        <v>737134</v>
      </c>
      <c r="M277" s="28">
        <v>777670</v>
      </c>
      <c r="N277" s="27" t="s">
        <v>28</v>
      </c>
      <c r="O277" s="28">
        <v>2070838.23</v>
      </c>
      <c r="P277" s="29">
        <f>'Infrastructure Benchmarks-ref'!$O277/'Infrastructure Benchmarks-ref'!$K277</f>
        <v>19.37825862778859</v>
      </c>
      <c r="Q277" s="29">
        <f>'Infrastructure Benchmarks-ref'!$O277/'Infrastructure Benchmarks-ref'!$L277</f>
        <v>2.8093104238849382</v>
      </c>
      <c r="R277" s="29">
        <f>'Infrastructure Benchmarks-ref'!$O277/'Infrastructure Benchmarks-ref'!$M277</f>
        <v>2.6628752941479035</v>
      </c>
      <c r="S277" s="30"/>
    </row>
    <row r="278" spans="1:19" x14ac:dyDescent="0.2">
      <c r="A278" s="25" t="s">
        <v>70</v>
      </c>
      <c r="B278" s="26" t="s">
        <v>2</v>
      </c>
      <c r="C278" s="26" t="s">
        <v>39</v>
      </c>
      <c r="D278" s="26" t="s">
        <v>102</v>
      </c>
      <c r="E278" s="26"/>
      <c r="F278" s="26" t="s">
        <v>103</v>
      </c>
      <c r="G278" s="26" t="s">
        <v>101</v>
      </c>
      <c r="H278" s="26"/>
      <c r="I278" s="27" t="s">
        <v>109</v>
      </c>
      <c r="J278" s="27" t="s">
        <v>18</v>
      </c>
      <c r="K278" s="28">
        <v>106864</v>
      </c>
      <c r="L278" s="28">
        <v>737134</v>
      </c>
      <c r="M278" s="28">
        <v>777670</v>
      </c>
      <c r="N278" s="27" t="s">
        <v>47</v>
      </c>
      <c r="O278" s="28">
        <v>10225004.23</v>
      </c>
      <c r="P278" s="29">
        <f>'Infrastructure Benchmarks-ref'!$O278/'Infrastructure Benchmarks-ref'!$K278</f>
        <v>95.682402212157513</v>
      </c>
      <c r="Q278" s="29">
        <f>'Infrastructure Benchmarks-ref'!$O278/'Infrastructure Benchmarks-ref'!$L278</f>
        <v>13.871296439995985</v>
      </c>
      <c r="R278" s="29">
        <f>'Infrastructure Benchmarks-ref'!$O278/'Infrastructure Benchmarks-ref'!$M278</f>
        <v>13.148255982614735</v>
      </c>
      <c r="S278" s="30"/>
    </row>
    <row r="279" spans="1:19" x14ac:dyDescent="0.2">
      <c r="A279" s="25" t="s">
        <v>70</v>
      </c>
      <c r="B279" s="26" t="s">
        <v>2</v>
      </c>
      <c r="C279" s="26" t="s">
        <v>39</v>
      </c>
      <c r="D279" s="26" t="s">
        <v>102</v>
      </c>
      <c r="E279" s="26"/>
      <c r="F279" s="26" t="s">
        <v>103</v>
      </c>
      <c r="G279" s="26" t="s">
        <v>101</v>
      </c>
      <c r="H279" s="26"/>
      <c r="I279" s="27" t="s">
        <v>109</v>
      </c>
      <c r="J279" s="27" t="s">
        <v>18</v>
      </c>
      <c r="K279" s="28">
        <v>106864</v>
      </c>
      <c r="L279" s="28">
        <v>737134</v>
      </c>
      <c r="M279" s="28">
        <v>777670</v>
      </c>
      <c r="N279" s="27" t="s">
        <v>27</v>
      </c>
      <c r="O279" s="28">
        <v>2262972.0499999998</v>
      </c>
      <c r="P279" s="29">
        <f>'Infrastructure Benchmarks-ref'!$O279/'Infrastructure Benchmarks-ref'!$K279</f>
        <v>21.176187022757897</v>
      </c>
      <c r="Q279" s="29">
        <f>'Infrastructure Benchmarks-ref'!$O279/'Infrastructure Benchmarks-ref'!$L279</f>
        <v>3.0699602107622219</v>
      </c>
      <c r="R279" s="29">
        <f>'Infrastructure Benchmarks-ref'!$O279/'Infrastructure Benchmarks-ref'!$M279</f>
        <v>2.9099387272236292</v>
      </c>
      <c r="S279" s="30"/>
    </row>
    <row r="280" spans="1:19" x14ac:dyDescent="0.2">
      <c r="A280" s="25" t="s">
        <v>70</v>
      </c>
      <c r="B280" s="26" t="s">
        <v>2</v>
      </c>
      <c r="C280" s="26" t="s">
        <v>39</v>
      </c>
      <c r="D280" s="26" t="s">
        <v>102</v>
      </c>
      <c r="E280" s="26"/>
      <c r="F280" s="26" t="s">
        <v>103</v>
      </c>
      <c r="G280" s="26" t="s">
        <v>101</v>
      </c>
      <c r="H280" s="26"/>
      <c r="I280" s="27" t="s">
        <v>109</v>
      </c>
      <c r="J280" s="27" t="s">
        <v>18</v>
      </c>
      <c r="K280" s="28">
        <v>106864</v>
      </c>
      <c r="L280" s="28">
        <v>737134</v>
      </c>
      <c r="M280" s="28">
        <v>777670</v>
      </c>
      <c r="N280" s="27" t="s">
        <v>48</v>
      </c>
      <c r="O280" s="28">
        <v>0</v>
      </c>
      <c r="P280" s="29">
        <f>'Infrastructure Benchmarks-ref'!$O280/'Infrastructure Benchmarks-ref'!$K280</f>
        <v>0</v>
      </c>
      <c r="Q280" s="29">
        <f>'Infrastructure Benchmarks-ref'!$O280/'Infrastructure Benchmarks-ref'!$L280</f>
        <v>0</v>
      </c>
      <c r="R280" s="29">
        <f>'Infrastructure Benchmarks-ref'!$O280/'Infrastructure Benchmarks-ref'!$M280</f>
        <v>0</v>
      </c>
      <c r="S280" s="30"/>
    </row>
    <row r="281" spans="1:19" x14ac:dyDescent="0.2">
      <c r="A281" s="25" t="s">
        <v>70</v>
      </c>
      <c r="B281" s="26" t="s">
        <v>2</v>
      </c>
      <c r="C281" s="26" t="s">
        <v>39</v>
      </c>
      <c r="D281" s="26" t="s">
        <v>102</v>
      </c>
      <c r="E281" s="26"/>
      <c r="F281" s="26" t="s">
        <v>103</v>
      </c>
      <c r="G281" s="26" t="s">
        <v>101</v>
      </c>
      <c r="H281" s="26"/>
      <c r="I281" s="27" t="s">
        <v>109</v>
      </c>
      <c r="J281" s="27" t="s">
        <v>18</v>
      </c>
      <c r="K281" s="28">
        <v>106864</v>
      </c>
      <c r="L281" s="28">
        <v>737134</v>
      </c>
      <c r="M281" s="28">
        <v>777670</v>
      </c>
      <c r="N281" s="27" t="s">
        <v>49</v>
      </c>
      <c r="O281" s="31">
        <f>6743407.16+ 375262.67+240146.5</f>
        <v>7358816.3300000001</v>
      </c>
      <c r="P281" s="29">
        <f>'Infrastructure Benchmarks-ref'!$O281/'Infrastructure Benchmarks-ref'!$K281</f>
        <v>68.861509301542142</v>
      </c>
      <c r="Q281" s="29">
        <f>'Infrastructure Benchmarks-ref'!$O281/'Infrastructure Benchmarks-ref'!$L281</f>
        <v>9.9830103210542447</v>
      </c>
      <c r="R281" s="29">
        <f>'Infrastructure Benchmarks-ref'!$O281/'Infrastructure Benchmarks-ref'!$M281</f>
        <v>9.4626465338768373</v>
      </c>
      <c r="S281" s="30"/>
    </row>
    <row r="282" spans="1:19" x14ac:dyDescent="0.2">
      <c r="A282" s="25" t="s">
        <v>70</v>
      </c>
      <c r="B282" s="26" t="s">
        <v>2</v>
      </c>
      <c r="C282" s="26" t="s">
        <v>39</v>
      </c>
      <c r="D282" s="26" t="s">
        <v>102</v>
      </c>
      <c r="E282" s="26"/>
      <c r="F282" s="26" t="s">
        <v>103</v>
      </c>
      <c r="G282" s="26" t="s">
        <v>101</v>
      </c>
      <c r="H282" s="26"/>
      <c r="I282" s="27" t="s">
        <v>109</v>
      </c>
      <c r="J282" s="27" t="s">
        <v>18</v>
      </c>
      <c r="K282" s="28">
        <v>106864</v>
      </c>
      <c r="L282" s="28">
        <v>737134</v>
      </c>
      <c r="M282" s="28">
        <v>777670</v>
      </c>
      <c r="N282" s="27" t="s">
        <v>50</v>
      </c>
      <c r="O282" s="31">
        <v>0</v>
      </c>
      <c r="P282" s="29">
        <f>'Infrastructure Benchmarks-ref'!$O282/'Infrastructure Benchmarks-ref'!$K282</f>
        <v>0</v>
      </c>
      <c r="Q282" s="29">
        <f>'Infrastructure Benchmarks-ref'!$O282/'Infrastructure Benchmarks-ref'!$L282</f>
        <v>0</v>
      </c>
      <c r="R282" s="29">
        <f>'Infrastructure Benchmarks-ref'!$O282/'Infrastructure Benchmarks-ref'!$M282</f>
        <v>0</v>
      </c>
      <c r="S282" s="30"/>
    </row>
    <row r="283" spans="1:19" x14ac:dyDescent="0.2">
      <c r="A283" s="25" t="s">
        <v>70</v>
      </c>
      <c r="B283" s="26" t="s">
        <v>2</v>
      </c>
      <c r="C283" s="26" t="s">
        <v>39</v>
      </c>
      <c r="D283" s="26" t="s">
        <v>102</v>
      </c>
      <c r="E283" s="26"/>
      <c r="F283" s="26" t="s">
        <v>103</v>
      </c>
      <c r="G283" s="26" t="s">
        <v>101</v>
      </c>
      <c r="H283" s="26"/>
      <c r="I283" s="27" t="s">
        <v>109</v>
      </c>
      <c r="J283" s="27" t="s">
        <v>18</v>
      </c>
      <c r="K283" s="28">
        <v>106864</v>
      </c>
      <c r="L283" s="28">
        <v>737134</v>
      </c>
      <c r="M283" s="28">
        <v>777670</v>
      </c>
      <c r="N283" s="27" t="s">
        <v>51</v>
      </c>
      <c r="O283" s="28">
        <v>18114509.440000001</v>
      </c>
      <c r="P283" s="29">
        <f>'Infrastructure Benchmarks-ref'!$O283/'Infrastructure Benchmarks-ref'!$K283</f>
        <v>169.50993262464442</v>
      </c>
      <c r="Q283" s="29">
        <f>'Infrastructure Benchmarks-ref'!$O283/'Infrastructure Benchmarks-ref'!$L283</f>
        <v>24.574242186630926</v>
      </c>
      <c r="R283" s="29">
        <f>'Infrastructure Benchmarks-ref'!$O283/'Infrastructure Benchmarks-ref'!$M283</f>
        <v>23.293311353144652</v>
      </c>
      <c r="S283" s="30"/>
    </row>
    <row r="284" spans="1:19" x14ac:dyDescent="0.2">
      <c r="A284" s="25" t="s">
        <v>70</v>
      </c>
      <c r="B284" s="26" t="s">
        <v>2</v>
      </c>
      <c r="C284" s="26" t="s">
        <v>39</v>
      </c>
      <c r="D284" s="26" t="s">
        <v>102</v>
      </c>
      <c r="E284" s="26"/>
      <c r="F284" s="26" t="s">
        <v>103</v>
      </c>
      <c r="G284" s="26" t="s">
        <v>101</v>
      </c>
      <c r="H284" s="26"/>
      <c r="I284" s="27" t="s">
        <v>109</v>
      </c>
      <c r="J284" s="27" t="s">
        <v>18</v>
      </c>
      <c r="K284" s="28">
        <v>106864</v>
      </c>
      <c r="L284" s="28">
        <v>737134</v>
      </c>
      <c r="M284" s="28">
        <v>777670</v>
      </c>
      <c r="N284" s="27" t="s">
        <v>52</v>
      </c>
      <c r="O284" s="28">
        <v>0</v>
      </c>
      <c r="P284" s="29">
        <f>'Infrastructure Benchmarks-ref'!$O284/'Infrastructure Benchmarks-ref'!$K284</f>
        <v>0</v>
      </c>
      <c r="Q284" s="29">
        <f>'Infrastructure Benchmarks-ref'!$O284/'Infrastructure Benchmarks-ref'!$L284</f>
        <v>0</v>
      </c>
      <c r="R284" s="29">
        <f>'Infrastructure Benchmarks-ref'!$O284/'Infrastructure Benchmarks-ref'!$M284</f>
        <v>0</v>
      </c>
      <c r="S284" s="30"/>
    </row>
    <row r="285" spans="1:19" x14ac:dyDescent="0.2">
      <c r="A285" s="25" t="s">
        <v>70</v>
      </c>
      <c r="B285" s="26" t="s">
        <v>2</v>
      </c>
      <c r="C285" s="26" t="s">
        <v>39</v>
      </c>
      <c r="D285" s="26" t="s">
        <v>102</v>
      </c>
      <c r="E285" s="26"/>
      <c r="F285" s="26" t="s">
        <v>103</v>
      </c>
      <c r="G285" s="26" t="s">
        <v>101</v>
      </c>
      <c r="H285" s="26"/>
      <c r="I285" s="27" t="s">
        <v>109</v>
      </c>
      <c r="J285" s="27" t="s">
        <v>18</v>
      </c>
      <c r="K285" s="28">
        <v>106864</v>
      </c>
      <c r="L285" s="28">
        <v>737134</v>
      </c>
      <c r="M285" s="28">
        <v>777670</v>
      </c>
      <c r="N285" s="27" t="s">
        <v>53</v>
      </c>
      <c r="O285" s="28">
        <v>0</v>
      </c>
      <c r="P285" s="29">
        <f>'Infrastructure Benchmarks-ref'!$O285/'Infrastructure Benchmarks-ref'!$K285</f>
        <v>0</v>
      </c>
      <c r="Q285" s="29">
        <f>'Infrastructure Benchmarks-ref'!$O285/'Infrastructure Benchmarks-ref'!$L285</f>
        <v>0</v>
      </c>
      <c r="R285" s="29">
        <f>'Infrastructure Benchmarks-ref'!$O285/'Infrastructure Benchmarks-ref'!$M285</f>
        <v>0</v>
      </c>
      <c r="S285" s="30"/>
    </row>
    <row r="286" spans="1:19" x14ac:dyDescent="0.2">
      <c r="A286" s="25" t="s">
        <v>70</v>
      </c>
      <c r="B286" s="26" t="s">
        <v>2</v>
      </c>
      <c r="C286" s="26" t="s">
        <v>39</v>
      </c>
      <c r="D286" s="26" t="s">
        <v>102</v>
      </c>
      <c r="E286" s="26"/>
      <c r="F286" s="26" t="s">
        <v>103</v>
      </c>
      <c r="G286" s="26" t="s">
        <v>101</v>
      </c>
      <c r="H286" s="26"/>
      <c r="I286" s="27" t="s">
        <v>109</v>
      </c>
      <c r="J286" s="27" t="s">
        <v>18</v>
      </c>
      <c r="K286" s="28">
        <v>106864</v>
      </c>
      <c r="L286" s="28">
        <v>737134</v>
      </c>
      <c r="M286" s="28">
        <v>777670</v>
      </c>
      <c r="N286" s="27" t="s">
        <v>55</v>
      </c>
      <c r="O286" s="28">
        <v>100000000</v>
      </c>
      <c r="P286" s="29">
        <f>'Infrastructure Benchmarks-ref'!$O286/'Infrastructure Benchmarks-ref'!$K286</f>
        <v>935.76882766881272</v>
      </c>
      <c r="Q286" s="29">
        <f>'Infrastructure Benchmarks-ref'!$O286/'Infrastructure Benchmarks-ref'!$L286</f>
        <v>135.66054475848352</v>
      </c>
      <c r="R286" s="29">
        <f>'Infrastructure Benchmarks-ref'!$O286/'Infrastructure Benchmarks-ref'!$M286</f>
        <v>128.58924736713516</v>
      </c>
      <c r="S286" s="30"/>
    </row>
    <row r="287" spans="1:19" x14ac:dyDescent="0.2">
      <c r="A287" s="25" t="s">
        <v>70</v>
      </c>
      <c r="B287" s="26" t="s">
        <v>2</v>
      </c>
      <c r="C287" s="26" t="s">
        <v>39</v>
      </c>
      <c r="D287" s="26" t="s">
        <v>102</v>
      </c>
      <c r="E287" s="26"/>
      <c r="F287" s="26" t="s">
        <v>103</v>
      </c>
      <c r="G287" s="26" t="s">
        <v>101</v>
      </c>
      <c r="H287" s="26"/>
      <c r="I287" s="27" t="s">
        <v>109</v>
      </c>
      <c r="J287" s="27" t="s">
        <v>18</v>
      </c>
      <c r="K287" s="28">
        <v>106864</v>
      </c>
      <c r="L287" s="28">
        <v>737134</v>
      </c>
      <c r="M287" s="28">
        <v>777670</v>
      </c>
      <c r="N287" s="27" t="s">
        <v>54</v>
      </c>
      <c r="O287" s="31">
        <v>0</v>
      </c>
      <c r="P287" s="29">
        <f>'Infrastructure Benchmarks-ref'!$O287/'Infrastructure Benchmarks-ref'!$K287</f>
        <v>0</v>
      </c>
      <c r="Q287" s="29">
        <f>'Infrastructure Benchmarks-ref'!$O287/'Infrastructure Benchmarks-ref'!$L287</f>
        <v>0</v>
      </c>
      <c r="R287" s="29">
        <f>'Infrastructure Benchmarks-ref'!$O287/'Infrastructure Benchmarks-ref'!$M287</f>
        <v>0</v>
      </c>
      <c r="S287" s="30"/>
    </row>
    <row r="288" spans="1:19" x14ac:dyDescent="0.2">
      <c r="A288" s="25" t="s">
        <v>70</v>
      </c>
      <c r="B288" s="26" t="s">
        <v>2</v>
      </c>
      <c r="C288" s="26" t="s">
        <v>39</v>
      </c>
      <c r="D288" s="26" t="s">
        <v>102</v>
      </c>
      <c r="E288" s="26"/>
      <c r="F288" s="26" t="s">
        <v>103</v>
      </c>
      <c r="G288" s="26" t="s">
        <v>101</v>
      </c>
      <c r="H288" s="26"/>
      <c r="I288" s="27" t="s">
        <v>109</v>
      </c>
      <c r="J288" s="27" t="s">
        <v>18</v>
      </c>
      <c r="K288" s="28">
        <v>106864</v>
      </c>
      <c r="L288" s="28">
        <v>737134</v>
      </c>
      <c r="M288" s="28">
        <v>777670</v>
      </c>
      <c r="N288" s="27" t="s">
        <v>56</v>
      </c>
      <c r="O288" s="28">
        <v>0</v>
      </c>
      <c r="P288" s="29">
        <f>'Infrastructure Benchmarks-ref'!$O288/'Infrastructure Benchmarks-ref'!$K288</f>
        <v>0</v>
      </c>
      <c r="Q288" s="29">
        <f>'Infrastructure Benchmarks-ref'!$O288/'Infrastructure Benchmarks-ref'!$L288</f>
        <v>0</v>
      </c>
      <c r="R288" s="29">
        <f>'Infrastructure Benchmarks-ref'!$O288/'Infrastructure Benchmarks-ref'!$M288</f>
        <v>0</v>
      </c>
      <c r="S288" s="30"/>
    </row>
    <row r="289" spans="1:19" x14ac:dyDescent="0.2">
      <c r="A289" s="25" t="s">
        <v>70</v>
      </c>
      <c r="B289" s="26" t="s">
        <v>2</v>
      </c>
      <c r="C289" s="26" t="s">
        <v>39</v>
      </c>
      <c r="D289" s="26" t="s">
        <v>102</v>
      </c>
      <c r="E289" s="26"/>
      <c r="F289" s="26" t="s">
        <v>103</v>
      </c>
      <c r="G289" s="26" t="s">
        <v>101</v>
      </c>
      <c r="H289" s="26"/>
      <c r="I289" s="27" t="s">
        <v>109</v>
      </c>
      <c r="J289" s="27" t="s">
        <v>18</v>
      </c>
      <c r="K289" s="28">
        <v>106864</v>
      </c>
      <c r="L289" s="28">
        <v>737134</v>
      </c>
      <c r="M289" s="28">
        <v>777670</v>
      </c>
      <c r="N289" s="27" t="s">
        <v>73</v>
      </c>
      <c r="O289" s="28">
        <f>11717963.02+38525</f>
        <v>11756488.02</v>
      </c>
      <c r="P289" s="29">
        <f>'Infrastructure Benchmarks-ref'!$O289/'Infrastructure Benchmarks-ref'!$K289</f>
        <v>110.0135501197784</v>
      </c>
      <c r="Q289" s="29">
        <f>'Infrastructure Benchmarks-ref'!$O289/'Infrastructure Benchmarks-ref'!$L289</f>
        <v>15.948915692397854</v>
      </c>
      <c r="R289" s="29">
        <f>'Infrastructure Benchmarks-ref'!$O289/'Infrastructure Benchmarks-ref'!$M289</f>
        <v>15.117579461725409</v>
      </c>
      <c r="S289" s="30"/>
    </row>
    <row r="290" spans="1:19" x14ac:dyDescent="0.2">
      <c r="A290" s="25" t="s">
        <v>70</v>
      </c>
      <c r="B290" s="26" t="s">
        <v>2</v>
      </c>
      <c r="C290" s="26" t="s">
        <v>39</v>
      </c>
      <c r="D290" s="26" t="s">
        <v>102</v>
      </c>
      <c r="E290" s="26"/>
      <c r="F290" s="26" t="s">
        <v>103</v>
      </c>
      <c r="G290" s="26" t="s">
        <v>101</v>
      </c>
      <c r="H290" s="26"/>
      <c r="I290" s="27" t="s">
        <v>109</v>
      </c>
      <c r="J290" s="27" t="s">
        <v>18</v>
      </c>
      <c r="K290" s="28">
        <v>106864</v>
      </c>
      <c r="L290" s="28">
        <v>737134</v>
      </c>
      <c r="M290" s="28">
        <v>777670</v>
      </c>
      <c r="N290" s="27" t="s">
        <v>57</v>
      </c>
      <c r="O290" s="31">
        <f>51852*300</f>
        <v>15555600</v>
      </c>
      <c r="P290" s="29">
        <f>'Infrastructure Benchmarks-ref'!$O290/'Infrastructure Benchmarks-ref'!$K290</f>
        <v>145.56445575684984</v>
      </c>
      <c r="Q290" s="29">
        <f>'Infrastructure Benchmarks-ref'!$O290/'Infrastructure Benchmarks-ref'!$L290</f>
        <v>21.102811700450665</v>
      </c>
      <c r="R290" s="29">
        <f>'Infrastructure Benchmarks-ref'!$O290/'Infrastructure Benchmarks-ref'!$M290</f>
        <v>20.002828963442077</v>
      </c>
      <c r="S290" s="30"/>
    </row>
    <row r="291" spans="1:19" x14ac:dyDescent="0.2">
      <c r="A291" s="25" t="s">
        <v>70</v>
      </c>
      <c r="B291" s="26" t="s">
        <v>2</v>
      </c>
      <c r="C291" s="26" t="s">
        <v>39</v>
      </c>
      <c r="D291" s="26" t="s">
        <v>102</v>
      </c>
      <c r="E291" s="26"/>
      <c r="F291" s="26" t="s">
        <v>103</v>
      </c>
      <c r="G291" s="26" t="s">
        <v>101</v>
      </c>
      <c r="H291" s="26"/>
      <c r="I291" s="27" t="s">
        <v>109</v>
      </c>
      <c r="J291" s="27" t="s">
        <v>18</v>
      </c>
      <c r="K291" s="28">
        <v>106864</v>
      </c>
      <c r="L291" s="28">
        <v>737134</v>
      </c>
      <c r="M291" s="28">
        <v>777670</v>
      </c>
      <c r="N291" s="27" t="s">
        <v>58</v>
      </c>
      <c r="O291" s="31">
        <v>0</v>
      </c>
      <c r="P291" s="29">
        <f>'Infrastructure Benchmarks-ref'!$O291/'Infrastructure Benchmarks-ref'!$K291</f>
        <v>0</v>
      </c>
      <c r="Q291" s="29">
        <f>'Infrastructure Benchmarks-ref'!$O291/'Infrastructure Benchmarks-ref'!$L291</f>
        <v>0</v>
      </c>
      <c r="R291" s="29">
        <f>'Infrastructure Benchmarks-ref'!$O291/'Infrastructure Benchmarks-ref'!$M291</f>
        <v>0</v>
      </c>
      <c r="S291" s="30"/>
    </row>
    <row r="292" spans="1:19" x14ac:dyDescent="0.2">
      <c r="A292" s="25" t="s">
        <v>70</v>
      </c>
      <c r="B292" s="26" t="s">
        <v>2</v>
      </c>
      <c r="C292" s="26" t="s">
        <v>39</v>
      </c>
      <c r="D292" s="26" t="s">
        <v>102</v>
      </c>
      <c r="E292" s="26"/>
      <c r="F292" s="26" t="s">
        <v>103</v>
      </c>
      <c r="G292" s="26" t="s">
        <v>101</v>
      </c>
      <c r="H292" s="26"/>
      <c r="I292" s="27" t="s">
        <v>109</v>
      </c>
      <c r="J292" s="27" t="s">
        <v>18</v>
      </c>
      <c r="K292" s="28">
        <v>106864</v>
      </c>
      <c r="L292" s="28">
        <v>737134</v>
      </c>
      <c r="M292" s="28">
        <v>777670</v>
      </c>
      <c r="N292" s="27" t="s">
        <v>59</v>
      </c>
      <c r="O292" s="31">
        <v>0</v>
      </c>
      <c r="P292" s="29">
        <f>'Infrastructure Benchmarks-ref'!$O292/'Infrastructure Benchmarks-ref'!$K292</f>
        <v>0</v>
      </c>
      <c r="Q292" s="29">
        <f>'Infrastructure Benchmarks-ref'!$O292/'Infrastructure Benchmarks-ref'!$L292</f>
        <v>0</v>
      </c>
      <c r="R292" s="29">
        <f>'Infrastructure Benchmarks-ref'!$O292/'Infrastructure Benchmarks-ref'!$M292</f>
        <v>0</v>
      </c>
      <c r="S292" s="30"/>
    </row>
    <row r="293" spans="1:19" x14ac:dyDescent="0.2">
      <c r="A293" s="25" t="s">
        <v>70</v>
      </c>
      <c r="B293" s="26" t="s">
        <v>2</v>
      </c>
      <c r="C293" s="26" t="s">
        <v>39</v>
      </c>
      <c r="D293" s="26" t="s">
        <v>102</v>
      </c>
      <c r="E293" s="26"/>
      <c r="F293" s="26" t="s">
        <v>103</v>
      </c>
      <c r="G293" s="26" t="s">
        <v>101</v>
      </c>
      <c r="H293" s="26"/>
      <c r="I293" s="27" t="s">
        <v>109</v>
      </c>
      <c r="J293" s="27" t="s">
        <v>18</v>
      </c>
      <c r="K293" s="28">
        <v>106864</v>
      </c>
      <c r="L293" s="28">
        <v>737134</v>
      </c>
      <c r="M293" s="28">
        <v>777670</v>
      </c>
      <c r="N293" s="27" t="s">
        <v>60</v>
      </c>
      <c r="O293" s="28">
        <v>0</v>
      </c>
      <c r="P293" s="29">
        <f>'Infrastructure Benchmarks-ref'!$O293/'Infrastructure Benchmarks-ref'!$K293</f>
        <v>0</v>
      </c>
      <c r="Q293" s="29">
        <f>'Infrastructure Benchmarks-ref'!$O293/'Infrastructure Benchmarks-ref'!$L293</f>
        <v>0</v>
      </c>
      <c r="R293" s="29">
        <f>'Infrastructure Benchmarks-ref'!$O293/'Infrastructure Benchmarks-ref'!$M293</f>
        <v>0</v>
      </c>
      <c r="S293" s="30"/>
    </row>
    <row r="294" spans="1:19" ht="16" thickBot="1" x14ac:dyDescent="0.25">
      <c r="A294" s="25" t="s">
        <v>70</v>
      </c>
      <c r="B294" s="26" t="s">
        <v>2</v>
      </c>
      <c r="C294" s="26" t="s">
        <v>39</v>
      </c>
      <c r="D294" s="26" t="s">
        <v>102</v>
      </c>
      <c r="E294" s="26"/>
      <c r="F294" s="26" t="s">
        <v>103</v>
      </c>
      <c r="G294" s="26" t="s">
        <v>101</v>
      </c>
      <c r="H294" s="26"/>
      <c r="I294" s="27" t="s">
        <v>109</v>
      </c>
      <c r="J294" s="27" t="s">
        <v>18</v>
      </c>
      <c r="K294" s="28">
        <v>106864</v>
      </c>
      <c r="L294" s="28">
        <v>737134</v>
      </c>
      <c r="M294" s="28">
        <v>777670</v>
      </c>
      <c r="N294" s="27" t="s">
        <v>61</v>
      </c>
      <c r="O294" s="28">
        <v>0</v>
      </c>
      <c r="P294" s="29">
        <f>'Infrastructure Benchmarks-ref'!$O294/'Infrastructure Benchmarks-ref'!$K294</f>
        <v>0</v>
      </c>
      <c r="Q294" s="29">
        <f>'Infrastructure Benchmarks-ref'!$O294/'Infrastructure Benchmarks-ref'!$L294</f>
        <v>0</v>
      </c>
      <c r="R294" s="29">
        <f>'Infrastructure Benchmarks-ref'!$O294/'Infrastructure Benchmarks-ref'!$M294</f>
        <v>0</v>
      </c>
      <c r="S294" s="30"/>
    </row>
    <row r="295" spans="1:19" ht="17" thickTop="1" thickBot="1" x14ac:dyDescent="0.25">
      <c r="A295" s="54"/>
      <c r="B295" s="55"/>
      <c r="C295" s="55"/>
      <c r="D295" s="55"/>
      <c r="E295" s="55"/>
      <c r="F295" s="55"/>
      <c r="G295" s="55"/>
      <c r="H295" s="55"/>
      <c r="I295" s="56"/>
      <c r="J295" s="56"/>
      <c r="K295" s="57"/>
      <c r="L295" s="57"/>
      <c r="M295" s="57"/>
      <c r="N295" s="56"/>
      <c r="O295" s="57"/>
      <c r="P295" s="58"/>
      <c r="Q295" s="58"/>
      <c r="R295" s="58"/>
      <c r="S295" s="59"/>
    </row>
    <row r="296" spans="1:19" ht="16" thickTop="1" x14ac:dyDescent="0.2">
      <c r="A296" s="33" t="s">
        <v>70</v>
      </c>
      <c r="B296" s="1" t="s">
        <v>2</v>
      </c>
      <c r="C296" s="1" t="s">
        <v>39</v>
      </c>
      <c r="D296" s="1" t="s">
        <v>106</v>
      </c>
      <c r="E296" s="1"/>
      <c r="F296" s="1" t="s">
        <v>100</v>
      </c>
      <c r="G296" t="s">
        <v>107</v>
      </c>
      <c r="H296" s="1" t="s">
        <v>108</v>
      </c>
      <c r="I296" s="4" t="s">
        <v>16</v>
      </c>
      <c r="J296" s="4" t="s">
        <v>18</v>
      </c>
      <c r="K296" s="7">
        <v>76187</v>
      </c>
      <c r="L296" s="7">
        <v>224528</v>
      </c>
      <c r="M296" s="7">
        <v>89355</v>
      </c>
      <c r="N296" s="4" t="s">
        <v>24</v>
      </c>
      <c r="O296" s="64"/>
      <c r="P296" s="2">
        <f>'Infrastructure Benchmarks-ref'!$O296/'Infrastructure Benchmarks-ref'!$K296</f>
        <v>0</v>
      </c>
      <c r="Q296" s="2">
        <f>'Infrastructure Benchmarks-ref'!$O296/'Infrastructure Benchmarks-ref'!$L296</f>
        <v>0</v>
      </c>
      <c r="R296" s="2">
        <f>'Infrastructure Benchmarks-ref'!$O296/'Infrastructure Benchmarks-ref'!$M296</f>
        <v>0</v>
      </c>
      <c r="S296" s="34">
        <v>2022</v>
      </c>
    </row>
    <row r="297" spans="1:19" x14ac:dyDescent="0.2">
      <c r="A297" s="25" t="s">
        <v>70</v>
      </c>
      <c r="B297" s="26" t="s">
        <v>2</v>
      </c>
      <c r="C297" s="26" t="s">
        <v>39</v>
      </c>
      <c r="D297" s="26" t="s">
        <v>106</v>
      </c>
      <c r="E297" s="26"/>
      <c r="F297" s="26" t="s">
        <v>100</v>
      </c>
      <c r="G297" s="26" t="s">
        <v>107</v>
      </c>
      <c r="H297" s="26" t="s">
        <v>108</v>
      </c>
      <c r="I297" s="27" t="s">
        <v>16</v>
      </c>
      <c r="J297" s="27" t="s">
        <v>18</v>
      </c>
      <c r="K297" s="28">
        <v>76187</v>
      </c>
      <c r="L297" s="28">
        <v>224528</v>
      </c>
      <c r="M297" s="28">
        <v>89355</v>
      </c>
      <c r="N297" s="27" t="s">
        <v>44</v>
      </c>
      <c r="O297" s="28"/>
      <c r="P297" s="29">
        <f>'Infrastructure Benchmarks-ref'!$O297/'Infrastructure Benchmarks-ref'!$K297</f>
        <v>0</v>
      </c>
      <c r="Q297" s="29">
        <f>'Infrastructure Benchmarks-ref'!$O297/'Infrastructure Benchmarks-ref'!$L297</f>
        <v>0</v>
      </c>
      <c r="R297" s="29">
        <f>'Infrastructure Benchmarks-ref'!$O297/'Infrastructure Benchmarks-ref'!$M297</f>
        <v>0</v>
      </c>
      <c r="S297" s="30">
        <v>2022</v>
      </c>
    </row>
    <row r="298" spans="1:19" x14ac:dyDescent="0.2">
      <c r="A298" s="25" t="s">
        <v>70</v>
      </c>
      <c r="B298" s="26" t="s">
        <v>2</v>
      </c>
      <c r="C298" s="26" t="s">
        <v>39</v>
      </c>
      <c r="D298" s="26" t="s">
        <v>106</v>
      </c>
      <c r="E298" s="26"/>
      <c r="F298" s="26" t="s">
        <v>100</v>
      </c>
      <c r="G298" s="26" t="s">
        <v>107</v>
      </c>
      <c r="H298" s="26" t="s">
        <v>108</v>
      </c>
      <c r="I298" s="27" t="s">
        <v>16</v>
      </c>
      <c r="J298" s="27" t="s">
        <v>18</v>
      </c>
      <c r="K298" s="28">
        <v>76187</v>
      </c>
      <c r="L298" s="28">
        <v>224528</v>
      </c>
      <c r="M298" s="28">
        <v>89355</v>
      </c>
      <c r="N298" s="27" t="s">
        <v>45</v>
      </c>
      <c r="O298" s="31">
        <v>5983530.6097142901</v>
      </c>
      <c r="P298" s="29">
        <f>'Infrastructure Benchmarks-ref'!$O298/'Infrastructure Benchmarks-ref'!$K298</f>
        <v>78.537422522402636</v>
      </c>
      <c r="Q298" s="29">
        <f>'Infrastructure Benchmarks-ref'!$O298/'Infrastructure Benchmarks-ref'!$L298</f>
        <v>26.649373840742758</v>
      </c>
      <c r="R298" s="29">
        <f>'Infrastructure Benchmarks-ref'!$O298/'Infrastructure Benchmarks-ref'!$M298</f>
        <v>66.963579091425103</v>
      </c>
      <c r="S298" s="30">
        <v>2022</v>
      </c>
    </row>
    <row r="299" spans="1:19" x14ac:dyDescent="0.2">
      <c r="A299" s="25" t="s">
        <v>70</v>
      </c>
      <c r="B299" s="26" t="s">
        <v>2</v>
      </c>
      <c r="C299" s="26" t="s">
        <v>39</v>
      </c>
      <c r="D299" s="26" t="s">
        <v>106</v>
      </c>
      <c r="E299" s="26"/>
      <c r="F299" s="26" t="s">
        <v>100</v>
      </c>
      <c r="G299" s="26" t="s">
        <v>107</v>
      </c>
      <c r="H299" s="26" t="s">
        <v>108</v>
      </c>
      <c r="I299" s="27" t="s">
        <v>16</v>
      </c>
      <c r="J299" s="27" t="s">
        <v>18</v>
      </c>
      <c r="K299" s="28">
        <v>76187</v>
      </c>
      <c r="L299" s="28">
        <v>224528</v>
      </c>
      <c r="M299" s="28">
        <v>89355</v>
      </c>
      <c r="N299" s="27" t="s">
        <v>14</v>
      </c>
      <c r="O299" s="28">
        <v>1685727.2399999998</v>
      </c>
      <c r="P299" s="29">
        <f>'Infrastructure Benchmarks-ref'!$O299/'Infrastructure Benchmarks-ref'!$K299</f>
        <v>22.126179531941141</v>
      </c>
      <c r="Q299" s="29">
        <f>'Infrastructure Benchmarks-ref'!$O299/'Infrastructure Benchmarks-ref'!$L299</f>
        <v>7.5078709114230735</v>
      </c>
      <c r="R299" s="29">
        <f>'Infrastructure Benchmarks-ref'!$O299/'Infrastructure Benchmarks-ref'!$M299</f>
        <v>18.865505455766321</v>
      </c>
      <c r="S299" s="30">
        <v>2022</v>
      </c>
    </row>
    <row r="300" spans="1:19" x14ac:dyDescent="0.2">
      <c r="A300" s="25" t="s">
        <v>70</v>
      </c>
      <c r="B300" s="26" t="s">
        <v>2</v>
      </c>
      <c r="C300" s="26" t="s">
        <v>39</v>
      </c>
      <c r="D300" s="26" t="s">
        <v>106</v>
      </c>
      <c r="E300" s="26"/>
      <c r="F300" s="26" t="s">
        <v>100</v>
      </c>
      <c r="G300" s="26" t="s">
        <v>107</v>
      </c>
      <c r="H300" s="26" t="s">
        <v>108</v>
      </c>
      <c r="I300" s="27" t="s">
        <v>16</v>
      </c>
      <c r="J300" s="27" t="s">
        <v>18</v>
      </c>
      <c r="K300" s="28">
        <v>76187</v>
      </c>
      <c r="L300" s="28">
        <v>224528</v>
      </c>
      <c r="M300" s="28">
        <v>89355</v>
      </c>
      <c r="N300" s="27" t="s">
        <v>22</v>
      </c>
      <c r="O300" s="28">
        <v>7367606.4022699986</v>
      </c>
      <c r="P300" s="29">
        <f>'Infrastructure Benchmarks-ref'!$O300/'Infrastructure Benchmarks-ref'!$K300</f>
        <v>96.704246161024827</v>
      </c>
      <c r="Q300" s="29">
        <f>'Infrastructure Benchmarks-ref'!$O300/'Infrastructure Benchmarks-ref'!$L300</f>
        <v>32.81375330591284</v>
      </c>
      <c r="R300" s="29">
        <f>'Infrastructure Benchmarks-ref'!$O300/'Infrastructure Benchmarks-ref'!$M300</f>
        <v>82.453208016003572</v>
      </c>
      <c r="S300" s="30">
        <v>2022</v>
      </c>
    </row>
    <row r="301" spans="1:19" x14ac:dyDescent="0.2">
      <c r="A301" s="25" t="s">
        <v>70</v>
      </c>
      <c r="B301" s="26" t="s">
        <v>2</v>
      </c>
      <c r="C301" s="26" t="s">
        <v>39</v>
      </c>
      <c r="D301" s="26" t="s">
        <v>106</v>
      </c>
      <c r="E301" s="26"/>
      <c r="F301" s="26" t="s">
        <v>100</v>
      </c>
      <c r="G301" s="26" t="s">
        <v>107</v>
      </c>
      <c r="H301" s="26" t="s">
        <v>108</v>
      </c>
      <c r="I301" s="27" t="s">
        <v>16</v>
      </c>
      <c r="J301" s="27" t="s">
        <v>18</v>
      </c>
      <c r="K301" s="28">
        <v>76187</v>
      </c>
      <c r="L301" s="28">
        <v>224528</v>
      </c>
      <c r="M301" s="28">
        <v>89355</v>
      </c>
      <c r="N301" s="27" t="s">
        <v>20</v>
      </c>
      <c r="O301" s="28">
        <v>7439457.8659199998</v>
      </c>
      <c r="P301" s="29">
        <f>'Infrastructure Benchmarks-ref'!$O301/'Infrastructure Benchmarks-ref'!$K301</f>
        <v>97.64733965007153</v>
      </c>
      <c r="Q301" s="29">
        <f>'Infrastructure Benchmarks-ref'!$O301/'Infrastructure Benchmarks-ref'!$L301</f>
        <v>33.133764456637927</v>
      </c>
      <c r="R301" s="29">
        <f>'Infrastructure Benchmarks-ref'!$O301/'Infrastructure Benchmarks-ref'!$M301</f>
        <v>83.257320417659898</v>
      </c>
      <c r="S301" s="30">
        <v>2022</v>
      </c>
    </row>
    <row r="302" spans="1:19" x14ac:dyDescent="0.2">
      <c r="A302" s="25" t="s">
        <v>70</v>
      </c>
      <c r="B302" s="26" t="s">
        <v>2</v>
      </c>
      <c r="C302" s="26" t="s">
        <v>39</v>
      </c>
      <c r="D302" s="26" t="s">
        <v>106</v>
      </c>
      <c r="E302" s="26"/>
      <c r="F302" s="26" t="s">
        <v>100</v>
      </c>
      <c r="G302" s="26" t="s">
        <v>107</v>
      </c>
      <c r="H302" s="26" t="s">
        <v>108</v>
      </c>
      <c r="I302" s="27" t="s">
        <v>16</v>
      </c>
      <c r="J302" s="27" t="s">
        <v>18</v>
      </c>
      <c r="K302" s="28">
        <v>76187</v>
      </c>
      <c r="L302" s="28">
        <v>224528</v>
      </c>
      <c r="M302" s="28">
        <v>89355</v>
      </c>
      <c r="N302" s="27" t="s">
        <v>23</v>
      </c>
      <c r="O302" s="28">
        <v>10336818.65392</v>
      </c>
      <c r="P302" s="29">
        <f>'Infrastructure Benchmarks-ref'!$O302/'Infrastructure Benchmarks-ref'!$K302</f>
        <v>135.67693509286363</v>
      </c>
      <c r="Q302" s="29">
        <f>'Infrastructure Benchmarks-ref'!$O302/'Infrastructure Benchmarks-ref'!$L302</f>
        <v>46.037993719803325</v>
      </c>
      <c r="R302" s="29">
        <f>'Infrastructure Benchmarks-ref'!$O302/'Infrastructure Benchmarks-ref'!$M302</f>
        <v>115.68259922690393</v>
      </c>
      <c r="S302" s="30">
        <v>2022</v>
      </c>
    </row>
    <row r="303" spans="1:19" x14ac:dyDescent="0.2">
      <c r="A303" s="25" t="s">
        <v>70</v>
      </c>
      <c r="B303" s="26" t="s">
        <v>2</v>
      </c>
      <c r="C303" s="26" t="s">
        <v>39</v>
      </c>
      <c r="D303" s="26" t="s">
        <v>106</v>
      </c>
      <c r="E303" s="26"/>
      <c r="F303" s="26" t="s">
        <v>100</v>
      </c>
      <c r="G303" s="26" t="s">
        <v>107</v>
      </c>
      <c r="H303" s="26" t="s">
        <v>108</v>
      </c>
      <c r="I303" s="27" t="s">
        <v>16</v>
      </c>
      <c r="J303" s="27" t="s">
        <v>18</v>
      </c>
      <c r="K303" s="28">
        <v>76187</v>
      </c>
      <c r="L303" s="28">
        <v>224528</v>
      </c>
      <c r="M303" s="28">
        <v>89355</v>
      </c>
      <c r="N303" s="27" t="s">
        <v>25</v>
      </c>
      <c r="O303" s="28">
        <v>6921233.5</v>
      </c>
      <c r="P303" s="29">
        <f>'Infrastructure Benchmarks-ref'!$O303/'Infrastructure Benchmarks-ref'!$K303</f>
        <v>90.845334505886825</v>
      </c>
      <c r="Q303" s="29">
        <f>'Infrastructure Benchmarks-ref'!$O303/'Infrastructure Benchmarks-ref'!$L303</f>
        <v>30.825703253046392</v>
      </c>
      <c r="R303" s="29">
        <f>'Infrastructure Benchmarks-ref'!$O303/'Infrastructure Benchmarks-ref'!$M303</f>
        <v>77.457708018577577</v>
      </c>
      <c r="S303" s="30">
        <v>2022</v>
      </c>
    </row>
    <row r="304" spans="1:19" x14ac:dyDescent="0.2">
      <c r="A304" s="25" t="s">
        <v>70</v>
      </c>
      <c r="B304" s="26" t="s">
        <v>2</v>
      </c>
      <c r="C304" s="26" t="s">
        <v>39</v>
      </c>
      <c r="D304" s="26" t="s">
        <v>106</v>
      </c>
      <c r="E304" s="26"/>
      <c r="F304" s="26" t="s">
        <v>100</v>
      </c>
      <c r="G304" s="26" t="s">
        <v>107</v>
      </c>
      <c r="H304" s="26" t="s">
        <v>108</v>
      </c>
      <c r="I304" s="27" t="s">
        <v>16</v>
      </c>
      <c r="J304" s="27" t="s">
        <v>18</v>
      </c>
      <c r="K304" s="28">
        <v>76187</v>
      </c>
      <c r="L304" s="28">
        <v>224528</v>
      </c>
      <c r="M304" s="28">
        <v>89355</v>
      </c>
      <c r="N304" s="27" t="s">
        <v>46</v>
      </c>
      <c r="O304" s="28"/>
      <c r="P304" s="29">
        <f>'Infrastructure Benchmarks-ref'!$O304/'Infrastructure Benchmarks-ref'!$K304</f>
        <v>0</v>
      </c>
      <c r="Q304" s="29">
        <f>'Infrastructure Benchmarks-ref'!$O304/'Infrastructure Benchmarks-ref'!$L304</f>
        <v>0</v>
      </c>
      <c r="R304" s="29">
        <f>'Infrastructure Benchmarks-ref'!$O304/'Infrastructure Benchmarks-ref'!$M304</f>
        <v>0</v>
      </c>
      <c r="S304" s="30">
        <v>2022</v>
      </c>
    </row>
    <row r="305" spans="1:19" x14ac:dyDescent="0.2">
      <c r="A305" s="25" t="s">
        <v>70</v>
      </c>
      <c r="B305" s="26" t="s">
        <v>2</v>
      </c>
      <c r="C305" s="26" t="s">
        <v>39</v>
      </c>
      <c r="D305" s="26" t="s">
        <v>106</v>
      </c>
      <c r="E305" s="26"/>
      <c r="F305" s="26" t="s">
        <v>100</v>
      </c>
      <c r="G305" s="26" t="s">
        <v>107</v>
      </c>
      <c r="H305" s="26" t="s">
        <v>108</v>
      </c>
      <c r="I305" s="27" t="s">
        <v>16</v>
      </c>
      <c r="J305" s="27" t="s">
        <v>18</v>
      </c>
      <c r="K305" s="28">
        <v>76187</v>
      </c>
      <c r="L305" s="28">
        <v>224528</v>
      </c>
      <c r="M305" s="28">
        <v>89355</v>
      </c>
      <c r="N305" s="27" t="s">
        <v>34</v>
      </c>
      <c r="O305" s="28">
        <v>1635248.42681068</v>
      </c>
      <c r="P305" s="29">
        <f>'Infrastructure Benchmarks-ref'!$O305/'Infrastructure Benchmarks-ref'!$K305</f>
        <v>21.463614879319042</v>
      </c>
      <c r="Q305" s="29">
        <f>'Infrastructure Benchmarks-ref'!$O305/'Infrastructure Benchmarks-ref'!$L305</f>
        <v>7.2830490041806808</v>
      </c>
      <c r="R305" s="29">
        <f>'Infrastructure Benchmarks-ref'!$O305/'Infrastructure Benchmarks-ref'!$M305</f>
        <v>18.300581129323259</v>
      </c>
      <c r="S305" s="30">
        <v>2022</v>
      </c>
    </row>
    <row r="306" spans="1:19" x14ac:dyDescent="0.2">
      <c r="A306" s="25" t="s">
        <v>70</v>
      </c>
      <c r="B306" s="26" t="s">
        <v>2</v>
      </c>
      <c r="C306" s="26" t="s">
        <v>39</v>
      </c>
      <c r="D306" s="26" t="s">
        <v>106</v>
      </c>
      <c r="E306" s="26"/>
      <c r="F306" s="26" t="s">
        <v>100</v>
      </c>
      <c r="G306" s="26" t="s">
        <v>107</v>
      </c>
      <c r="H306" s="26" t="s">
        <v>108</v>
      </c>
      <c r="I306" s="27" t="s">
        <v>16</v>
      </c>
      <c r="J306" s="27" t="s">
        <v>18</v>
      </c>
      <c r="K306" s="28">
        <v>76187</v>
      </c>
      <c r="L306" s="28">
        <v>224528</v>
      </c>
      <c r="M306" s="28">
        <v>89355</v>
      </c>
      <c r="N306" s="27" t="s">
        <v>26</v>
      </c>
      <c r="O306" s="28">
        <v>1525193.2464494999</v>
      </c>
      <c r="P306" s="29">
        <f>'Infrastructure Benchmarks-ref'!$O306/'Infrastructure Benchmarks-ref'!$K306</f>
        <v>20.019074729934239</v>
      </c>
      <c r="Q306" s="29">
        <f>'Infrastructure Benchmarks-ref'!$O306/'Infrastructure Benchmarks-ref'!$L306</f>
        <v>6.7928866174797795</v>
      </c>
      <c r="R306" s="29">
        <f>'Infrastructure Benchmarks-ref'!$O306/'Infrastructure Benchmarks-ref'!$M306</f>
        <v>17.068918879184153</v>
      </c>
      <c r="S306" s="30">
        <v>2022</v>
      </c>
    </row>
    <row r="307" spans="1:19" x14ac:dyDescent="0.2">
      <c r="A307" s="25" t="s">
        <v>70</v>
      </c>
      <c r="B307" s="26" t="s">
        <v>2</v>
      </c>
      <c r="C307" s="26" t="s">
        <v>39</v>
      </c>
      <c r="D307" s="26" t="s">
        <v>106</v>
      </c>
      <c r="E307" s="26"/>
      <c r="F307" s="26" t="s">
        <v>100</v>
      </c>
      <c r="G307" s="26" t="s">
        <v>107</v>
      </c>
      <c r="H307" s="26" t="s">
        <v>108</v>
      </c>
      <c r="I307" s="27" t="s">
        <v>16</v>
      </c>
      <c r="J307" s="27" t="s">
        <v>18</v>
      </c>
      <c r="K307" s="28">
        <v>76187</v>
      </c>
      <c r="L307" s="28">
        <v>224528</v>
      </c>
      <c r="M307" s="28">
        <v>89355</v>
      </c>
      <c r="N307" s="27" t="s">
        <v>28</v>
      </c>
      <c r="O307" s="28">
        <v>2162593.8319748836</v>
      </c>
      <c r="P307" s="29">
        <f>'Infrastructure Benchmarks-ref'!$O307/'Infrastructure Benchmarks-ref'!$K307</f>
        <v>28.38533912576796</v>
      </c>
      <c r="Q307" s="29">
        <f>'Infrastructure Benchmarks-ref'!$O307/'Infrastructure Benchmarks-ref'!$L307</f>
        <v>9.631733378353184</v>
      </c>
      <c r="R307" s="29">
        <f>'Infrastructure Benchmarks-ref'!$O307/'Infrastructure Benchmarks-ref'!$M307</f>
        <v>24.20226995663235</v>
      </c>
      <c r="S307" s="30">
        <v>2022</v>
      </c>
    </row>
    <row r="308" spans="1:19" x14ac:dyDescent="0.2">
      <c r="A308" s="25" t="s">
        <v>70</v>
      </c>
      <c r="B308" s="26" t="s">
        <v>2</v>
      </c>
      <c r="C308" s="26" t="s">
        <v>39</v>
      </c>
      <c r="D308" s="26" t="s">
        <v>106</v>
      </c>
      <c r="E308" s="26"/>
      <c r="F308" s="26" t="s">
        <v>100</v>
      </c>
      <c r="G308" s="26" t="s">
        <v>107</v>
      </c>
      <c r="H308" s="26" t="s">
        <v>108</v>
      </c>
      <c r="I308" s="27" t="s">
        <v>16</v>
      </c>
      <c r="J308" s="27" t="s">
        <v>18</v>
      </c>
      <c r="K308" s="28">
        <v>76187</v>
      </c>
      <c r="L308" s="28">
        <v>224528</v>
      </c>
      <c r="M308" s="28">
        <v>89355</v>
      </c>
      <c r="N308" s="27" t="s">
        <v>47</v>
      </c>
      <c r="O308" s="28"/>
      <c r="P308" s="29">
        <f>'Infrastructure Benchmarks-ref'!$O308/'Infrastructure Benchmarks-ref'!$K308</f>
        <v>0</v>
      </c>
      <c r="Q308" s="29">
        <f>'Infrastructure Benchmarks-ref'!$O308/'Infrastructure Benchmarks-ref'!$L308</f>
        <v>0</v>
      </c>
      <c r="R308" s="29">
        <f>'Infrastructure Benchmarks-ref'!$O308/'Infrastructure Benchmarks-ref'!$M308</f>
        <v>0</v>
      </c>
      <c r="S308" s="30">
        <v>2022</v>
      </c>
    </row>
    <row r="309" spans="1:19" x14ac:dyDescent="0.2">
      <c r="A309" s="25" t="s">
        <v>70</v>
      </c>
      <c r="B309" s="26" t="s">
        <v>2</v>
      </c>
      <c r="C309" s="26" t="s">
        <v>39</v>
      </c>
      <c r="D309" s="26" t="s">
        <v>106</v>
      </c>
      <c r="E309" s="26"/>
      <c r="F309" s="26" t="s">
        <v>100</v>
      </c>
      <c r="G309" s="26" t="s">
        <v>107</v>
      </c>
      <c r="H309" s="26" t="s">
        <v>108</v>
      </c>
      <c r="I309" s="27" t="s">
        <v>16</v>
      </c>
      <c r="J309" s="27" t="s">
        <v>18</v>
      </c>
      <c r="K309" s="28">
        <v>76187</v>
      </c>
      <c r="L309" s="28">
        <v>224528</v>
      </c>
      <c r="M309" s="28">
        <v>89355</v>
      </c>
      <c r="N309" s="27" t="s">
        <v>27</v>
      </c>
      <c r="O309" s="28">
        <v>4341805.849906778</v>
      </c>
      <c r="P309" s="29">
        <f>'Infrastructure Benchmarks-ref'!$O309/'Infrastructure Benchmarks-ref'!$K309</f>
        <v>56.988801894112882</v>
      </c>
      <c r="Q309" s="29">
        <f>'Infrastructure Benchmarks-ref'!$O309/'Infrastructure Benchmarks-ref'!$L309</f>
        <v>19.337480625609182</v>
      </c>
      <c r="R309" s="29">
        <f>'Infrastructure Benchmarks-ref'!$O309/'Infrastructure Benchmarks-ref'!$M309</f>
        <v>48.590519275997742</v>
      </c>
      <c r="S309" s="30">
        <v>2022</v>
      </c>
    </row>
    <row r="310" spans="1:19" x14ac:dyDescent="0.2">
      <c r="A310" s="25" t="s">
        <v>70</v>
      </c>
      <c r="B310" s="26" t="s">
        <v>2</v>
      </c>
      <c r="C310" s="26" t="s">
        <v>39</v>
      </c>
      <c r="D310" s="26" t="s">
        <v>106</v>
      </c>
      <c r="E310" s="26"/>
      <c r="F310" s="26" t="s">
        <v>100</v>
      </c>
      <c r="G310" s="26" t="s">
        <v>107</v>
      </c>
      <c r="H310" s="26" t="s">
        <v>108</v>
      </c>
      <c r="I310" s="27" t="s">
        <v>16</v>
      </c>
      <c r="J310" s="27" t="s">
        <v>18</v>
      </c>
      <c r="K310" s="28">
        <v>76187</v>
      </c>
      <c r="L310" s="28">
        <v>224528</v>
      </c>
      <c r="M310" s="28">
        <v>89355</v>
      </c>
      <c r="N310" s="27" t="s">
        <v>48</v>
      </c>
      <c r="O310" s="28"/>
      <c r="P310" s="29">
        <f>'Infrastructure Benchmarks-ref'!$O310/'Infrastructure Benchmarks-ref'!$K310</f>
        <v>0</v>
      </c>
      <c r="Q310" s="29">
        <f>'Infrastructure Benchmarks-ref'!$O310/'Infrastructure Benchmarks-ref'!$L310</f>
        <v>0</v>
      </c>
      <c r="R310" s="29">
        <f>'Infrastructure Benchmarks-ref'!$O310/'Infrastructure Benchmarks-ref'!$M310</f>
        <v>0</v>
      </c>
      <c r="S310" s="30">
        <v>2022</v>
      </c>
    </row>
    <row r="311" spans="1:19" x14ac:dyDescent="0.2">
      <c r="A311" s="25" t="s">
        <v>70</v>
      </c>
      <c r="B311" s="26" t="s">
        <v>2</v>
      </c>
      <c r="C311" s="26" t="s">
        <v>39</v>
      </c>
      <c r="D311" s="26" t="s">
        <v>106</v>
      </c>
      <c r="E311" s="26"/>
      <c r="F311" s="26" t="s">
        <v>100</v>
      </c>
      <c r="G311" s="26" t="s">
        <v>107</v>
      </c>
      <c r="H311" s="26" t="s">
        <v>108</v>
      </c>
      <c r="I311" s="27" t="s">
        <v>16</v>
      </c>
      <c r="J311" s="27" t="s">
        <v>18</v>
      </c>
      <c r="K311" s="28">
        <v>76187</v>
      </c>
      <c r="L311" s="28">
        <v>224528</v>
      </c>
      <c r="M311" s="28">
        <v>89355</v>
      </c>
      <c r="N311" s="27" t="s">
        <v>49</v>
      </c>
      <c r="O311" s="31"/>
      <c r="P311" s="29">
        <f>'Infrastructure Benchmarks-ref'!$O311/'Infrastructure Benchmarks-ref'!$K311</f>
        <v>0</v>
      </c>
      <c r="Q311" s="29">
        <f>'Infrastructure Benchmarks-ref'!$O311/'Infrastructure Benchmarks-ref'!$L311</f>
        <v>0</v>
      </c>
      <c r="R311" s="29">
        <f>'Infrastructure Benchmarks-ref'!$O311/'Infrastructure Benchmarks-ref'!$M311</f>
        <v>0</v>
      </c>
      <c r="S311" s="30">
        <v>2022</v>
      </c>
    </row>
    <row r="312" spans="1:19" x14ac:dyDescent="0.2">
      <c r="A312" s="25" t="s">
        <v>70</v>
      </c>
      <c r="B312" s="26" t="s">
        <v>2</v>
      </c>
      <c r="C312" s="26" t="s">
        <v>39</v>
      </c>
      <c r="D312" s="26" t="s">
        <v>106</v>
      </c>
      <c r="E312" s="26"/>
      <c r="F312" s="26" t="s">
        <v>100</v>
      </c>
      <c r="G312" s="26" t="s">
        <v>107</v>
      </c>
      <c r="H312" s="26" t="s">
        <v>108</v>
      </c>
      <c r="I312" s="27" t="s">
        <v>16</v>
      </c>
      <c r="J312" s="27" t="s">
        <v>18</v>
      </c>
      <c r="K312" s="28">
        <v>76187</v>
      </c>
      <c r="L312" s="28">
        <v>224528</v>
      </c>
      <c r="M312" s="28">
        <v>89355</v>
      </c>
      <c r="N312" s="27" t="s">
        <v>50</v>
      </c>
      <c r="O312" s="31"/>
      <c r="P312" s="29">
        <f>'Infrastructure Benchmarks-ref'!$O312/'Infrastructure Benchmarks-ref'!$K312</f>
        <v>0</v>
      </c>
      <c r="Q312" s="29">
        <f>'Infrastructure Benchmarks-ref'!$O312/'Infrastructure Benchmarks-ref'!$L312</f>
        <v>0</v>
      </c>
      <c r="R312" s="29">
        <f>'Infrastructure Benchmarks-ref'!$O312/'Infrastructure Benchmarks-ref'!$M312</f>
        <v>0</v>
      </c>
      <c r="S312" s="30">
        <v>2022</v>
      </c>
    </row>
    <row r="313" spans="1:19" x14ac:dyDescent="0.2">
      <c r="A313" s="25" t="s">
        <v>70</v>
      </c>
      <c r="B313" s="26" t="s">
        <v>2</v>
      </c>
      <c r="C313" s="26" t="s">
        <v>39</v>
      </c>
      <c r="D313" s="26" t="s">
        <v>106</v>
      </c>
      <c r="E313" s="26"/>
      <c r="F313" s="26" t="s">
        <v>100</v>
      </c>
      <c r="G313" s="26" t="s">
        <v>107</v>
      </c>
      <c r="H313" s="26" t="s">
        <v>108</v>
      </c>
      <c r="I313" s="27" t="s">
        <v>16</v>
      </c>
      <c r="J313" s="27" t="s">
        <v>18</v>
      </c>
      <c r="K313" s="28">
        <v>76187</v>
      </c>
      <c r="L313" s="28">
        <v>224528</v>
      </c>
      <c r="M313" s="28">
        <v>89355</v>
      </c>
      <c r="N313" s="27" t="s">
        <v>51</v>
      </c>
      <c r="O313" s="28"/>
      <c r="P313" s="29">
        <f>'Infrastructure Benchmarks-ref'!$O313/'Infrastructure Benchmarks-ref'!$K313</f>
        <v>0</v>
      </c>
      <c r="Q313" s="29">
        <f>'Infrastructure Benchmarks-ref'!$O313/'Infrastructure Benchmarks-ref'!$L313</f>
        <v>0</v>
      </c>
      <c r="R313" s="29">
        <f>'Infrastructure Benchmarks-ref'!$O313/'Infrastructure Benchmarks-ref'!$M313</f>
        <v>0</v>
      </c>
      <c r="S313" s="30">
        <v>2022</v>
      </c>
    </row>
    <row r="314" spans="1:19" x14ac:dyDescent="0.2">
      <c r="A314" s="25" t="s">
        <v>70</v>
      </c>
      <c r="B314" s="26" t="s">
        <v>2</v>
      </c>
      <c r="C314" s="26" t="s">
        <v>39</v>
      </c>
      <c r="D314" s="26" t="s">
        <v>106</v>
      </c>
      <c r="E314" s="26"/>
      <c r="F314" s="26" t="s">
        <v>100</v>
      </c>
      <c r="G314" s="26" t="s">
        <v>107</v>
      </c>
      <c r="H314" s="26" t="s">
        <v>108</v>
      </c>
      <c r="I314" s="27" t="s">
        <v>16</v>
      </c>
      <c r="J314" s="27" t="s">
        <v>18</v>
      </c>
      <c r="K314" s="28">
        <v>76187</v>
      </c>
      <c r="L314" s="28">
        <v>224528</v>
      </c>
      <c r="M314" s="28">
        <v>89355</v>
      </c>
      <c r="N314" s="27" t="s">
        <v>52</v>
      </c>
      <c r="O314" s="28"/>
      <c r="P314" s="29">
        <f>'Infrastructure Benchmarks-ref'!$O314/'Infrastructure Benchmarks-ref'!$K314</f>
        <v>0</v>
      </c>
      <c r="Q314" s="29">
        <f>'Infrastructure Benchmarks-ref'!$O314/'Infrastructure Benchmarks-ref'!$L314</f>
        <v>0</v>
      </c>
      <c r="R314" s="29">
        <f>'Infrastructure Benchmarks-ref'!$O314/'Infrastructure Benchmarks-ref'!$M314</f>
        <v>0</v>
      </c>
      <c r="S314" s="30">
        <v>2022</v>
      </c>
    </row>
    <row r="315" spans="1:19" x14ac:dyDescent="0.2">
      <c r="A315" s="25" t="s">
        <v>70</v>
      </c>
      <c r="B315" s="26" t="s">
        <v>2</v>
      </c>
      <c r="C315" s="26" t="s">
        <v>39</v>
      </c>
      <c r="D315" s="26" t="s">
        <v>106</v>
      </c>
      <c r="E315" s="26"/>
      <c r="F315" s="26" t="s">
        <v>100</v>
      </c>
      <c r="G315" s="26" t="s">
        <v>107</v>
      </c>
      <c r="H315" s="26" t="s">
        <v>108</v>
      </c>
      <c r="I315" s="27" t="s">
        <v>16</v>
      </c>
      <c r="J315" s="27" t="s">
        <v>18</v>
      </c>
      <c r="K315" s="28">
        <v>76187</v>
      </c>
      <c r="L315" s="28">
        <v>224528</v>
      </c>
      <c r="M315" s="28">
        <v>89355</v>
      </c>
      <c r="N315" s="27" t="s">
        <v>53</v>
      </c>
      <c r="O315" s="28"/>
      <c r="P315" s="29">
        <f>'Infrastructure Benchmarks-ref'!$O315/'Infrastructure Benchmarks-ref'!$K315</f>
        <v>0</v>
      </c>
      <c r="Q315" s="29">
        <f>'Infrastructure Benchmarks-ref'!$O315/'Infrastructure Benchmarks-ref'!$L315</f>
        <v>0</v>
      </c>
      <c r="R315" s="29">
        <f>'Infrastructure Benchmarks-ref'!$O315/'Infrastructure Benchmarks-ref'!$M315</f>
        <v>0</v>
      </c>
      <c r="S315" s="30">
        <v>2022</v>
      </c>
    </row>
    <row r="316" spans="1:19" x14ac:dyDescent="0.2">
      <c r="A316" s="25" t="s">
        <v>70</v>
      </c>
      <c r="B316" s="26" t="s">
        <v>2</v>
      </c>
      <c r="C316" s="26" t="s">
        <v>39</v>
      </c>
      <c r="D316" s="26" t="s">
        <v>106</v>
      </c>
      <c r="E316" s="26"/>
      <c r="F316" s="26" t="s">
        <v>100</v>
      </c>
      <c r="G316" s="26" t="s">
        <v>107</v>
      </c>
      <c r="H316" s="26" t="s">
        <v>108</v>
      </c>
      <c r="I316" s="27" t="s">
        <v>16</v>
      </c>
      <c r="J316" s="27" t="s">
        <v>18</v>
      </c>
      <c r="K316" s="28">
        <v>76187</v>
      </c>
      <c r="L316" s="28">
        <v>224528</v>
      </c>
      <c r="M316" s="28">
        <v>89355</v>
      </c>
      <c r="N316" s="27" t="s">
        <v>55</v>
      </c>
      <c r="O316" s="28"/>
      <c r="P316" s="29">
        <f>'Infrastructure Benchmarks-ref'!$O316/'Infrastructure Benchmarks-ref'!$K316</f>
        <v>0</v>
      </c>
      <c r="Q316" s="29">
        <f>'Infrastructure Benchmarks-ref'!$O316/'Infrastructure Benchmarks-ref'!$L316</f>
        <v>0</v>
      </c>
      <c r="R316" s="29">
        <f>'Infrastructure Benchmarks-ref'!$O316/'Infrastructure Benchmarks-ref'!$M316</f>
        <v>0</v>
      </c>
      <c r="S316" s="30">
        <v>2022</v>
      </c>
    </row>
    <row r="317" spans="1:19" x14ac:dyDescent="0.2">
      <c r="A317" s="25" t="s">
        <v>70</v>
      </c>
      <c r="B317" s="26" t="s">
        <v>2</v>
      </c>
      <c r="C317" s="26" t="s">
        <v>39</v>
      </c>
      <c r="D317" s="26" t="s">
        <v>106</v>
      </c>
      <c r="E317" s="26"/>
      <c r="F317" s="26" t="s">
        <v>100</v>
      </c>
      <c r="G317" s="26" t="s">
        <v>107</v>
      </c>
      <c r="H317" s="26" t="s">
        <v>108</v>
      </c>
      <c r="I317" s="27" t="s">
        <v>16</v>
      </c>
      <c r="J317" s="27" t="s">
        <v>18</v>
      </c>
      <c r="K317" s="28">
        <v>76187</v>
      </c>
      <c r="L317" s="28">
        <v>224528</v>
      </c>
      <c r="M317" s="28">
        <v>89355</v>
      </c>
      <c r="N317" s="27" t="s">
        <v>54</v>
      </c>
      <c r="O317" s="31"/>
      <c r="P317" s="29">
        <f>'Infrastructure Benchmarks-ref'!$O317/'Infrastructure Benchmarks-ref'!$K317</f>
        <v>0</v>
      </c>
      <c r="Q317" s="29">
        <f>'Infrastructure Benchmarks-ref'!$O317/'Infrastructure Benchmarks-ref'!$L317</f>
        <v>0</v>
      </c>
      <c r="R317" s="29">
        <f>'Infrastructure Benchmarks-ref'!$O317/'Infrastructure Benchmarks-ref'!$M317</f>
        <v>0</v>
      </c>
      <c r="S317" s="30">
        <v>2022</v>
      </c>
    </row>
    <row r="318" spans="1:19" x14ac:dyDescent="0.2">
      <c r="A318" s="25" t="s">
        <v>70</v>
      </c>
      <c r="B318" s="26" t="s">
        <v>2</v>
      </c>
      <c r="C318" s="26" t="s">
        <v>39</v>
      </c>
      <c r="D318" s="26" t="s">
        <v>106</v>
      </c>
      <c r="E318" s="26"/>
      <c r="F318" s="26" t="s">
        <v>100</v>
      </c>
      <c r="G318" s="26" t="s">
        <v>107</v>
      </c>
      <c r="H318" s="26" t="s">
        <v>108</v>
      </c>
      <c r="I318" s="27" t="s">
        <v>16</v>
      </c>
      <c r="J318" s="27" t="s">
        <v>18</v>
      </c>
      <c r="K318" s="28">
        <v>76187</v>
      </c>
      <c r="L318" s="28">
        <v>224528</v>
      </c>
      <c r="M318" s="28">
        <v>89355</v>
      </c>
      <c r="N318" s="27" t="s">
        <v>56</v>
      </c>
      <c r="O318" s="28"/>
      <c r="P318" s="29">
        <f>'Infrastructure Benchmarks-ref'!$O318/'Infrastructure Benchmarks-ref'!$K318</f>
        <v>0</v>
      </c>
      <c r="Q318" s="29">
        <f>'Infrastructure Benchmarks-ref'!$O318/'Infrastructure Benchmarks-ref'!$L318</f>
        <v>0</v>
      </c>
      <c r="R318" s="29">
        <f>'Infrastructure Benchmarks-ref'!$O318/'Infrastructure Benchmarks-ref'!$M318</f>
        <v>0</v>
      </c>
      <c r="S318" s="30">
        <v>2022</v>
      </c>
    </row>
    <row r="319" spans="1:19" x14ac:dyDescent="0.2">
      <c r="A319" s="25" t="s">
        <v>70</v>
      </c>
      <c r="B319" s="26" t="s">
        <v>2</v>
      </c>
      <c r="C319" s="26" t="s">
        <v>39</v>
      </c>
      <c r="D319" s="26" t="s">
        <v>106</v>
      </c>
      <c r="E319" s="26"/>
      <c r="F319" s="26" t="s">
        <v>100</v>
      </c>
      <c r="G319" s="26" t="s">
        <v>107</v>
      </c>
      <c r="H319" s="26" t="s">
        <v>108</v>
      </c>
      <c r="I319" s="27" t="s">
        <v>16</v>
      </c>
      <c r="J319" s="27" t="s">
        <v>18</v>
      </c>
      <c r="K319" s="28">
        <v>76187</v>
      </c>
      <c r="L319" s="28">
        <v>224528</v>
      </c>
      <c r="M319" s="28">
        <v>89355</v>
      </c>
      <c r="N319" s="27" t="s">
        <v>73</v>
      </c>
      <c r="O319" s="28">
        <v>9920837.3724285811</v>
      </c>
      <c r="P319" s="29">
        <f>'Infrastructure Benchmarks-ref'!$O319/'Infrastructure Benchmarks-ref'!$K319</f>
        <v>130.21693166063216</v>
      </c>
      <c r="Q319" s="29">
        <f>'Infrastructure Benchmarks-ref'!$O319/'Infrastructure Benchmarks-ref'!$L319</f>
        <v>44.185301487692321</v>
      </c>
      <c r="R319" s="29">
        <f>'Infrastructure Benchmarks-ref'!$O319/'Infrastructure Benchmarks-ref'!$M319</f>
        <v>111.02722144735696</v>
      </c>
      <c r="S319" s="30">
        <v>2022</v>
      </c>
    </row>
    <row r="320" spans="1:19" x14ac:dyDescent="0.2">
      <c r="A320" s="25" t="s">
        <v>70</v>
      </c>
      <c r="B320" s="26" t="s">
        <v>2</v>
      </c>
      <c r="C320" s="26" t="s">
        <v>39</v>
      </c>
      <c r="D320" s="26" t="s">
        <v>106</v>
      </c>
      <c r="E320" s="26"/>
      <c r="F320" s="26" t="s">
        <v>100</v>
      </c>
      <c r="G320" s="26" t="s">
        <v>107</v>
      </c>
      <c r="H320" s="26" t="s">
        <v>108</v>
      </c>
      <c r="I320" s="27" t="s">
        <v>16</v>
      </c>
      <c r="J320" s="27" t="s">
        <v>18</v>
      </c>
      <c r="K320" s="28">
        <v>76187</v>
      </c>
      <c r="L320" s="28">
        <v>224528</v>
      </c>
      <c r="M320" s="28">
        <v>89355</v>
      </c>
      <c r="N320" s="27" t="s">
        <v>57</v>
      </c>
      <c r="O320" s="63"/>
      <c r="P320" s="29">
        <f>'Infrastructure Benchmarks-ref'!$O320/'Infrastructure Benchmarks-ref'!$K320</f>
        <v>0</v>
      </c>
      <c r="Q320" s="29">
        <f>'Infrastructure Benchmarks-ref'!$O320/'Infrastructure Benchmarks-ref'!$L320</f>
        <v>0</v>
      </c>
      <c r="R320" s="29">
        <f>'Infrastructure Benchmarks-ref'!$O320/'Infrastructure Benchmarks-ref'!$M320</f>
        <v>0</v>
      </c>
      <c r="S320" s="30">
        <v>2022</v>
      </c>
    </row>
    <row r="321" spans="1:19" x14ac:dyDescent="0.2">
      <c r="A321" s="25" t="s">
        <v>70</v>
      </c>
      <c r="B321" s="26" t="s">
        <v>2</v>
      </c>
      <c r="C321" s="26" t="s">
        <v>39</v>
      </c>
      <c r="D321" s="26" t="s">
        <v>106</v>
      </c>
      <c r="E321" s="26"/>
      <c r="F321" s="26" t="s">
        <v>100</v>
      </c>
      <c r="G321" s="26" t="s">
        <v>107</v>
      </c>
      <c r="H321" s="26" t="s">
        <v>108</v>
      </c>
      <c r="I321" s="27" t="s">
        <v>16</v>
      </c>
      <c r="J321" s="27" t="s">
        <v>18</v>
      </c>
      <c r="K321" s="28">
        <v>76187</v>
      </c>
      <c r="L321" s="28">
        <v>224528</v>
      </c>
      <c r="M321" s="28">
        <v>89355</v>
      </c>
      <c r="N321" s="27" t="s">
        <v>58</v>
      </c>
      <c r="O321" s="31"/>
      <c r="P321" s="29">
        <f>'Infrastructure Benchmarks-ref'!$O321/'Infrastructure Benchmarks-ref'!$K321</f>
        <v>0</v>
      </c>
      <c r="Q321" s="29">
        <f>'Infrastructure Benchmarks-ref'!$O321/'Infrastructure Benchmarks-ref'!$L321</f>
        <v>0</v>
      </c>
      <c r="R321" s="29">
        <f>'Infrastructure Benchmarks-ref'!$O321/'Infrastructure Benchmarks-ref'!$M321</f>
        <v>0</v>
      </c>
      <c r="S321" s="30">
        <v>2022</v>
      </c>
    </row>
    <row r="322" spans="1:19" x14ac:dyDescent="0.2">
      <c r="A322" s="25" t="s">
        <v>70</v>
      </c>
      <c r="B322" s="26" t="s">
        <v>2</v>
      </c>
      <c r="C322" s="26" t="s">
        <v>39</v>
      </c>
      <c r="D322" s="26" t="s">
        <v>106</v>
      </c>
      <c r="E322" s="26"/>
      <c r="F322" s="26" t="s">
        <v>100</v>
      </c>
      <c r="G322" s="26" t="s">
        <v>107</v>
      </c>
      <c r="H322" s="26" t="s">
        <v>108</v>
      </c>
      <c r="I322" s="27" t="s">
        <v>16</v>
      </c>
      <c r="J322" s="27" t="s">
        <v>18</v>
      </c>
      <c r="K322" s="28">
        <v>76187</v>
      </c>
      <c r="L322" s="28">
        <v>224528</v>
      </c>
      <c r="M322" s="28">
        <v>89355</v>
      </c>
      <c r="N322" s="27" t="s">
        <v>59</v>
      </c>
      <c r="O322" s="31"/>
      <c r="P322" s="29">
        <f>'Infrastructure Benchmarks-ref'!$O322/'Infrastructure Benchmarks-ref'!$K322</f>
        <v>0</v>
      </c>
      <c r="Q322" s="29">
        <f>'Infrastructure Benchmarks-ref'!$O322/'Infrastructure Benchmarks-ref'!$L322</f>
        <v>0</v>
      </c>
      <c r="R322" s="29">
        <f>'Infrastructure Benchmarks-ref'!$O322/'Infrastructure Benchmarks-ref'!$M322</f>
        <v>0</v>
      </c>
      <c r="S322" s="30">
        <v>2022</v>
      </c>
    </row>
    <row r="323" spans="1:19" x14ac:dyDescent="0.2">
      <c r="A323" s="25" t="s">
        <v>70</v>
      </c>
      <c r="B323" s="26" t="s">
        <v>2</v>
      </c>
      <c r="C323" s="26" t="s">
        <v>39</v>
      </c>
      <c r="D323" s="26" t="s">
        <v>106</v>
      </c>
      <c r="E323" s="26"/>
      <c r="F323" s="26" t="s">
        <v>100</v>
      </c>
      <c r="G323" s="26" t="s">
        <v>107</v>
      </c>
      <c r="H323" s="26" t="s">
        <v>108</v>
      </c>
      <c r="I323" s="27" t="s">
        <v>16</v>
      </c>
      <c r="J323" s="27" t="s">
        <v>18</v>
      </c>
      <c r="K323" s="28">
        <v>76187</v>
      </c>
      <c r="L323" s="28">
        <v>224528</v>
      </c>
      <c r="M323" s="28">
        <v>89355</v>
      </c>
      <c r="N323" s="27" t="s">
        <v>60</v>
      </c>
      <c r="O323" s="28"/>
      <c r="P323" s="29">
        <f>'Infrastructure Benchmarks-ref'!$O323/'Infrastructure Benchmarks-ref'!$K323</f>
        <v>0</v>
      </c>
      <c r="Q323" s="29">
        <f>'Infrastructure Benchmarks-ref'!$O323/'Infrastructure Benchmarks-ref'!$L323</f>
        <v>0</v>
      </c>
      <c r="R323" s="29">
        <f>'Infrastructure Benchmarks-ref'!$O323/'Infrastructure Benchmarks-ref'!$M323</f>
        <v>0</v>
      </c>
      <c r="S323" s="30">
        <v>2022</v>
      </c>
    </row>
    <row r="324" spans="1:19" ht="16" thickBot="1" x14ac:dyDescent="0.25">
      <c r="A324" s="25" t="s">
        <v>70</v>
      </c>
      <c r="B324" s="26" t="s">
        <v>2</v>
      </c>
      <c r="C324" s="26" t="s">
        <v>39</v>
      </c>
      <c r="D324" s="26" t="s">
        <v>106</v>
      </c>
      <c r="E324" s="26"/>
      <c r="F324" s="26" t="s">
        <v>100</v>
      </c>
      <c r="G324" s="26" t="s">
        <v>107</v>
      </c>
      <c r="H324" s="26" t="s">
        <v>108</v>
      </c>
      <c r="I324" s="27" t="s">
        <v>16</v>
      </c>
      <c r="J324" s="27" t="s">
        <v>18</v>
      </c>
      <c r="K324" s="28">
        <v>76187</v>
      </c>
      <c r="L324" s="28">
        <v>224528</v>
      </c>
      <c r="M324" s="28">
        <v>89355</v>
      </c>
      <c r="N324" s="27" t="s">
        <v>61</v>
      </c>
      <c r="O324" s="28"/>
      <c r="P324" s="29">
        <f>'Infrastructure Benchmarks-ref'!$O324/'Infrastructure Benchmarks-ref'!$K324</f>
        <v>0</v>
      </c>
      <c r="Q324" s="29">
        <f>'Infrastructure Benchmarks-ref'!$O324/'Infrastructure Benchmarks-ref'!$L324</f>
        <v>0</v>
      </c>
      <c r="R324" s="29">
        <f>'Infrastructure Benchmarks-ref'!$O324/'Infrastructure Benchmarks-ref'!$M324</f>
        <v>0</v>
      </c>
      <c r="S324" s="30">
        <v>2022</v>
      </c>
    </row>
    <row r="325" spans="1:19" ht="17" thickTop="1" thickBot="1" x14ac:dyDescent="0.25">
      <c r="A325" s="54"/>
      <c r="B325" s="55"/>
      <c r="C325" s="55"/>
      <c r="D325" s="55"/>
      <c r="E325" s="55"/>
      <c r="F325" s="55"/>
      <c r="G325" s="55"/>
      <c r="H325" s="55"/>
      <c r="I325" s="56"/>
      <c r="J325" s="56"/>
      <c r="K325" s="57"/>
      <c r="L325" s="57"/>
      <c r="M325" s="57"/>
      <c r="N325" s="56"/>
      <c r="O325" s="57"/>
      <c r="P325" s="58"/>
      <c r="Q325" s="58"/>
      <c r="R325" s="58"/>
      <c r="S325" s="59"/>
    </row>
    <row r="326" spans="1:19" ht="16" thickTop="1" x14ac:dyDescent="0.2">
      <c r="A326" s="33" t="s">
        <v>70</v>
      </c>
      <c r="B326" s="1" t="s">
        <v>2</v>
      </c>
      <c r="C326" s="1" t="s">
        <v>39</v>
      </c>
      <c r="D326" s="1" t="s">
        <v>106</v>
      </c>
      <c r="E326" s="1"/>
      <c r="F326" s="1" t="s">
        <v>111</v>
      </c>
      <c r="G326" s="1" t="s">
        <v>107</v>
      </c>
      <c r="H326" s="1" t="s">
        <v>108</v>
      </c>
      <c r="I326" s="4" t="s">
        <v>16</v>
      </c>
      <c r="J326" s="4" t="s">
        <v>18</v>
      </c>
      <c r="K326" s="7">
        <v>80570</v>
      </c>
      <c r="L326" s="7">
        <v>233506</v>
      </c>
      <c r="M326" s="7">
        <v>79924</v>
      </c>
      <c r="N326" s="4" t="s">
        <v>24</v>
      </c>
      <c r="O326" s="64"/>
      <c r="P326" s="2">
        <f>'Infrastructure Benchmarks-ref'!$O326/'Infrastructure Benchmarks-ref'!$K326</f>
        <v>0</v>
      </c>
      <c r="Q326" s="2">
        <f>'Infrastructure Benchmarks-ref'!$O326/'Infrastructure Benchmarks-ref'!$L326</f>
        <v>0</v>
      </c>
      <c r="R326" s="2">
        <f>'Infrastructure Benchmarks-ref'!$O326/'Infrastructure Benchmarks-ref'!$M326</f>
        <v>0</v>
      </c>
      <c r="S326" s="34">
        <v>2022</v>
      </c>
    </row>
    <row r="327" spans="1:19" x14ac:dyDescent="0.2">
      <c r="A327" s="25" t="s">
        <v>70</v>
      </c>
      <c r="B327" s="26" t="s">
        <v>2</v>
      </c>
      <c r="C327" s="26" t="s">
        <v>39</v>
      </c>
      <c r="D327" s="26" t="s">
        <v>106</v>
      </c>
      <c r="E327" s="26"/>
      <c r="F327" s="26" t="s">
        <v>111</v>
      </c>
      <c r="G327" s="26" t="s">
        <v>107</v>
      </c>
      <c r="H327" s="26" t="s">
        <v>108</v>
      </c>
      <c r="I327" s="27" t="s">
        <v>16</v>
      </c>
      <c r="J327" s="27" t="s">
        <v>18</v>
      </c>
      <c r="K327" s="28">
        <v>80570</v>
      </c>
      <c r="L327" s="28">
        <v>233506</v>
      </c>
      <c r="M327" s="28">
        <v>79924</v>
      </c>
      <c r="N327" s="27" t="s">
        <v>44</v>
      </c>
      <c r="O327" s="28"/>
      <c r="P327" s="29">
        <f>'Infrastructure Benchmarks-ref'!$O327/'Infrastructure Benchmarks-ref'!$K327</f>
        <v>0</v>
      </c>
      <c r="Q327" s="29">
        <f>'Infrastructure Benchmarks-ref'!$O327/'Infrastructure Benchmarks-ref'!$L327</f>
        <v>0</v>
      </c>
      <c r="R327" s="29">
        <f>'Infrastructure Benchmarks-ref'!$O327/'Infrastructure Benchmarks-ref'!$M327</f>
        <v>0</v>
      </c>
      <c r="S327" s="30">
        <v>2022</v>
      </c>
    </row>
    <row r="328" spans="1:19" x14ac:dyDescent="0.2">
      <c r="A328" s="25" t="s">
        <v>70</v>
      </c>
      <c r="B328" s="26" t="s">
        <v>2</v>
      </c>
      <c r="C328" s="26" t="s">
        <v>39</v>
      </c>
      <c r="D328" s="26" t="s">
        <v>106</v>
      </c>
      <c r="E328" s="26"/>
      <c r="F328" s="26" t="s">
        <v>111</v>
      </c>
      <c r="G328" s="26" t="s">
        <v>107</v>
      </c>
      <c r="H328" s="26" t="s">
        <v>108</v>
      </c>
      <c r="I328" s="27" t="s">
        <v>16</v>
      </c>
      <c r="J328" s="27" t="s">
        <v>18</v>
      </c>
      <c r="K328" s="28">
        <v>80570</v>
      </c>
      <c r="L328" s="28">
        <v>233506</v>
      </c>
      <c r="M328" s="28">
        <v>79924</v>
      </c>
      <c r="N328" s="27" t="s">
        <v>45</v>
      </c>
      <c r="O328" s="31">
        <v>4120409.24</v>
      </c>
      <c r="P328" s="29">
        <f>'Infrastructure Benchmarks-ref'!$O328/'Infrastructure Benchmarks-ref'!$K328</f>
        <v>51.14073774357702</v>
      </c>
      <c r="Q328" s="29">
        <f>'Infrastructure Benchmarks-ref'!$O328/'Infrastructure Benchmarks-ref'!$L328</f>
        <v>17.64583882212877</v>
      </c>
      <c r="R328" s="29">
        <f>'Infrastructure Benchmarks-ref'!$O328/'Infrastructure Benchmarks-ref'!$M328</f>
        <v>51.554091887292934</v>
      </c>
      <c r="S328" s="30">
        <v>2022</v>
      </c>
    </row>
    <row r="329" spans="1:19" x14ac:dyDescent="0.2">
      <c r="A329" s="25" t="s">
        <v>70</v>
      </c>
      <c r="B329" s="26" t="s">
        <v>2</v>
      </c>
      <c r="C329" s="26" t="s">
        <v>39</v>
      </c>
      <c r="D329" s="26" t="s">
        <v>106</v>
      </c>
      <c r="E329" s="26"/>
      <c r="F329" s="26" t="s">
        <v>111</v>
      </c>
      <c r="G329" s="26" t="s">
        <v>107</v>
      </c>
      <c r="H329" s="26" t="s">
        <v>108</v>
      </c>
      <c r="I329" s="27" t="s">
        <v>16</v>
      </c>
      <c r="J329" s="27" t="s">
        <v>18</v>
      </c>
      <c r="K329" s="28">
        <v>80570</v>
      </c>
      <c r="L329" s="28">
        <v>233506</v>
      </c>
      <c r="M329" s="28">
        <v>79924</v>
      </c>
      <c r="N329" s="27" t="s">
        <v>14</v>
      </c>
      <c r="O329" s="28">
        <v>1123818.1599999999</v>
      </c>
      <c r="P329" s="29">
        <f>'Infrastructure Benchmarks-ref'!$O329/'Infrastructure Benchmarks-ref'!$K329</f>
        <v>13.948345041578751</v>
      </c>
      <c r="Q329" s="29">
        <f>'Infrastructure Benchmarks-ref'!$O329/'Infrastructure Benchmarks-ref'!$L329</f>
        <v>4.8128020693258415</v>
      </c>
      <c r="R329" s="29">
        <f>'Infrastructure Benchmarks-ref'!$O329/'Infrastructure Benchmarks-ref'!$M329</f>
        <v>14.061085030779239</v>
      </c>
      <c r="S329" s="30">
        <v>2022</v>
      </c>
    </row>
    <row r="330" spans="1:19" x14ac:dyDescent="0.2">
      <c r="A330" s="25" t="s">
        <v>70</v>
      </c>
      <c r="B330" s="26" t="s">
        <v>2</v>
      </c>
      <c r="C330" s="26" t="s">
        <v>39</v>
      </c>
      <c r="D330" s="26" t="s">
        <v>106</v>
      </c>
      <c r="E330" s="26"/>
      <c r="F330" s="26" t="s">
        <v>111</v>
      </c>
      <c r="G330" s="26" t="s">
        <v>107</v>
      </c>
      <c r="H330" s="26" t="s">
        <v>108</v>
      </c>
      <c r="I330" s="27" t="s">
        <v>16</v>
      </c>
      <c r="J330" s="27" t="s">
        <v>18</v>
      </c>
      <c r="K330" s="28">
        <v>80570</v>
      </c>
      <c r="L330" s="28">
        <v>233506</v>
      </c>
      <c r="M330" s="28">
        <v>79924</v>
      </c>
      <c r="N330" s="27" t="s">
        <v>22</v>
      </c>
      <c r="O330" s="28">
        <v>6682238.8399999999</v>
      </c>
      <c r="P330" s="29">
        <f>'Infrastructure Benchmarks-ref'!$O330/'Infrastructure Benchmarks-ref'!$K330</f>
        <v>82.937058954946011</v>
      </c>
      <c r="Q330" s="29">
        <f>'Infrastructure Benchmarks-ref'!$O330/'Infrastructure Benchmarks-ref'!$L330</f>
        <v>28.616989884628232</v>
      </c>
      <c r="R330" s="29">
        <f>'Infrastructure Benchmarks-ref'!$O330/'Infrastructure Benchmarks-ref'!$M330</f>
        <v>83.607412541914812</v>
      </c>
      <c r="S330" s="30">
        <v>2022</v>
      </c>
    </row>
    <row r="331" spans="1:19" x14ac:dyDescent="0.2">
      <c r="A331" s="25" t="s">
        <v>70</v>
      </c>
      <c r="B331" s="26" t="s">
        <v>2</v>
      </c>
      <c r="C331" s="26" t="s">
        <v>39</v>
      </c>
      <c r="D331" s="26" t="s">
        <v>106</v>
      </c>
      <c r="E331" s="26"/>
      <c r="F331" s="26" t="s">
        <v>111</v>
      </c>
      <c r="G331" s="26" t="s">
        <v>107</v>
      </c>
      <c r="H331" s="26" t="s">
        <v>108</v>
      </c>
      <c r="I331" s="27" t="s">
        <v>16</v>
      </c>
      <c r="J331" s="27" t="s">
        <v>18</v>
      </c>
      <c r="K331" s="28">
        <v>80570</v>
      </c>
      <c r="L331" s="28">
        <v>233506</v>
      </c>
      <c r="M331" s="28">
        <v>79924</v>
      </c>
      <c r="N331" s="27" t="s">
        <v>20</v>
      </c>
      <c r="O331" s="28">
        <v>8685485.9800000004</v>
      </c>
      <c r="P331" s="29">
        <f>'Infrastructure Benchmarks-ref'!$O331/'Infrastructure Benchmarks-ref'!$K331</f>
        <v>107.80049621447189</v>
      </c>
      <c r="Q331" s="29">
        <f>'Infrastructure Benchmarks-ref'!$O331/'Infrastructure Benchmarks-ref'!$L331</f>
        <v>37.195986312985532</v>
      </c>
      <c r="R331" s="29">
        <f>'Infrastructure Benchmarks-ref'!$O331/'Infrastructure Benchmarks-ref'!$M331</f>
        <v>108.67181297232371</v>
      </c>
      <c r="S331" s="30">
        <v>2022</v>
      </c>
    </row>
    <row r="332" spans="1:19" x14ac:dyDescent="0.2">
      <c r="A332" s="25" t="s">
        <v>70</v>
      </c>
      <c r="B332" s="26" t="s">
        <v>2</v>
      </c>
      <c r="C332" s="26" t="s">
        <v>39</v>
      </c>
      <c r="D332" s="26" t="s">
        <v>106</v>
      </c>
      <c r="E332" s="26"/>
      <c r="F332" s="26" t="s">
        <v>111</v>
      </c>
      <c r="G332" s="26" t="s">
        <v>107</v>
      </c>
      <c r="H332" s="26" t="s">
        <v>108</v>
      </c>
      <c r="I332" s="27" t="s">
        <v>16</v>
      </c>
      <c r="J332" s="27" t="s">
        <v>18</v>
      </c>
      <c r="K332" s="28">
        <v>80570</v>
      </c>
      <c r="L332" s="28">
        <v>233506</v>
      </c>
      <c r="M332" s="28">
        <v>79924</v>
      </c>
      <c r="N332" s="27" t="s">
        <v>23</v>
      </c>
      <c r="O332" s="28">
        <v>11274837.02</v>
      </c>
      <c r="P332" s="29">
        <f>'Infrastructure Benchmarks-ref'!$O332/'Infrastructure Benchmarks-ref'!$K332</f>
        <v>139.93840163832692</v>
      </c>
      <c r="Q332" s="29">
        <f>'Infrastructure Benchmarks-ref'!$O332/'Infrastructure Benchmarks-ref'!$L332</f>
        <v>48.284999186316412</v>
      </c>
      <c r="R332" s="29">
        <f>'Infrastructure Benchmarks-ref'!$O332/'Infrastructure Benchmarks-ref'!$M332</f>
        <v>141.06947875481708</v>
      </c>
      <c r="S332" s="30">
        <v>2022</v>
      </c>
    </row>
    <row r="333" spans="1:19" x14ac:dyDescent="0.2">
      <c r="A333" s="25" t="s">
        <v>70</v>
      </c>
      <c r="B333" s="26" t="s">
        <v>2</v>
      </c>
      <c r="C333" s="26" t="s">
        <v>39</v>
      </c>
      <c r="D333" s="26" t="s">
        <v>106</v>
      </c>
      <c r="E333" s="26"/>
      <c r="F333" s="26" t="s">
        <v>111</v>
      </c>
      <c r="G333" s="26" t="s">
        <v>107</v>
      </c>
      <c r="H333" s="26" t="s">
        <v>108</v>
      </c>
      <c r="I333" s="27" t="s">
        <v>16</v>
      </c>
      <c r="J333" s="27" t="s">
        <v>18</v>
      </c>
      <c r="K333" s="28">
        <v>80570</v>
      </c>
      <c r="L333" s="28">
        <v>233506</v>
      </c>
      <c r="M333" s="28">
        <v>79924</v>
      </c>
      <c r="N333" s="27" t="s">
        <v>25</v>
      </c>
      <c r="O333" s="28">
        <v>8636185.0600000005</v>
      </c>
      <c r="P333" s="29">
        <f>'Infrastructure Benchmarks-ref'!$O333/'Infrastructure Benchmarks-ref'!$K333</f>
        <v>107.18859451408713</v>
      </c>
      <c r="Q333" s="29">
        <f>'Infrastructure Benchmarks-ref'!$O333/'Infrastructure Benchmarks-ref'!$L333</f>
        <v>36.984852894572306</v>
      </c>
      <c r="R333" s="29">
        <f>'Infrastructure Benchmarks-ref'!$O333/'Infrastructure Benchmarks-ref'!$M333</f>
        <v>108.05496546719384</v>
      </c>
      <c r="S333" s="30">
        <v>2022</v>
      </c>
    </row>
    <row r="334" spans="1:19" x14ac:dyDescent="0.2">
      <c r="A334" s="25" t="s">
        <v>70</v>
      </c>
      <c r="B334" s="26" t="s">
        <v>2</v>
      </c>
      <c r="C334" s="26" t="s">
        <v>39</v>
      </c>
      <c r="D334" s="26" t="s">
        <v>106</v>
      </c>
      <c r="E334" s="26"/>
      <c r="F334" s="26" t="s">
        <v>111</v>
      </c>
      <c r="G334" s="26" t="s">
        <v>107</v>
      </c>
      <c r="H334" s="26" t="s">
        <v>108</v>
      </c>
      <c r="I334" s="27" t="s">
        <v>16</v>
      </c>
      <c r="J334" s="27" t="s">
        <v>18</v>
      </c>
      <c r="K334" s="28">
        <v>80570</v>
      </c>
      <c r="L334" s="28">
        <v>233506</v>
      </c>
      <c r="M334" s="28">
        <v>79924</v>
      </c>
      <c r="N334" s="27" t="s">
        <v>46</v>
      </c>
      <c r="O334" s="28"/>
      <c r="P334" s="29">
        <f>'Infrastructure Benchmarks-ref'!$O334/'Infrastructure Benchmarks-ref'!$K334</f>
        <v>0</v>
      </c>
      <c r="Q334" s="29">
        <f>'Infrastructure Benchmarks-ref'!$O334/'Infrastructure Benchmarks-ref'!$L334</f>
        <v>0</v>
      </c>
      <c r="R334" s="29">
        <f>'Infrastructure Benchmarks-ref'!$O334/'Infrastructure Benchmarks-ref'!$M334</f>
        <v>0</v>
      </c>
      <c r="S334" s="30">
        <v>2022</v>
      </c>
    </row>
    <row r="335" spans="1:19" x14ac:dyDescent="0.2">
      <c r="A335" s="25" t="s">
        <v>70</v>
      </c>
      <c r="B335" s="26" t="s">
        <v>2</v>
      </c>
      <c r="C335" s="26" t="s">
        <v>39</v>
      </c>
      <c r="D335" s="26" t="s">
        <v>106</v>
      </c>
      <c r="E335" s="26"/>
      <c r="F335" s="26" t="s">
        <v>111</v>
      </c>
      <c r="G335" s="26" t="s">
        <v>107</v>
      </c>
      <c r="H335" s="26" t="s">
        <v>108</v>
      </c>
      <c r="I335" s="27" t="s">
        <v>16</v>
      </c>
      <c r="J335" s="27" t="s">
        <v>18</v>
      </c>
      <c r="K335" s="28">
        <v>80570</v>
      </c>
      <c r="L335" s="28">
        <v>233506</v>
      </c>
      <c r="M335" s="28">
        <v>79924</v>
      </c>
      <c r="N335" s="27" t="s">
        <v>34</v>
      </c>
      <c r="O335" s="28">
        <v>1381206.42</v>
      </c>
      <c r="P335" s="29">
        <f>'Infrastructure Benchmarks-ref'!$O335/'Infrastructure Benchmarks-ref'!$K335</f>
        <v>17.142936825121012</v>
      </c>
      <c r="Q335" s="29">
        <f>'Infrastructure Benchmarks-ref'!$O335/'Infrastructure Benchmarks-ref'!$L335</f>
        <v>5.9150789273080777</v>
      </c>
      <c r="R335" s="29">
        <f>'Infrastructure Benchmarks-ref'!$O335/'Infrastructure Benchmarks-ref'!$M335</f>
        <v>17.28149767278915</v>
      </c>
      <c r="S335" s="30">
        <v>2022</v>
      </c>
    </row>
    <row r="336" spans="1:19" x14ac:dyDescent="0.2">
      <c r="A336" s="25" t="s">
        <v>70</v>
      </c>
      <c r="B336" s="26" t="s">
        <v>2</v>
      </c>
      <c r="C336" s="26" t="s">
        <v>39</v>
      </c>
      <c r="D336" s="26" t="s">
        <v>106</v>
      </c>
      <c r="E336" s="26"/>
      <c r="F336" s="26" t="s">
        <v>111</v>
      </c>
      <c r="G336" s="26" t="s">
        <v>107</v>
      </c>
      <c r="H336" s="26" t="s">
        <v>108</v>
      </c>
      <c r="I336" s="27" t="s">
        <v>16</v>
      </c>
      <c r="J336" s="27" t="s">
        <v>18</v>
      </c>
      <c r="K336" s="28">
        <v>80570</v>
      </c>
      <c r="L336" s="28">
        <v>233506</v>
      </c>
      <c r="M336" s="28">
        <v>79924</v>
      </c>
      <c r="N336" s="27" t="s">
        <v>26</v>
      </c>
      <c r="O336" s="28">
        <v>1553389.29</v>
      </c>
      <c r="P336" s="29">
        <f>'Infrastructure Benchmarks-ref'!$O336/'Infrastructure Benchmarks-ref'!$K336</f>
        <v>19.27999615241405</v>
      </c>
      <c r="Q336" s="29">
        <f>'Infrastructure Benchmarks-ref'!$O336/'Infrastructure Benchmarks-ref'!$L336</f>
        <v>6.6524598511387287</v>
      </c>
      <c r="R336" s="29">
        <f>'Infrastructure Benchmarks-ref'!$O336/'Infrastructure Benchmarks-ref'!$M336</f>
        <v>19.435830163655474</v>
      </c>
      <c r="S336" s="30">
        <v>2022</v>
      </c>
    </row>
    <row r="337" spans="1:19" x14ac:dyDescent="0.2">
      <c r="A337" s="25" t="s">
        <v>70</v>
      </c>
      <c r="B337" s="26" t="s">
        <v>2</v>
      </c>
      <c r="C337" s="26" t="s">
        <v>39</v>
      </c>
      <c r="D337" s="26" t="s">
        <v>106</v>
      </c>
      <c r="E337" s="26"/>
      <c r="F337" s="26" t="s">
        <v>111</v>
      </c>
      <c r="G337" s="26" t="s">
        <v>107</v>
      </c>
      <c r="H337" s="26" t="s">
        <v>108</v>
      </c>
      <c r="I337" s="27" t="s">
        <v>16</v>
      </c>
      <c r="J337" s="27" t="s">
        <v>18</v>
      </c>
      <c r="K337" s="28">
        <v>80570</v>
      </c>
      <c r="L337" s="28">
        <v>233506</v>
      </c>
      <c r="M337" s="28">
        <v>79924</v>
      </c>
      <c r="N337" s="27" t="s">
        <v>28</v>
      </c>
      <c r="O337" s="28">
        <v>2935477.84</v>
      </c>
      <c r="P337" s="29">
        <f>'Infrastructure Benchmarks-ref'!$O337/'Infrastructure Benchmarks-ref'!$K337</f>
        <v>36.433881593645275</v>
      </c>
      <c r="Q337" s="29">
        <f>'Infrastructure Benchmarks-ref'!$O337/'Infrastructure Benchmarks-ref'!$L337</f>
        <v>12.57131654004608</v>
      </c>
      <c r="R337" s="29">
        <f>'Infrastructure Benchmarks-ref'!$O337/'Infrastructure Benchmarks-ref'!$M337</f>
        <v>36.728364946699365</v>
      </c>
      <c r="S337" s="30">
        <v>2022</v>
      </c>
    </row>
    <row r="338" spans="1:19" x14ac:dyDescent="0.2">
      <c r="A338" s="25" t="s">
        <v>70</v>
      </c>
      <c r="B338" s="26" t="s">
        <v>2</v>
      </c>
      <c r="C338" s="26" t="s">
        <v>39</v>
      </c>
      <c r="D338" s="26" t="s">
        <v>106</v>
      </c>
      <c r="E338" s="26"/>
      <c r="F338" s="26" t="s">
        <v>111</v>
      </c>
      <c r="G338" s="26" t="s">
        <v>107</v>
      </c>
      <c r="H338" s="26" t="s">
        <v>108</v>
      </c>
      <c r="I338" s="27" t="s">
        <v>16</v>
      </c>
      <c r="J338" s="27" t="s">
        <v>18</v>
      </c>
      <c r="K338" s="28">
        <v>80570</v>
      </c>
      <c r="L338" s="28">
        <v>233506</v>
      </c>
      <c r="M338" s="28">
        <v>79924</v>
      </c>
      <c r="N338" s="27" t="s">
        <v>47</v>
      </c>
      <c r="O338" s="28"/>
      <c r="P338" s="29">
        <f>'Infrastructure Benchmarks-ref'!$O338/'Infrastructure Benchmarks-ref'!$K338</f>
        <v>0</v>
      </c>
      <c r="Q338" s="29">
        <f>'Infrastructure Benchmarks-ref'!$O338/'Infrastructure Benchmarks-ref'!$L338</f>
        <v>0</v>
      </c>
      <c r="R338" s="29">
        <f>'Infrastructure Benchmarks-ref'!$O338/'Infrastructure Benchmarks-ref'!$M338</f>
        <v>0</v>
      </c>
      <c r="S338" s="30">
        <v>2022</v>
      </c>
    </row>
    <row r="339" spans="1:19" x14ac:dyDescent="0.2">
      <c r="A339" s="25" t="s">
        <v>70</v>
      </c>
      <c r="B339" s="26" t="s">
        <v>2</v>
      </c>
      <c r="C339" s="26" t="s">
        <v>39</v>
      </c>
      <c r="D339" s="26" t="s">
        <v>106</v>
      </c>
      <c r="E339" s="26"/>
      <c r="F339" s="26" t="s">
        <v>111</v>
      </c>
      <c r="G339" s="26" t="s">
        <v>107</v>
      </c>
      <c r="H339" s="26" t="s">
        <v>108</v>
      </c>
      <c r="I339" s="27" t="s">
        <v>16</v>
      </c>
      <c r="J339" s="27" t="s">
        <v>18</v>
      </c>
      <c r="K339" s="28">
        <v>80570</v>
      </c>
      <c r="L339" s="28">
        <v>233506</v>
      </c>
      <c r="M339" s="28">
        <v>79924</v>
      </c>
      <c r="N339" s="27" t="s">
        <v>27</v>
      </c>
      <c r="O339" s="28">
        <v>4774284.05</v>
      </c>
      <c r="P339" s="29">
        <f>'Infrastructure Benchmarks-ref'!$O339/'Infrastructure Benchmarks-ref'!$K339</f>
        <v>59.25634913739605</v>
      </c>
      <c r="Q339" s="29">
        <f>'Infrastructure Benchmarks-ref'!$O339/'Infrastructure Benchmarks-ref'!$L339</f>
        <v>20.44608725257595</v>
      </c>
      <c r="R339" s="29">
        <f>'Infrastructure Benchmarks-ref'!$O339/'Infrastructure Benchmarks-ref'!$M339</f>
        <v>59.73529915920124</v>
      </c>
      <c r="S339" s="30">
        <v>2022</v>
      </c>
    </row>
    <row r="340" spans="1:19" x14ac:dyDescent="0.2">
      <c r="A340" s="25" t="s">
        <v>70</v>
      </c>
      <c r="B340" s="26" t="s">
        <v>2</v>
      </c>
      <c r="C340" s="26" t="s">
        <v>39</v>
      </c>
      <c r="D340" s="26" t="s">
        <v>106</v>
      </c>
      <c r="E340" s="26"/>
      <c r="F340" s="26" t="s">
        <v>111</v>
      </c>
      <c r="G340" s="26" t="s">
        <v>107</v>
      </c>
      <c r="H340" s="26" t="s">
        <v>108</v>
      </c>
      <c r="I340" s="27" t="s">
        <v>16</v>
      </c>
      <c r="J340" s="27" t="s">
        <v>18</v>
      </c>
      <c r="K340" s="28">
        <v>80570</v>
      </c>
      <c r="L340" s="28">
        <v>233506</v>
      </c>
      <c r="M340" s="28">
        <v>79924</v>
      </c>
      <c r="N340" s="27" t="s">
        <v>48</v>
      </c>
      <c r="O340" s="28"/>
      <c r="P340" s="29">
        <f>'Infrastructure Benchmarks-ref'!$O340/'Infrastructure Benchmarks-ref'!$K340</f>
        <v>0</v>
      </c>
      <c r="Q340" s="29">
        <f>'Infrastructure Benchmarks-ref'!$O340/'Infrastructure Benchmarks-ref'!$L340</f>
        <v>0</v>
      </c>
      <c r="R340" s="29">
        <f>'Infrastructure Benchmarks-ref'!$O340/'Infrastructure Benchmarks-ref'!$M340</f>
        <v>0</v>
      </c>
      <c r="S340" s="30">
        <v>2022</v>
      </c>
    </row>
    <row r="341" spans="1:19" x14ac:dyDescent="0.2">
      <c r="A341" s="25" t="s">
        <v>70</v>
      </c>
      <c r="B341" s="26" t="s">
        <v>2</v>
      </c>
      <c r="C341" s="26" t="s">
        <v>39</v>
      </c>
      <c r="D341" s="26" t="s">
        <v>106</v>
      </c>
      <c r="E341" s="26"/>
      <c r="F341" s="26" t="s">
        <v>111</v>
      </c>
      <c r="G341" s="26" t="s">
        <v>107</v>
      </c>
      <c r="H341" s="26" t="s">
        <v>108</v>
      </c>
      <c r="I341" s="27" t="s">
        <v>16</v>
      </c>
      <c r="J341" s="27" t="s">
        <v>18</v>
      </c>
      <c r="K341" s="28">
        <v>80570</v>
      </c>
      <c r="L341" s="28">
        <v>233506</v>
      </c>
      <c r="M341" s="28">
        <v>79924</v>
      </c>
      <c r="N341" s="27" t="s">
        <v>49</v>
      </c>
      <c r="O341" s="31"/>
      <c r="P341" s="29">
        <f>'Infrastructure Benchmarks-ref'!$O341/'Infrastructure Benchmarks-ref'!$K341</f>
        <v>0</v>
      </c>
      <c r="Q341" s="29">
        <f>'Infrastructure Benchmarks-ref'!$O341/'Infrastructure Benchmarks-ref'!$L341</f>
        <v>0</v>
      </c>
      <c r="R341" s="29">
        <f>'Infrastructure Benchmarks-ref'!$O341/'Infrastructure Benchmarks-ref'!$M341</f>
        <v>0</v>
      </c>
      <c r="S341" s="30">
        <v>2022</v>
      </c>
    </row>
    <row r="342" spans="1:19" x14ac:dyDescent="0.2">
      <c r="A342" s="25" t="s">
        <v>70</v>
      </c>
      <c r="B342" s="26" t="s">
        <v>2</v>
      </c>
      <c r="C342" s="26" t="s">
        <v>39</v>
      </c>
      <c r="D342" s="26" t="s">
        <v>106</v>
      </c>
      <c r="E342" s="26"/>
      <c r="F342" s="26" t="s">
        <v>111</v>
      </c>
      <c r="G342" s="26" t="s">
        <v>107</v>
      </c>
      <c r="H342" s="26" t="s">
        <v>108</v>
      </c>
      <c r="I342" s="27" t="s">
        <v>16</v>
      </c>
      <c r="J342" s="27" t="s">
        <v>18</v>
      </c>
      <c r="K342" s="28">
        <v>80570</v>
      </c>
      <c r="L342" s="28">
        <v>233506</v>
      </c>
      <c r="M342" s="28">
        <v>79924</v>
      </c>
      <c r="N342" s="27" t="s">
        <v>50</v>
      </c>
      <c r="O342" s="31"/>
      <c r="P342" s="29">
        <f>'Infrastructure Benchmarks-ref'!$O342/'Infrastructure Benchmarks-ref'!$K342</f>
        <v>0</v>
      </c>
      <c r="Q342" s="29">
        <f>'Infrastructure Benchmarks-ref'!$O342/'Infrastructure Benchmarks-ref'!$L342</f>
        <v>0</v>
      </c>
      <c r="R342" s="29">
        <f>'Infrastructure Benchmarks-ref'!$O342/'Infrastructure Benchmarks-ref'!$M342</f>
        <v>0</v>
      </c>
      <c r="S342" s="30">
        <v>2022</v>
      </c>
    </row>
    <row r="343" spans="1:19" x14ac:dyDescent="0.2">
      <c r="A343" s="25" t="s">
        <v>70</v>
      </c>
      <c r="B343" s="26" t="s">
        <v>2</v>
      </c>
      <c r="C343" s="26" t="s">
        <v>39</v>
      </c>
      <c r="D343" s="26" t="s">
        <v>106</v>
      </c>
      <c r="E343" s="26"/>
      <c r="F343" s="26" t="s">
        <v>111</v>
      </c>
      <c r="G343" s="26" t="s">
        <v>107</v>
      </c>
      <c r="H343" s="26" t="s">
        <v>108</v>
      </c>
      <c r="I343" s="27" t="s">
        <v>16</v>
      </c>
      <c r="J343" s="27" t="s">
        <v>18</v>
      </c>
      <c r="K343" s="28">
        <v>80570</v>
      </c>
      <c r="L343" s="28">
        <v>233506</v>
      </c>
      <c r="M343" s="28">
        <v>79924</v>
      </c>
      <c r="N343" s="27" t="s">
        <v>51</v>
      </c>
      <c r="O343" s="28"/>
      <c r="P343" s="29">
        <f>'Infrastructure Benchmarks-ref'!$O343/'Infrastructure Benchmarks-ref'!$K343</f>
        <v>0</v>
      </c>
      <c r="Q343" s="29">
        <f>'Infrastructure Benchmarks-ref'!$O343/'Infrastructure Benchmarks-ref'!$L343</f>
        <v>0</v>
      </c>
      <c r="R343" s="29">
        <f>'Infrastructure Benchmarks-ref'!$O343/'Infrastructure Benchmarks-ref'!$M343</f>
        <v>0</v>
      </c>
      <c r="S343" s="30">
        <v>2022</v>
      </c>
    </row>
    <row r="344" spans="1:19" x14ac:dyDescent="0.2">
      <c r="A344" s="25" t="s">
        <v>70</v>
      </c>
      <c r="B344" s="26" t="s">
        <v>2</v>
      </c>
      <c r="C344" s="26" t="s">
        <v>39</v>
      </c>
      <c r="D344" s="26" t="s">
        <v>106</v>
      </c>
      <c r="E344" s="26"/>
      <c r="F344" s="26" t="s">
        <v>111</v>
      </c>
      <c r="G344" s="26" t="s">
        <v>107</v>
      </c>
      <c r="H344" s="26" t="s">
        <v>108</v>
      </c>
      <c r="I344" s="27" t="s">
        <v>16</v>
      </c>
      <c r="J344" s="27" t="s">
        <v>18</v>
      </c>
      <c r="K344" s="28">
        <v>80570</v>
      </c>
      <c r="L344" s="28">
        <v>233506</v>
      </c>
      <c r="M344" s="28">
        <v>79924</v>
      </c>
      <c r="N344" s="27" t="s">
        <v>52</v>
      </c>
      <c r="O344" s="28"/>
      <c r="P344" s="29">
        <f>'Infrastructure Benchmarks-ref'!$O344/'Infrastructure Benchmarks-ref'!$K344</f>
        <v>0</v>
      </c>
      <c r="Q344" s="29">
        <f>'Infrastructure Benchmarks-ref'!$O344/'Infrastructure Benchmarks-ref'!$L344</f>
        <v>0</v>
      </c>
      <c r="R344" s="29">
        <f>'Infrastructure Benchmarks-ref'!$O344/'Infrastructure Benchmarks-ref'!$M344</f>
        <v>0</v>
      </c>
      <c r="S344" s="30">
        <v>2022</v>
      </c>
    </row>
    <row r="345" spans="1:19" x14ac:dyDescent="0.2">
      <c r="A345" s="25" t="s">
        <v>70</v>
      </c>
      <c r="B345" s="26" t="s">
        <v>2</v>
      </c>
      <c r="C345" s="26" t="s">
        <v>39</v>
      </c>
      <c r="D345" s="26" t="s">
        <v>106</v>
      </c>
      <c r="E345" s="26"/>
      <c r="F345" s="26" t="s">
        <v>111</v>
      </c>
      <c r="G345" s="26" t="s">
        <v>107</v>
      </c>
      <c r="H345" s="26" t="s">
        <v>108</v>
      </c>
      <c r="I345" s="27" t="s">
        <v>16</v>
      </c>
      <c r="J345" s="27" t="s">
        <v>18</v>
      </c>
      <c r="K345" s="28">
        <v>80570</v>
      </c>
      <c r="L345" s="28">
        <v>233506</v>
      </c>
      <c r="M345" s="28">
        <v>79924</v>
      </c>
      <c r="N345" s="27" t="s">
        <v>53</v>
      </c>
      <c r="O345" s="28"/>
      <c r="P345" s="29">
        <f>'Infrastructure Benchmarks-ref'!$O345/'Infrastructure Benchmarks-ref'!$K345</f>
        <v>0</v>
      </c>
      <c r="Q345" s="29">
        <f>'Infrastructure Benchmarks-ref'!$O345/'Infrastructure Benchmarks-ref'!$L345</f>
        <v>0</v>
      </c>
      <c r="R345" s="29">
        <f>'Infrastructure Benchmarks-ref'!$O345/'Infrastructure Benchmarks-ref'!$M345</f>
        <v>0</v>
      </c>
      <c r="S345" s="30">
        <v>2022</v>
      </c>
    </row>
    <row r="346" spans="1:19" x14ac:dyDescent="0.2">
      <c r="A346" s="25" t="s">
        <v>70</v>
      </c>
      <c r="B346" s="26" t="s">
        <v>2</v>
      </c>
      <c r="C346" s="26" t="s">
        <v>39</v>
      </c>
      <c r="D346" s="26" t="s">
        <v>106</v>
      </c>
      <c r="E346" s="26"/>
      <c r="F346" s="26" t="s">
        <v>111</v>
      </c>
      <c r="G346" s="26" t="s">
        <v>107</v>
      </c>
      <c r="H346" s="26" t="s">
        <v>108</v>
      </c>
      <c r="I346" s="27" t="s">
        <v>16</v>
      </c>
      <c r="J346" s="27" t="s">
        <v>18</v>
      </c>
      <c r="K346" s="28">
        <v>80570</v>
      </c>
      <c r="L346" s="28">
        <v>233506</v>
      </c>
      <c r="M346" s="28">
        <v>79924</v>
      </c>
      <c r="N346" s="27" t="s">
        <v>55</v>
      </c>
      <c r="O346" s="28"/>
      <c r="P346" s="29">
        <f>'Infrastructure Benchmarks-ref'!$O346/'Infrastructure Benchmarks-ref'!$K346</f>
        <v>0</v>
      </c>
      <c r="Q346" s="29">
        <f>'Infrastructure Benchmarks-ref'!$O346/'Infrastructure Benchmarks-ref'!$L346</f>
        <v>0</v>
      </c>
      <c r="R346" s="29">
        <f>'Infrastructure Benchmarks-ref'!$O346/'Infrastructure Benchmarks-ref'!$M346</f>
        <v>0</v>
      </c>
      <c r="S346" s="30">
        <v>2022</v>
      </c>
    </row>
    <row r="347" spans="1:19" x14ac:dyDescent="0.2">
      <c r="A347" s="25" t="s">
        <v>70</v>
      </c>
      <c r="B347" s="26" t="s">
        <v>2</v>
      </c>
      <c r="C347" s="26" t="s">
        <v>39</v>
      </c>
      <c r="D347" s="26" t="s">
        <v>106</v>
      </c>
      <c r="E347" s="26"/>
      <c r="F347" s="26" t="s">
        <v>111</v>
      </c>
      <c r="G347" s="26" t="s">
        <v>107</v>
      </c>
      <c r="H347" s="26" t="s">
        <v>108</v>
      </c>
      <c r="I347" s="27" t="s">
        <v>16</v>
      </c>
      <c r="J347" s="27" t="s">
        <v>18</v>
      </c>
      <c r="K347" s="28">
        <v>80570</v>
      </c>
      <c r="L347" s="28">
        <v>233506</v>
      </c>
      <c r="M347" s="28">
        <v>79924</v>
      </c>
      <c r="N347" s="27" t="s">
        <v>54</v>
      </c>
      <c r="O347" s="31"/>
      <c r="P347" s="29">
        <f>'Infrastructure Benchmarks-ref'!$O347/'Infrastructure Benchmarks-ref'!$K347</f>
        <v>0</v>
      </c>
      <c r="Q347" s="29">
        <f>'Infrastructure Benchmarks-ref'!$O347/'Infrastructure Benchmarks-ref'!$L347</f>
        <v>0</v>
      </c>
      <c r="R347" s="29">
        <f>'Infrastructure Benchmarks-ref'!$O347/'Infrastructure Benchmarks-ref'!$M347</f>
        <v>0</v>
      </c>
      <c r="S347" s="30">
        <v>2022</v>
      </c>
    </row>
    <row r="348" spans="1:19" x14ac:dyDescent="0.2">
      <c r="A348" s="25" t="s">
        <v>70</v>
      </c>
      <c r="B348" s="26" t="s">
        <v>2</v>
      </c>
      <c r="C348" s="26" t="s">
        <v>39</v>
      </c>
      <c r="D348" s="26" t="s">
        <v>106</v>
      </c>
      <c r="E348" s="26"/>
      <c r="F348" s="26" t="s">
        <v>111</v>
      </c>
      <c r="G348" s="26" t="s">
        <v>107</v>
      </c>
      <c r="H348" s="26" t="s">
        <v>108</v>
      </c>
      <c r="I348" s="27" t="s">
        <v>16</v>
      </c>
      <c r="J348" s="27" t="s">
        <v>18</v>
      </c>
      <c r="K348" s="28">
        <v>80570</v>
      </c>
      <c r="L348" s="28">
        <v>233506</v>
      </c>
      <c r="M348" s="28">
        <v>79924</v>
      </c>
      <c r="N348" s="27" t="s">
        <v>56</v>
      </c>
      <c r="O348" s="28"/>
      <c r="P348" s="29">
        <f>'Infrastructure Benchmarks-ref'!$O348/'Infrastructure Benchmarks-ref'!$K348</f>
        <v>0</v>
      </c>
      <c r="Q348" s="29">
        <f>'Infrastructure Benchmarks-ref'!$O348/'Infrastructure Benchmarks-ref'!$L348</f>
        <v>0</v>
      </c>
      <c r="R348" s="29">
        <f>'Infrastructure Benchmarks-ref'!$O348/'Infrastructure Benchmarks-ref'!$M348</f>
        <v>0</v>
      </c>
      <c r="S348" s="30">
        <v>2022</v>
      </c>
    </row>
    <row r="349" spans="1:19" x14ac:dyDescent="0.2">
      <c r="A349" s="25" t="s">
        <v>70</v>
      </c>
      <c r="B349" s="26" t="s">
        <v>2</v>
      </c>
      <c r="C349" s="26" t="s">
        <v>39</v>
      </c>
      <c r="D349" s="26" t="s">
        <v>106</v>
      </c>
      <c r="E349" s="26"/>
      <c r="F349" s="26" t="s">
        <v>111</v>
      </c>
      <c r="G349" s="26" t="s">
        <v>107</v>
      </c>
      <c r="H349" s="26" t="s">
        <v>108</v>
      </c>
      <c r="I349" s="27" t="s">
        <v>16</v>
      </c>
      <c r="J349" s="27" t="s">
        <v>18</v>
      </c>
      <c r="K349" s="28">
        <v>80570</v>
      </c>
      <c r="L349" s="28">
        <v>233506</v>
      </c>
      <c r="M349" s="28">
        <v>79924</v>
      </c>
      <c r="N349" s="27" t="s">
        <v>73</v>
      </c>
      <c r="O349" s="28">
        <v>11228730.1</v>
      </c>
      <c r="P349" s="29">
        <f>'Infrastructure Benchmarks-ref'!$O349/'Infrastructure Benchmarks-ref'!$K349</f>
        <v>139.36614248479583</v>
      </c>
      <c r="Q349" s="29">
        <f>'Infrastructure Benchmarks-ref'!$O349/'Infrastructure Benchmarks-ref'!$L349</f>
        <v>48.087544217279209</v>
      </c>
      <c r="R349" s="29">
        <f>'Infrastructure Benchmarks-ref'!$O349/'Infrastructure Benchmarks-ref'!$M349</f>
        <v>140.49259421450378</v>
      </c>
      <c r="S349" s="30">
        <v>2022</v>
      </c>
    </row>
    <row r="350" spans="1:19" x14ac:dyDescent="0.2">
      <c r="A350" s="25" t="s">
        <v>70</v>
      </c>
      <c r="B350" s="26" t="s">
        <v>2</v>
      </c>
      <c r="C350" s="26" t="s">
        <v>39</v>
      </c>
      <c r="D350" s="26" t="s">
        <v>106</v>
      </c>
      <c r="E350" s="26"/>
      <c r="F350" s="26" t="s">
        <v>111</v>
      </c>
      <c r="G350" s="26" t="s">
        <v>107</v>
      </c>
      <c r="H350" s="26" t="s">
        <v>108</v>
      </c>
      <c r="I350" s="27" t="s">
        <v>16</v>
      </c>
      <c r="J350" s="27" t="s">
        <v>18</v>
      </c>
      <c r="K350" s="28">
        <v>80570</v>
      </c>
      <c r="L350" s="28">
        <v>233506</v>
      </c>
      <c r="M350" s="28">
        <v>79924</v>
      </c>
      <c r="N350" s="27" t="s">
        <v>57</v>
      </c>
      <c r="O350" s="63"/>
      <c r="P350" s="29">
        <f>'Infrastructure Benchmarks-ref'!$O350/'Infrastructure Benchmarks-ref'!$K350</f>
        <v>0</v>
      </c>
      <c r="Q350" s="29">
        <f>'Infrastructure Benchmarks-ref'!$O350/'Infrastructure Benchmarks-ref'!$L350</f>
        <v>0</v>
      </c>
      <c r="R350" s="29">
        <f>'Infrastructure Benchmarks-ref'!$O350/'Infrastructure Benchmarks-ref'!$M350</f>
        <v>0</v>
      </c>
      <c r="S350" s="30">
        <v>2022</v>
      </c>
    </row>
    <row r="351" spans="1:19" x14ac:dyDescent="0.2">
      <c r="A351" s="25" t="s">
        <v>70</v>
      </c>
      <c r="B351" s="26" t="s">
        <v>2</v>
      </c>
      <c r="C351" s="26" t="s">
        <v>39</v>
      </c>
      <c r="D351" s="26" t="s">
        <v>106</v>
      </c>
      <c r="E351" s="26"/>
      <c r="F351" s="26" t="s">
        <v>111</v>
      </c>
      <c r="G351" s="26" t="s">
        <v>107</v>
      </c>
      <c r="H351" s="26" t="s">
        <v>108</v>
      </c>
      <c r="I351" s="27" t="s">
        <v>16</v>
      </c>
      <c r="J351" s="27" t="s">
        <v>18</v>
      </c>
      <c r="K351" s="28">
        <v>80570</v>
      </c>
      <c r="L351" s="28">
        <v>233506</v>
      </c>
      <c r="M351" s="28">
        <v>79924</v>
      </c>
      <c r="N351" s="27" t="s">
        <v>58</v>
      </c>
      <c r="O351" s="31"/>
      <c r="P351" s="29">
        <f>'Infrastructure Benchmarks-ref'!$O351/'Infrastructure Benchmarks-ref'!$K351</f>
        <v>0</v>
      </c>
      <c r="Q351" s="29">
        <f>'Infrastructure Benchmarks-ref'!$O351/'Infrastructure Benchmarks-ref'!$L351</f>
        <v>0</v>
      </c>
      <c r="R351" s="29">
        <f>'Infrastructure Benchmarks-ref'!$O351/'Infrastructure Benchmarks-ref'!$M351</f>
        <v>0</v>
      </c>
      <c r="S351" s="30">
        <v>2022</v>
      </c>
    </row>
    <row r="352" spans="1:19" x14ac:dyDescent="0.2">
      <c r="A352" s="25" t="s">
        <v>70</v>
      </c>
      <c r="B352" s="26" t="s">
        <v>2</v>
      </c>
      <c r="C352" s="26" t="s">
        <v>39</v>
      </c>
      <c r="D352" s="26" t="s">
        <v>106</v>
      </c>
      <c r="E352" s="26"/>
      <c r="F352" s="26" t="s">
        <v>111</v>
      </c>
      <c r="G352" s="26" t="s">
        <v>107</v>
      </c>
      <c r="H352" s="26" t="s">
        <v>108</v>
      </c>
      <c r="I352" s="27" t="s">
        <v>16</v>
      </c>
      <c r="J352" s="27" t="s">
        <v>18</v>
      </c>
      <c r="K352" s="28">
        <v>80570</v>
      </c>
      <c r="L352" s="28">
        <v>233506</v>
      </c>
      <c r="M352" s="28">
        <v>79924</v>
      </c>
      <c r="N352" s="27" t="s">
        <v>59</v>
      </c>
      <c r="O352" s="31"/>
      <c r="P352" s="29">
        <f>'Infrastructure Benchmarks-ref'!$O352/'Infrastructure Benchmarks-ref'!$K352</f>
        <v>0</v>
      </c>
      <c r="Q352" s="29">
        <f>'Infrastructure Benchmarks-ref'!$O352/'Infrastructure Benchmarks-ref'!$L352</f>
        <v>0</v>
      </c>
      <c r="R352" s="29">
        <f>'Infrastructure Benchmarks-ref'!$O352/'Infrastructure Benchmarks-ref'!$M352</f>
        <v>0</v>
      </c>
      <c r="S352" s="30">
        <v>2022</v>
      </c>
    </row>
    <row r="353" spans="1:19" x14ac:dyDescent="0.2">
      <c r="A353" s="25" t="s">
        <v>70</v>
      </c>
      <c r="B353" s="26" t="s">
        <v>2</v>
      </c>
      <c r="C353" s="26" t="s">
        <v>39</v>
      </c>
      <c r="D353" s="26" t="s">
        <v>106</v>
      </c>
      <c r="E353" s="26"/>
      <c r="F353" s="26" t="s">
        <v>111</v>
      </c>
      <c r="G353" s="26" t="s">
        <v>107</v>
      </c>
      <c r="H353" s="26" t="s">
        <v>108</v>
      </c>
      <c r="I353" s="27" t="s">
        <v>16</v>
      </c>
      <c r="J353" s="27" t="s">
        <v>18</v>
      </c>
      <c r="K353" s="28">
        <v>80570</v>
      </c>
      <c r="L353" s="28">
        <v>233506</v>
      </c>
      <c r="M353" s="28">
        <v>79924</v>
      </c>
      <c r="N353" s="27" t="s">
        <v>60</v>
      </c>
      <c r="O353" s="28"/>
      <c r="P353" s="29">
        <f>'Infrastructure Benchmarks-ref'!$O353/'Infrastructure Benchmarks-ref'!$K353</f>
        <v>0</v>
      </c>
      <c r="Q353" s="29">
        <f>'Infrastructure Benchmarks-ref'!$O353/'Infrastructure Benchmarks-ref'!$L353</f>
        <v>0</v>
      </c>
      <c r="R353" s="29">
        <f>'Infrastructure Benchmarks-ref'!$O353/'Infrastructure Benchmarks-ref'!$M353</f>
        <v>0</v>
      </c>
      <c r="S353" s="30">
        <v>2022</v>
      </c>
    </row>
    <row r="354" spans="1:19" ht="16" thickBot="1" x14ac:dyDescent="0.25">
      <c r="A354" s="25" t="s">
        <v>70</v>
      </c>
      <c r="B354" s="26" t="s">
        <v>2</v>
      </c>
      <c r="C354" s="26" t="s">
        <v>39</v>
      </c>
      <c r="D354" s="26" t="s">
        <v>106</v>
      </c>
      <c r="E354" s="26"/>
      <c r="F354" s="26" t="s">
        <v>111</v>
      </c>
      <c r="G354" s="26" t="s">
        <v>107</v>
      </c>
      <c r="H354" s="26" t="s">
        <v>108</v>
      </c>
      <c r="I354" s="27" t="s">
        <v>16</v>
      </c>
      <c r="J354" s="27" t="s">
        <v>18</v>
      </c>
      <c r="K354" s="28">
        <v>80570</v>
      </c>
      <c r="L354" s="28">
        <v>233506</v>
      </c>
      <c r="M354" s="28">
        <v>79924</v>
      </c>
      <c r="N354" s="27" t="s">
        <v>61</v>
      </c>
      <c r="O354" s="28"/>
      <c r="P354" s="29">
        <f>'Infrastructure Benchmarks-ref'!$O354/'Infrastructure Benchmarks-ref'!$K354</f>
        <v>0</v>
      </c>
      <c r="Q354" s="29">
        <f>'Infrastructure Benchmarks-ref'!$O354/'Infrastructure Benchmarks-ref'!$L354</f>
        <v>0</v>
      </c>
      <c r="R354" s="29">
        <f>'Infrastructure Benchmarks-ref'!$O354/'Infrastructure Benchmarks-ref'!$M354</f>
        <v>0</v>
      </c>
      <c r="S354" s="30">
        <v>2022</v>
      </c>
    </row>
    <row r="355" spans="1:19" ht="17" thickTop="1" thickBot="1" x14ac:dyDescent="0.25">
      <c r="A355" s="54"/>
      <c r="B355" s="55"/>
      <c r="C355" s="55"/>
      <c r="D355" s="55"/>
      <c r="E355" s="55"/>
      <c r="F355" s="55"/>
      <c r="G355" s="55"/>
      <c r="H355" s="55"/>
      <c r="I355" s="56"/>
      <c r="J355" s="56"/>
      <c r="K355" s="57"/>
      <c r="L355" s="57"/>
      <c r="M355" s="57"/>
      <c r="N355" s="56"/>
      <c r="O355" s="57"/>
      <c r="P355" s="58"/>
      <c r="Q355" s="58"/>
      <c r="R355" s="58"/>
      <c r="S355" s="59"/>
    </row>
    <row r="356" spans="1:19" ht="16" thickTop="1" x14ac:dyDescent="0.2">
      <c r="A356" s="33" t="s">
        <v>70</v>
      </c>
      <c r="B356" s="1" t="s">
        <v>2</v>
      </c>
      <c r="C356" s="1" t="s">
        <v>3</v>
      </c>
      <c r="D356" s="1" t="s">
        <v>13</v>
      </c>
      <c r="E356" s="1" t="s">
        <v>94</v>
      </c>
      <c r="F356" s="1" t="s">
        <v>31</v>
      </c>
      <c r="G356" s="1" t="s">
        <v>6</v>
      </c>
      <c r="H356" s="1" t="s">
        <v>78</v>
      </c>
      <c r="I356" s="4" t="s">
        <v>16</v>
      </c>
      <c r="J356" s="4" t="s">
        <v>18</v>
      </c>
      <c r="K356" s="7">
        <v>157951</v>
      </c>
      <c r="L356" s="7">
        <v>557289</v>
      </c>
      <c r="M356" s="7">
        <v>119039</v>
      </c>
      <c r="N356" s="4" t="s">
        <v>24</v>
      </c>
      <c r="O356" s="7">
        <f>8271141+1800000</f>
        <v>10071141</v>
      </c>
      <c r="P356" s="2">
        <f>'Infrastructure Benchmarks-ref'!$O356/'Infrastructure Benchmarks-ref'!$K356</f>
        <v>63.761172768770059</v>
      </c>
      <c r="Q356" s="2">
        <f>'Infrastructure Benchmarks-ref'!$O356/'Infrastructure Benchmarks-ref'!$L356</f>
        <v>18.071666585918617</v>
      </c>
      <c r="R356" s="2">
        <f>'Infrastructure Benchmarks-ref'!$O356/'Infrastructure Benchmarks-ref'!$M356</f>
        <v>84.603709708582898</v>
      </c>
      <c r="S356" s="34" t="s">
        <v>4</v>
      </c>
    </row>
    <row r="357" spans="1:19" x14ac:dyDescent="0.2">
      <c r="A357" s="25" t="s">
        <v>70</v>
      </c>
      <c r="B357" s="26" t="s">
        <v>2</v>
      </c>
      <c r="C357" s="26" t="s">
        <v>3</v>
      </c>
      <c r="D357" s="26" t="s">
        <v>13</v>
      </c>
      <c r="E357" s="26" t="s">
        <v>94</v>
      </c>
      <c r="F357" s="26" t="s">
        <v>31</v>
      </c>
      <c r="G357" s="26" t="s">
        <v>6</v>
      </c>
      <c r="H357" s="26" t="s">
        <v>78</v>
      </c>
      <c r="I357" s="27" t="s">
        <v>16</v>
      </c>
      <c r="J357" s="27" t="s">
        <v>18</v>
      </c>
      <c r="K357" s="28">
        <v>157951</v>
      </c>
      <c r="L357" s="28">
        <v>557289</v>
      </c>
      <c r="M357" s="28">
        <v>119039</v>
      </c>
      <c r="N357" s="27" t="s">
        <v>44</v>
      </c>
      <c r="O357" s="28">
        <v>0</v>
      </c>
      <c r="P357" s="29">
        <v>0</v>
      </c>
      <c r="Q357" s="29">
        <v>0</v>
      </c>
      <c r="R357" s="29">
        <v>0</v>
      </c>
      <c r="S357" s="30" t="s">
        <v>4</v>
      </c>
    </row>
    <row r="358" spans="1:19" x14ac:dyDescent="0.2">
      <c r="A358" s="25" t="s">
        <v>70</v>
      </c>
      <c r="B358" s="26" t="s">
        <v>2</v>
      </c>
      <c r="C358" s="26" t="s">
        <v>3</v>
      </c>
      <c r="D358" s="26" t="s">
        <v>13</v>
      </c>
      <c r="E358" s="26" t="s">
        <v>94</v>
      </c>
      <c r="F358" s="26" t="s">
        <v>31</v>
      </c>
      <c r="G358" s="26" t="s">
        <v>6</v>
      </c>
      <c r="H358" s="26" t="s">
        <v>78</v>
      </c>
      <c r="I358" s="27" t="s">
        <v>16</v>
      </c>
      <c r="J358" s="27" t="s">
        <v>18</v>
      </c>
      <c r="K358" s="28">
        <v>157951</v>
      </c>
      <c r="L358" s="28">
        <v>557289</v>
      </c>
      <c r="M358" s="28">
        <v>119039</v>
      </c>
      <c r="N358" s="27" t="s">
        <v>45</v>
      </c>
      <c r="O358" s="31">
        <v>2581835</v>
      </c>
      <c r="P358" s="29">
        <f>'Infrastructure Benchmarks-ref'!$O358/'Infrastructure Benchmarks-ref'!$K358</f>
        <v>16.345797114294939</v>
      </c>
      <c r="Q358" s="29">
        <f>'Infrastructure Benchmarks-ref'!$O358/'Infrastructure Benchmarks-ref'!$L358</f>
        <v>4.6328475889529486</v>
      </c>
      <c r="R358" s="29">
        <f>'Infrastructure Benchmarks-ref'!$O358/'Infrastructure Benchmarks-ref'!$M358</f>
        <v>21.688984282462052</v>
      </c>
      <c r="S358" s="30" t="s">
        <v>4</v>
      </c>
    </row>
    <row r="359" spans="1:19" x14ac:dyDescent="0.2">
      <c r="A359" s="25" t="s">
        <v>70</v>
      </c>
      <c r="B359" s="26" t="s">
        <v>2</v>
      </c>
      <c r="C359" s="26" t="s">
        <v>3</v>
      </c>
      <c r="D359" s="26" t="s">
        <v>13</v>
      </c>
      <c r="E359" s="26" t="s">
        <v>94</v>
      </c>
      <c r="F359" s="26" t="s">
        <v>31</v>
      </c>
      <c r="G359" s="26" t="s">
        <v>6</v>
      </c>
      <c r="H359" s="26" t="s">
        <v>78</v>
      </c>
      <c r="I359" s="27" t="s">
        <v>16</v>
      </c>
      <c r="J359" s="27" t="s">
        <v>18</v>
      </c>
      <c r="K359" s="28">
        <v>157951</v>
      </c>
      <c r="L359" s="28">
        <v>557289</v>
      </c>
      <c r="M359" s="28">
        <v>119039</v>
      </c>
      <c r="N359" s="27" t="s">
        <v>14</v>
      </c>
      <c r="O359" s="28">
        <f>2470109+588937</f>
        <v>3059046</v>
      </c>
      <c r="P359" s="29">
        <f>'Infrastructure Benchmarks-ref'!$O359/'Infrastructure Benchmarks-ref'!$K359</f>
        <v>19.36705687206792</v>
      </c>
      <c r="Q359" s="29">
        <f>'Infrastructure Benchmarks-ref'!$O359/'Infrastructure Benchmarks-ref'!$L359</f>
        <v>5.4891555368937839</v>
      </c>
      <c r="R359" s="29">
        <f>'Infrastructure Benchmarks-ref'!$O359/'Infrastructure Benchmarks-ref'!$M359</f>
        <v>25.697846924117307</v>
      </c>
      <c r="S359" s="30" t="s">
        <v>4</v>
      </c>
    </row>
    <row r="360" spans="1:19" x14ac:dyDescent="0.2">
      <c r="A360" s="25" t="s">
        <v>70</v>
      </c>
      <c r="B360" s="26" t="s">
        <v>2</v>
      </c>
      <c r="C360" s="26" t="s">
        <v>3</v>
      </c>
      <c r="D360" s="26" t="s">
        <v>13</v>
      </c>
      <c r="E360" s="26" t="s">
        <v>94</v>
      </c>
      <c r="F360" s="26" t="s">
        <v>31</v>
      </c>
      <c r="G360" s="26" t="s">
        <v>6</v>
      </c>
      <c r="H360" s="26" t="s">
        <v>78</v>
      </c>
      <c r="I360" s="27" t="s">
        <v>16</v>
      </c>
      <c r="J360" s="27" t="s">
        <v>18</v>
      </c>
      <c r="K360" s="28">
        <v>157951</v>
      </c>
      <c r="L360" s="28">
        <v>557289</v>
      </c>
      <c r="M360" s="28">
        <v>119039</v>
      </c>
      <c r="N360" s="27" t="s">
        <v>22</v>
      </c>
      <c r="O360" s="28">
        <v>10577574</v>
      </c>
      <c r="P360" s="29">
        <f>'Infrastructure Benchmarks-ref'!$O360/'Infrastructure Benchmarks-ref'!$K360</f>
        <v>66.967439269140428</v>
      </c>
      <c r="Q360" s="29">
        <f>'Infrastructure Benchmarks-ref'!$O360/'Infrastructure Benchmarks-ref'!$L360</f>
        <v>18.980410523085869</v>
      </c>
      <c r="R360" s="29">
        <f>'Infrastructure Benchmarks-ref'!$O360/'Infrastructure Benchmarks-ref'!$M360</f>
        <v>88.858054923176439</v>
      </c>
      <c r="S360" s="30" t="s">
        <v>4</v>
      </c>
    </row>
    <row r="361" spans="1:19" x14ac:dyDescent="0.2">
      <c r="A361" s="25" t="s">
        <v>70</v>
      </c>
      <c r="B361" s="26" t="s">
        <v>2</v>
      </c>
      <c r="C361" s="26" t="s">
        <v>3</v>
      </c>
      <c r="D361" s="26" t="s">
        <v>13</v>
      </c>
      <c r="E361" s="26" t="s">
        <v>94</v>
      </c>
      <c r="F361" s="26" t="s">
        <v>31</v>
      </c>
      <c r="G361" s="26" t="s">
        <v>6</v>
      </c>
      <c r="H361" s="26" t="s">
        <v>78</v>
      </c>
      <c r="I361" s="27" t="s">
        <v>16</v>
      </c>
      <c r="J361" s="27" t="s">
        <v>18</v>
      </c>
      <c r="K361" s="28">
        <v>157951</v>
      </c>
      <c r="L361" s="28">
        <v>557289</v>
      </c>
      <c r="M361" s="28">
        <v>119039</v>
      </c>
      <c r="N361" s="27" t="s">
        <v>20</v>
      </c>
      <c r="O361" s="28">
        <v>12917468</v>
      </c>
      <c r="P361" s="29">
        <f>'Infrastructure Benchmarks-ref'!$O361/'Infrastructure Benchmarks-ref'!$K361</f>
        <v>81.78148919601648</v>
      </c>
      <c r="Q361" s="29">
        <f>'Infrastructure Benchmarks-ref'!$O361/'Infrastructure Benchmarks-ref'!$L361</f>
        <v>23.179118913167137</v>
      </c>
      <c r="R361" s="29">
        <f>'Infrastructure Benchmarks-ref'!$O361/'Infrastructure Benchmarks-ref'!$M361</f>
        <v>108.5145876561463</v>
      </c>
      <c r="S361" s="30" t="s">
        <v>4</v>
      </c>
    </row>
    <row r="362" spans="1:19" x14ac:dyDescent="0.2">
      <c r="A362" s="25" t="s">
        <v>70</v>
      </c>
      <c r="B362" s="26" t="s">
        <v>2</v>
      </c>
      <c r="C362" s="26" t="s">
        <v>3</v>
      </c>
      <c r="D362" s="26" t="s">
        <v>13</v>
      </c>
      <c r="E362" s="26" t="s">
        <v>94</v>
      </c>
      <c r="F362" s="26" t="s">
        <v>31</v>
      </c>
      <c r="G362" s="26" t="s">
        <v>6</v>
      </c>
      <c r="H362" s="26" t="s">
        <v>78</v>
      </c>
      <c r="I362" s="27" t="s">
        <v>16</v>
      </c>
      <c r="J362" s="27" t="s">
        <v>18</v>
      </c>
      <c r="K362" s="28">
        <v>157951</v>
      </c>
      <c r="L362" s="28">
        <v>557289</v>
      </c>
      <c r="M362" s="28">
        <v>119039</v>
      </c>
      <c r="N362" s="27" t="s">
        <v>23</v>
      </c>
      <c r="O362" s="28">
        <f>14515264+1154862</f>
        <v>15670126</v>
      </c>
      <c r="P362" s="29">
        <f>'Infrastructure Benchmarks-ref'!$O362/'Infrastructure Benchmarks-ref'!$K362</f>
        <v>99.20877993808206</v>
      </c>
      <c r="Q362" s="29">
        <f>'Infrastructure Benchmarks-ref'!$O362/'Infrastructure Benchmarks-ref'!$L362</f>
        <v>28.118491482875132</v>
      </c>
      <c r="R362" s="29">
        <f>'Infrastructure Benchmarks-ref'!$O362/'Infrastructure Benchmarks-ref'!$M362</f>
        <v>131.63858903384605</v>
      </c>
      <c r="S362" s="30" t="s">
        <v>4</v>
      </c>
    </row>
    <row r="363" spans="1:19" x14ac:dyDescent="0.2">
      <c r="A363" s="25" t="s">
        <v>70</v>
      </c>
      <c r="B363" s="26" t="s">
        <v>2</v>
      </c>
      <c r="C363" s="26" t="s">
        <v>3</v>
      </c>
      <c r="D363" s="26" t="s">
        <v>13</v>
      </c>
      <c r="E363" s="26" t="s">
        <v>94</v>
      </c>
      <c r="F363" s="26" t="s">
        <v>31</v>
      </c>
      <c r="G363" s="26" t="s">
        <v>6</v>
      </c>
      <c r="H363" s="26" t="s">
        <v>78</v>
      </c>
      <c r="I363" s="27" t="s">
        <v>16</v>
      </c>
      <c r="J363" s="27" t="s">
        <v>18</v>
      </c>
      <c r="K363" s="28">
        <v>157951</v>
      </c>
      <c r="L363" s="28">
        <v>557289</v>
      </c>
      <c r="M363" s="28">
        <v>119039</v>
      </c>
      <c r="N363" s="27" t="s">
        <v>25</v>
      </c>
      <c r="O363" s="28">
        <f>2308327+989147</f>
        <v>3297474</v>
      </c>
      <c r="P363" s="29">
        <f>'Infrastructure Benchmarks-ref'!$O363/'Infrastructure Benchmarks-ref'!$K363</f>
        <v>20.876562984723112</v>
      </c>
      <c r="Q363" s="29">
        <f>'Infrastructure Benchmarks-ref'!$O363/'Infrastructure Benchmarks-ref'!$L363</f>
        <v>5.9169910046672376</v>
      </c>
      <c r="R363" s="29">
        <f>'Infrastructure Benchmarks-ref'!$O363/'Infrastructure Benchmarks-ref'!$M363</f>
        <v>27.700787136988719</v>
      </c>
      <c r="S363" s="30" t="s">
        <v>4</v>
      </c>
    </row>
    <row r="364" spans="1:19" x14ac:dyDescent="0.2">
      <c r="A364" s="25" t="s">
        <v>70</v>
      </c>
      <c r="B364" s="26" t="s">
        <v>2</v>
      </c>
      <c r="C364" s="26" t="s">
        <v>3</v>
      </c>
      <c r="D364" s="26" t="s">
        <v>13</v>
      </c>
      <c r="E364" s="26" t="s">
        <v>94</v>
      </c>
      <c r="F364" s="26" t="s">
        <v>31</v>
      </c>
      <c r="G364" s="26" t="s">
        <v>6</v>
      </c>
      <c r="H364" s="26" t="s">
        <v>78</v>
      </c>
      <c r="I364" s="27" t="s">
        <v>16</v>
      </c>
      <c r="J364" s="27" t="s">
        <v>18</v>
      </c>
      <c r="K364" s="28">
        <v>157951</v>
      </c>
      <c r="L364" s="28">
        <v>557289</v>
      </c>
      <c r="M364" s="28">
        <v>119039</v>
      </c>
      <c r="N364" s="27" t="s">
        <v>46</v>
      </c>
      <c r="O364" s="28">
        <v>0</v>
      </c>
      <c r="P364" s="29">
        <v>0</v>
      </c>
      <c r="Q364" s="29">
        <v>0</v>
      </c>
      <c r="R364" s="29">
        <v>0</v>
      </c>
      <c r="S364" s="30" t="s">
        <v>4</v>
      </c>
    </row>
    <row r="365" spans="1:19" x14ac:dyDescent="0.2">
      <c r="A365" s="25" t="s">
        <v>70</v>
      </c>
      <c r="B365" s="26" t="s">
        <v>2</v>
      </c>
      <c r="C365" s="26" t="s">
        <v>3</v>
      </c>
      <c r="D365" s="26" t="s">
        <v>13</v>
      </c>
      <c r="E365" s="26" t="s">
        <v>94</v>
      </c>
      <c r="F365" s="26" t="s">
        <v>31</v>
      </c>
      <c r="G365" s="26" t="s">
        <v>6</v>
      </c>
      <c r="H365" s="26" t="s">
        <v>78</v>
      </c>
      <c r="I365" s="27" t="s">
        <v>16</v>
      </c>
      <c r="J365" s="27" t="s">
        <v>18</v>
      </c>
      <c r="K365" s="28">
        <v>157951</v>
      </c>
      <c r="L365" s="28">
        <v>557289</v>
      </c>
      <c r="M365" s="28">
        <v>119039</v>
      </c>
      <c r="N365" s="27" t="s">
        <v>34</v>
      </c>
      <c r="O365" s="28">
        <v>0</v>
      </c>
      <c r="P365" s="29">
        <v>0</v>
      </c>
      <c r="Q365" s="29">
        <v>0</v>
      </c>
      <c r="R365" s="29">
        <v>0</v>
      </c>
      <c r="S365" s="30" t="s">
        <v>4</v>
      </c>
    </row>
    <row r="366" spans="1:19" x14ac:dyDescent="0.2">
      <c r="A366" s="25" t="s">
        <v>70</v>
      </c>
      <c r="B366" s="26" t="s">
        <v>2</v>
      </c>
      <c r="C366" s="26" t="s">
        <v>3</v>
      </c>
      <c r="D366" s="26" t="s">
        <v>13</v>
      </c>
      <c r="E366" s="26" t="s">
        <v>94</v>
      </c>
      <c r="F366" s="26" t="s">
        <v>31</v>
      </c>
      <c r="G366" s="26" t="s">
        <v>6</v>
      </c>
      <c r="H366" s="26" t="s">
        <v>78</v>
      </c>
      <c r="I366" s="27" t="s">
        <v>16</v>
      </c>
      <c r="J366" s="27" t="s">
        <v>18</v>
      </c>
      <c r="K366" s="28">
        <v>157951</v>
      </c>
      <c r="L366" s="28">
        <v>557289</v>
      </c>
      <c r="M366" s="28">
        <v>119039</v>
      </c>
      <c r="N366" s="27" t="s">
        <v>26</v>
      </c>
      <c r="O366" s="28">
        <f>9592149+5368538</f>
        <v>14960687</v>
      </c>
      <c r="P366" s="29">
        <f>'Infrastructure Benchmarks-ref'!$O366/'Infrastructure Benchmarks-ref'!$K366</f>
        <v>94.71726674728238</v>
      </c>
      <c r="Q366" s="29">
        <f>'Infrastructure Benchmarks-ref'!$O366/'Infrastructure Benchmarks-ref'!$L366</f>
        <v>26.84547335404072</v>
      </c>
      <c r="R366" s="29">
        <f>'Infrastructure Benchmarks-ref'!$O366/'Infrastructure Benchmarks-ref'!$M366</f>
        <v>125.67886995018439</v>
      </c>
      <c r="S366" s="30" t="s">
        <v>4</v>
      </c>
    </row>
    <row r="367" spans="1:19" x14ac:dyDescent="0.2">
      <c r="A367" s="25" t="s">
        <v>70</v>
      </c>
      <c r="B367" s="26" t="s">
        <v>2</v>
      </c>
      <c r="C367" s="26" t="s">
        <v>3</v>
      </c>
      <c r="D367" s="26" t="s">
        <v>13</v>
      </c>
      <c r="E367" s="26" t="s">
        <v>94</v>
      </c>
      <c r="F367" s="26" t="s">
        <v>31</v>
      </c>
      <c r="G367" s="26" t="s">
        <v>6</v>
      </c>
      <c r="H367" s="26" t="s">
        <v>78</v>
      </c>
      <c r="I367" s="27" t="s">
        <v>16</v>
      </c>
      <c r="J367" s="27" t="s">
        <v>18</v>
      </c>
      <c r="K367" s="28">
        <v>157951</v>
      </c>
      <c r="L367" s="28">
        <v>557289</v>
      </c>
      <c r="M367" s="28">
        <v>119039</v>
      </c>
      <c r="N367" s="27" t="s">
        <v>28</v>
      </c>
      <c r="O367" s="28">
        <f>4038113+291267</f>
        <v>4329380</v>
      </c>
      <c r="P367" s="29">
        <f>'Infrastructure Benchmarks-ref'!$O367/'Infrastructure Benchmarks-ref'!$K367</f>
        <v>27.409639698387476</v>
      </c>
      <c r="Q367" s="29">
        <f>'Infrastructure Benchmarks-ref'!$O367/'Infrastructure Benchmarks-ref'!$L367</f>
        <v>7.7686442761296206</v>
      </c>
      <c r="R367" s="29">
        <f>'Infrastructure Benchmarks-ref'!$O367/'Infrastructure Benchmarks-ref'!$M367</f>
        <v>36.3694251463806</v>
      </c>
      <c r="S367" s="30" t="s">
        <v>4</v>
      </c>
    </row>
    <row r="368" spans="1:19" x14ac:dyDescent="0.2">
      <c r="A368" s="25" t="s">
        <v>70</v>
      </c>
      <c r="B368" s="26" t="s">
        <v>2</v>
      </c>
      <c r="C368" s="26" t="s">
        <v>3</v>
      </c>
      <c r="D368" s="26" t="s">
        <v>13</v>
      </c>
      <c r="E368" s="26" t="s">
        <v>94</v>
      </c>
      <c r="F368" s="26" t="s">
        <v>31</v>
      </c>
      <c r="G368" s="26" t="s">
        <v>6</v>
      </c>
      <c r="H368" s="26" t="s">
        <v>78</v>
      </c>
      <c r="I368" s="27" t="s">
        <v>16</v>
      </c>
      <c r="J368" s="27" t="s">
        <v>18</v>
      </c>
      <c r="K368" s="28">
        <v>157951</v>
      </c>
      <c r="L368" s="28">
        <v>557289</v>
      </c>
      <c r="M368" s="28">
        <v>119039</v>
      </c>
      <c r="N368" s="27" t="s">
        <v>47</v>
      </c>
      <c r="O368" s="28">
        <v>0</v>
      </c>
      <c r="P368" s="29">
        <v>0</v>
      </c>
      <c r="Q368" s="29">
        <v>0</v>
      </c>
      <c r="R368" s="29">
        <v>0</v>
      </c>
      <c r="S368" s="30" t="s">
        <v>4</v>
      </c>
    </row>
    <row r="369" spans="1:19" x14ac:dyDescent="0.2">
      <c r="A369" s="25" t="s">
        <v>70</v>
      </c>
      <c r="B369" s="26" t="s">
        <v>2</v>
      </c>
      <c r="C369" s="26" t="s">
        <v>3</v>
      </c>
      <c r="D369" s="26" t="s">
        <v>13</v>
      </c>
      <c r="E369" s="26" t="s">
        <v>94</v>
      </c>
      <c r="F369" s="26" t="s">
        <v>31</v>
      </c>
      <c r="G369" s="26" t="s">
        <v>6</v>
      </c>
      <c r="H369" s="26" t="s">
        <v>78</v>
      </c>
      <c r="I369" s="27" t="s">
        <v>16</v>
      </c>
      <c r="J369" s="27" t="s">
        <v>18</v>
      </c>
      <c r="K369" s="28">
        <v>157951</v>
      </c>
      <c r="L369" s="28">
        <v>557289</v>
      </c>
      <c r="M369" s="28">
        <v>119039</v>
      </c>
      <c r="N369" s="27" t="s">
        <v>27</v>
      </c>
      <c r="O369" s="28">
        <v>4319911</v>
      </c>
      <c r="P369" s="29">
        <f>'Infrastructure Benchmarks-ref'!$O369/'Infrastructure Benchmarks-ref'!$K369</f>
        <v>27.349690726870993</v>
      </c>
      <c r="Q369" s="29">
        <f>'Infrastructure Benchmarks-ref'!$O369/'Infrastructure Benchmarks-ref'!$L369</f>
        <v>7.7516530920222717</v>
      </c>
      <c r="R369" s="29">
        <f>'Infrastructure Benchmarks-ref'!$O369/'Infrastructure Benchmarks-ref'!$M369</f>
        <v>36.289879787296599</v>
      </c>
      <c r="S369" s="30" t="s">
        <v>4</v>
      </c>
    </row>
    <row r="370" spans="1:19" x14ac:dyDescent="0.2">
      <c r="A370" s="25" t="s">
        <v>70</v>
      </c>
      <c r="B370" s="26" t="s">
        <v>2</v>
      </c>
      <c r="C370" s="26" t="s">
        <v>3</v>
      </c>
      <c r="D370" s="26" t="s">
        <v>13</v>
      </c>
      <c r="E370" s="26" t="s">
        <v>94</v>
      </c>
      <c r="F370" s="26" t="s">
        <v>31</v>
      </c>
      <c r="G370" s="26" t="s">
        <v>6</v>
      </c>
      <c r="H370" s="26" t="s">
        <v>78</v>
      </c>
      <c r="I370" s="27" t="s">
        <v>16</v>
      </c>
      <c r="J370" s="27" t="s">
        <v>18</v>
      </c>
      <c r="K370" s="28">
        <v>157951</v>
      </c>
      <c r="L370" s="28">
        <v>557289</v>
      </c>
      <c r="M370" s="28">
        <v>119039</v>
      </c>
      <c r="N370" s="27" t="s">
        <v>48</v>
      </c>
      <c r="O370" s="28">
        <v>0</v>
      </c>
      <c r="P370" s="29">
        <v>0</v>
      </c>
      <c r="Q370" s="29">
        <v>0</v>
      </c>
      <c r="R370" s="29">
        <v>0</v>
      </c>
      <c r="S370" s="30" t="s">
        <v>4</v>
      </c>
    </row>
    <row r="371" spans="1:19" x14ac:dyDescent="0.2">
      <c r="A371" s="25" t="s">
        <v>70</v>
      </c>
      <c r="B371" s="26" t="s">
        <v>2</v>
      </c>
      <c r="C371" s="26" t="s">
        <v>3</v>
      </c>
      <c r="D371" s="26" t="s">
        <v>13</v>
      </c>
      <c r="E371" s="26" t="s">
        <v>94</v>
      </c>
      <c r="F371" s="26" t="s">
        <v>31</v>
      </c>
      <c r="G371" s="26" t="s">
        <v>6</v>
      </c>
      <c r="H371" s="26" t="s">
        <v>78</v>
      </c>
      <c r="I371" s="27" t="s">
        <v>16</v>
      </c>
      <c r="J371" s="27" t="s">
        <v>18</v>
      </c>
      <c r="K371" s="28">
        <v>157951</v>
      </c>
      <c r="L371" s="28">
        <v>557289</v>
      </c>
      <c r="M371" s="28">
        <v>119039</v>
      </c>
      <c r="N371" s="27" t="s">
        <v>49</v>
      </c>
      <c r="O371" s="31">
        <f>3968636+10801402</f>
        <v>14770038</v>
      </c>
      <c r="P371" s="29">
        <f>'Infrastructure Benchmarks-ref'!$O371/'Infrastructure Benchmarks-ref'!$K371</f>
        <v>93.510253179783604</v>
      </c>
      <c r="Q371" s="29">
        <f>'Infrastructure Benchmarks-ref'!$O371/'Infrastructure Benchmarks-ref'!$L371</f>
        <v>26.503372576885603</v>
      </c>
      <c r="R371" s="29">
        <f>'Infrastructure Benchmarks-ref'!$O371/'Infrastructure Benchmarks-ref'!$M371</f>
        <v>124.07730239669353</v>
      </c>
      <c r="S371" s="30" t="s">
        <v>4</v>
      </c>
    </row>
    <row r="372" spans="1:19" x14ac:dyDescent="0.2">
      <c r="A372" s="25" t="s">
        <v>70</v>
      </c>
      <c r="B372" s="26" t="s">
        <v>2</v>
      </c>
      <c r="C372" s="26" t="s">
        <v>3</v>
      </c>
      <c r="D372" s="26" t="s">
        <v>13</v>
      </c>
      <c r="E372" s="26" t="s">
        <v>94</v>
      </c>
      <c r="F372" s="26" t="s">
        <v>31</v>
      </c>
      <c r="G372" s="26" t="s">
        <v>6</v>
      </c>
      <c r="H372" s="26" t="s">
        <v>78</v>
      </c>
      <c r="I372" s="27" t="s">
        <v>16</v>
      </c>
      <c r="J372" s="27" t="s">
        <v>18</v>
      </c>
      <c r="K372" s="28">
        <v>157951</v>
      </c>
      <c r="L372" s="28">
        <v>557289</v>
      </c>
      <c r="M372" s="28">
        <v>119039</v>
      </c>
      <c r="N372" s="27" t="s">
        <v>50</v>
      </c>
      <c r="O372" s="31">
        <v>3900000</v>
      </c>
      <c r="P372" s="29">
        <f>'Infrastructure Benchmarks-ref'!$O372/'Infrastructure Benchmarks-ref'!$K372</f>
        <v>24.691201701793595</v>
      </c>
      <c r="Q372" s="29">
        <f>'Infrastructure Benchmarks-ref'!$O372/'Infrastructure Benchmarks-ref'!$L372</f>
        <v>6.9981643276648207</v>
      </c>
      <c r="R372" s="29">
        <f>'Infrastructure Benchmarks-ref'!$O372/'Infrastructure Benchmarks-ref'!$M372</f>
        <v>32.762371995732494</v>
      </c>
      <c r="S372" s="30" t="s">
        <v>4</v>
      </c>
    </row>
    <row r="373" spans="1:19" x14ac:dyDescent="0.2">
      <c r="A373" s="25" t="s">
        <v>70</v>
      </c>
      <c r="B373" s="26" t="s">
        <v>2</v>
      </c>
      <c r="C373" s="26" t="s">
        <v>3</v>
      </c>
      <c r="D373" s="26" t="s">
        <v>13</v>
      </c>
      <c r="E373" s="26" t="s">
        <v>94</v>
      </c>
      <c r="F373" s="26" t="s">
        <v>31</v>
      </c>
      <c r="G373" s="26" t="s">
        <v>6</v>
      </c>
      <c r="H373" s="26" t="s">
        <v>78</v>
      </c>
      <c r="I373" s="27" t="s">
        <v>16</v>
      </c>
      <c r="J373" s="27" t="s">
        <v>18</v>
      </c>
      <c r="K373" s="28">
        <v>157951</v>
      </c>
      <c r="L373" s="28">
        <v>557289</v>
      </c>
      <c r="M373" s="28">
        <v>119039</v>
      </c>
      <c r="N373" s="27" t="s">
        <v>51</v>
      </c>
      <c r="O373" s="28">
        <v>2700000</v>
      </c>
      <c r="P373" s="29">
        <f>'Infrastructure Benchmarks-ref'!$O373/'Infrastructure Benchmarks-ref'!$K373</f>
        <v>17.09390887047249</v>
      </c>
      <c r="Q373" s="29">
        <f>'Infrastructure Benchmarks-ref'!$O373/'Infrastructure Benchmarks-ref'!$L373</f>
        <v>4.8448829960756452</v>
      </c>
      <c r="R373" s="29">
        <f>'Infrastructure Benchmarks-ref'!$O373/'Infrastructure Benchmarks-ref'!$M373</f>
        <v>22.681642150891726</v>
      </c>
      <c r="S373" s="30" t="s">
        <v>4</v>
      </c>
    </row>
    <row r="374" spans="1:19" x14ac:dyDescent="0.2">
      <c r="A374" s="25" t="s">
        <v>70</v>
      </c>
      <c r="B374" s="26" t="s">
        <v>2</v>
      </c>
      <c r="C374" s="26" t="s">
        <v>3</v>
      </c>
      <c r="D374" s="26" t="s">
        <v>13</v>
      </c>
      <c r="E374" s="26" t="s">
        <v>94</v>
      </c>
      <c r="F374" s="26" t="s">
        <v>31</v>
      </c>
      <c r="G374" s="26" t="s">
        <v>6</v>
      </c>
      <c r="H374" s="26" t="s">
        <v>78</v>
      </c>
      <c r="I374" s="27" t="s">
        <v>16</v>
      </c>
      <c r="J374" s="27" t="s">
        <v>18</v>
      </c>
      <c r="K374" s="28">
        <v>157951</v>
      </c>
      <c r="L374" s="28">
        <v>557289</v>
      </c>
      <c r="M374" s="28">
        <v>119039</v>
      </c>
      <c r="N374" s="27" t="s">
        <v>52</v>
      </c>
      <c r="O374" s="28">
        <v>0</v>
      </c>
      <c r="P374" s="29">
        <v>0</v>
      </c>
      <c r="Q374" s="29">
        <v>0</v>
      </c>
      <c r="R374" s="29">
        <v>0</v>
      </c>
      <c r="S374" s="30" t="s">
        <v>4</v>
      </c>
    </row>
    <row r="375" spans="1:19" x14ac:dyDescent="0.2">
      <c r="A375" s="25" t="s">
        <v>70</v>
      </c>
      <c r="B375" s="26" t="s">
        <v>2</v>
      </c>
      <c r="C375" s="26" t="s">
        <v>3</v>
      </c>
      <c r="D375" s="26" t="s">
        <v>13</v>
      </c>
      <c r="E375" s="26" t="s">
        <v>94</v>
      </c>
      <c r="F375" s="26" t="s">
        <v>31</v>
      </c>
      <c r="G375" s="26" t="s">
        <v>6</v>
      </c>
      <c r="H375" s="26" t="s">
        <v>78</v>
      </c>
      <c r="I375" s="27" t="s">
        <v>16</v>
      </c>
      <c r="J375" s="27" t="s">
        <v>18</v>
      </c>
      <c r="K375" s="28">
        <v>157951</v>
      </c>
      <c r="L375" s="28">
        <v>557289</v>
      </c>
      <c r="M375" s="28">
        <v>119039</v>
      </c>
      <c r="N375" s="27" t="s">
        <v>53</v>
      </c>
      <c r="O375" s="28">
        <v>0</v>
      </c>
      <c r="P375" s="29">
        <v>0</v>
      </c>
      <c r="Q375" s="29">
        <v>0</v>
      </c>
      <c r="R375" s="29">
        <v>0</v>
      </c>
      <c r="S375" s="30" t="s">
        <v>4</v>
      </c>
    </row>
    <row r="376" spans="1:19" x14ac:dyDescent="0.2">
      <c r="A376" s="25" t="s">
        <v>70</v>
      </c>
      <c r="B376" s="26" t="s">
        <v>2</v>
      </c>
      <c r="C376" s="26" t="s">
        <v>3</v>
      </c>
      <c r="D376" s="26" t="s">
        <v>13</v>
      </c>
      <c r="E376" s="26" t="s">
        <v>94</v>
      </c>
      <c r="F376" s="26" t="s">
        <v>31</v>
      </c>
      <c r="G376" s="26" t="s">
        <v>6</v>
      </c>
      <c r="H376" s="26" t="s">
        <v>78</v>
      </c>
      <c r="I376" s="27" t="s">
        <v>16</v>
      </c>
      <c r="J376" s="27" t="s">
        <v>18</v>
      </c>
      <c r="K376" s="28">
        <v>157951</v>
      </c>
      <c r="L376" s="28">
        <v>557289</v>
      </c>
      <c r="M376" s="28">
        <v>119039</v>
      </c>
      <c r="N376" s="27" t="s">
        <v>55</v>
      </c>
      <c r="O376" s="28">
        <v>0</v>
      </c>
      <c r="P376" s="29">
        <v>0</v>
      </c>
      <c r="Q376" s="29">
        <v>0</v>
      </c>
      <c r="R376" s="29">
        <v>0</v>
      </c>
      <c r="S376" s="30" t="s">
        <v>4</v>
      </c>
    </row>
    <row r="377" spans="1:19" x14ac:dyDescent="0.2">
      <c r="A377" s="25" t="s">
        <v>70</v>
      </c>
      <c r="B377" s="26" t="s">
        <v>2</v>
      </c>
      <c r="C377" s="26" t="s">
        <v>3</v>
      </c>
      <c r="D377" s="26" t="s">
        <v>13</v>
      </c>
      <c r="E377" s="26" t="s">
        <v>94</v>
      </c>
      <c r="F377" s="26" t="s">
        <v>31</v>
      </c>
      <c r="G377" s="26" t="s">
        <v>6</v>
      </c>
      <c r="H377" s="26" t="s">
        <v>78</v>
      </c>
      <c r="I377" s="27" t="s">
        <v>16</v>
      </c>
      <c r="J377" s="27" t="s">
        <v>18</v>
      </c>
      <c r="K377" s="28">
        <v>157951</v>
      </c>
      <c r="L377" s="28">
        <v>557289</v>
      </c>
      <c r="M377" s="28">
        <v>119039</v>
      </c>
      <c r="N377" s="27" t="s">
        <v>54</v>
      </c>
      <c r="O377" s="31">
        <v>9438518</v>
      </c>
      <c r="P377" s="29">
        <f>'Infrastructure Benchmarks-ref'!$O377/'Infrastructure Benchmarks-ref'!$K377</f>
        <v>59.755987616412682</v>
      </c>
      <c r="Q377" s="29">
        <f>'Infrastructure Benchmarks-ref'!$O377/'Infrastructure Benchmarks-ref'!$L377</f>
        <v>16.936487172723666</v>
      </c>
      <c r="R377" s="29">
        <f>'Infrastructure Benchmarks-ref'!$O377/'Infrastructure Benchmarks-ref'!$M377</f>
        <v>79.28929174472232</v>
      </c>
      <c r="S377" s="30" t="s">
        <v>4</v>
      </c>
    </row>
    <row r="378" spans="1:19" x14ac:dyDescent="0.2">
      <c r="A378" s="25" t="s">
        <v>70</v>
      </c>
      <c r="B378" s="26" t="s">
        <v>2</v>
      </c>
      <c r="C378" s="26" t="s">
        <v>3</v>
      </c>
      <c r="D378" s="26" t="s">
        <v>13</v>
      </c>
      <c r="E378" s="26" t="s">
        <v>94</v>
      </c>
      <c r="F378" s="26" t="s">
        <v>31</v>
      </c>
      <c r="G378" s="26" t="s">
        <v>6</v>
      </c>
      <c r="H378" s="26" t="s">
        <v>78</v>
      </c>
      <c r="I378" s="27" t="s">
        <v>16</v>
      </c>
      <c r="J378" s="27" t="s">
        <v>18</v>
      </c>
      <c r="K378" s="28">
        <v>157951</v>
      </c>
      <c r="L378" s="28">
        <v>557289</v>
      </c>
      <c r="M378" s="28">
        <v>119039</v>
      </c>
      <c r="N378" s="27" t="s">
        <v>56</v>
      </c>
      <c r="O378" s="28">
        <v>0</v>
      </c>
      <c r="P378" s="29">
        <v>0</v>
      </c>
      <c r="Q378" s="29">
        <v>0</v>
      </c>
      <c r="R378" s="29">
        <v>0</v>
      </c>
      <c r="S378" s="30" t="s">
        <v>4</v>
      </c>
    </row>
    <row r="379" spans="1:19" x14ac:dyDescent="0.2">
      <c r="A379" s="25" t="s">
        <v>70</v>
      </c>
      <c r="B379" s="26" t="s">
        <v>2</v>
      </c>
      <c r="C379" s="26" t="s">
        <v>3</v>
      </c>
      <c r="D379" s="26" t="s">
        <v>13</v>
      </c>
      <c r="E379" s="26" t="s">
        <v>94</v>
      </c>
      <c r="F379" s="26" t="s">
        <v>31</v>
      </c>
      <c r="G379" s="26" t="s">
        <v>6</v>
      </c>
      <c r="H379" s="26" t="s">
        <v>78</v>
      </c>
      <c r="I379" s="27" t="s">
        <v>16</v>
      </c>
      <c r="J379" s="27" t="s">
        <v>18</v>
      </c>
      <c r="K379" s="28">
        <v>157951</v>
      </c>
      <c r="L379" s="28">
        <v>557289</v>
      </c>
      <c r="M379" s="28">
        <v>119039</v>
      </c>
      <c r="N379" s="27" t="s">
        <v>73</v>
      </c>
      <c r="O379" s="28">
        <v>8852560</v>
      </c>
      <c r="P379" s="29">
        <f>'Infrastructure Benchmarks-ref'!$O379/'Infrastructure Benchmarks-ref'!$K379</f>
        <v>56.046242189033308</v>
      </c>
      <c r="Q379" s="29">
        <f>'Infrastructure Benchmarks-ref'!$O379/'Infrastructure Benchmarks-ref'!$L379</f>
        <v>15.885043487310893</v>
      </c>
      <c r="R379" s="29">
        <f>'Infrastructure Benchmarks-ref'!$O379/'Infrastructure Benchmarks-ref'!$M379</f>
        <v>74.366888162702978</v>
      </c>
      <c r="S379" s="30" t="s">
        <v>4</v>
      </c>
    </row>
    <row r="380" spans="1:19" x14ac:dyDescent="0.2">
      <c r="A380" s="25" t="s">
        <v>70</v>
      </c>
      <c r="B380" s="26" t="s">
        <v>2</v>
      </c>
      <c r="C380" s="26" t="s">
        <v>3</v>
      </c>
      <c r="D380" s="26" t="s">
        <v>13</v>
      </c>
      <c r="E380" s="26" t="s">
        <v>94</v>
      </c>
      <c r="F380" s="26" t="s">
        <v>31</v>
      </c>
      <c r="G380" s="26" t="s">
        <v>6</v>
      </c>
      <c r="H380" s="26" t="s">
        <v>78</v>
      </c>
      <c r="I380" s="27" t="s">
        <v>16</v>
      </c>
      <c r="J380" s="27" t="s">
        <v>18</v>
      </c>
      <c r="K380" s="28">
        <v>157951</v>
      </c>
      <c r="L380" s="28">
        <v>557289</v>
      </c>
      <c r="M380" s="28">
        <v>119039</v>
      </c>
      <c r="N380" s="27" t="s">
        <v>57</v>
      </c>
      <c r="O380" s="31">
        <v>30334415</v>
      </c>
      <c r="P380" s="29">
        <f>'Infrastructure Benchmarks-ref'!$O380/'Infrastructure Benchmarks-ref'!$K380</f>
        <v>192.04952801818285</v>
      </c>
      <c r="Q380" s="29">
        <f>'Infrastructure Benchmarks-ref'!$O380/'Infrastructure Benchmarks-ref'!$L380</f>
        <v>54.432107936815548</v>
      </c>
      <c r="R380" s="29">
        <f>'Infrastructure Benchmarks-ref'!$O380/'Infrastructure Benchmarks-ref'!$M380</f>
        <v>254.82753551357118</v>
      </c>
      <c r="S380" s="30" t="s">
        <v>4</v>
      </c>
    </row>
    <row r="381" spans="1:19" x14ac:dyDescent="0.2">
      <c r="A381" s="25" t="s">
        <v>70</v>
      </c>
      <c r="B381" s="26" t="s">
        <v>2</v>
      </c>
      <c r="C381" s="26" t="s">
        <v>3</v>
      </c>
      <c r="D381" s="26" t="s">
        <v>13</v>
      </c>
      <c r="E381" s="26" t="s">
        <v>94</v>
      </c>
      <c r="F381" s="26" t="s">
        <v>31</v>
      </c>
      <c r="G381" s="26" t="s">
        <v>6</v>
      </c>
      <c r="H381" s="26" t="s">
        <v>78</v>
      </c>
      <c r="I381" s="27" t="s">
        <v>65</v>
      </c>
      <c r="J381" s="27" t="s">
        <v>18</v>
      </c>
      <c r="K381" s="28">
        <v>157951</v>
      </c>
      <c r="L381" s="28">
        <v>557289</v>
      </c>
      <c r="M381" s="28">
        <v>119039</v>
      </c>
      <c r="N381" s="27" t="s">
        <v>58</v>
      </c>
      <c r="O381" s="31">
        <v>18545787</v>
      </c>
      <c r="P381" s="29">
        <f>'Infrastructure Benchmarks-ref'!$O381/'Infrastructure Benchmarks-ref'!$K381</f>
        <v>117.41481218859013</v>
      </c>
      <c r="Q381" s="29">
        <f>'Infrastructure Benchmarks-ref'!$O381/'Infrastructure Benchmarks-ref'!$L381</f>
        <v>33.278580772274353</v>
      </c>
      <c r="R381" s="29">
        <f>'Infrastructure Benchmarks-ref'!$O381/'Infrastructure Benchmarks-ref'!$M381</f>
        <v>155.79589042246658</v>
      </c>
      <c r="S381" s="30" t="s">
        <v>4</v>
      </c>
    </row>
    <row r="382" spans="1:19" x14ac:dyDescent="0.2">
      <c r="A382" s="25" t="s">
        <v>70</v>
      </c>
      <c r="B382" s="26" t="s">
        <v>2</v>
      </c>
      <c r="C382" s="26" t="s">
        <v>3</v>
      </c>
      <c r="D382" s="26" t="s">
        <v>13</v>
      </c>
      <c r="E382" s="26" t="s">
        <v>94</v>
      </c>
      <c r="F382" s="26" t="s">
        <v>31</v>
      </c>
      <c r="G382" s="26" t="s">
        <v>6</v>
      </c>
      <c r="H382" s="26" t="s">
        <v>78</v>
      </c>
      <c r="I382" s="27" t="s">
        <v>65</v>
      </c>
      <c r="J382" s="27" t="s">
        <v>18</v>
      </c>
      <c r="K382" s="28">
        <v>157951</v>
      </c>
      <c r="L382" s="28">
        <v>557289</v>
      </c>
      <c r="M382" s="28">
        <v>119039</v>
      </c>
      <c r="N382" s="27" t="s">
        <v>59</v>
      </c>
      <c r="O382" s="31">
        <v>11519715</v>
      </c>
      <c r="P382" s="29">
        <f>'Infrastructure Benchmarks-ref'!$O382/'Infrastructure Benchmarks-ref'!$K382</f>
        <v>72.932206823635184</v>
      </c>
      <c r="Q382" s="29">
        <f>'Infrastructure Benchmarks-ref'!$O382/'Infrastructure Benchmarks-ref'!$L382</f>
        <v>20.670989378939833</v>
      </c>
      <c r="R382" s="29">
        <f>'Infrastructure Benchmarks-ref'!$O382/'Infrastructure Benchmarks-ref'!$M382</f>
        <v>96.772612337133211</v>
      </c>
      <c r="S382" s="30" t="s">
        <v>4</v>
      </c>
    </row>
    <row r="383" spans="1:19" x14ac:dyDescent="0.2">
      <c r="A383" s="25" t="s">
        <v>70</v>
      </c>
      <c r="B383" s="26" t="s">
        <v>2</v>
      </c>
      <c r="C383" s="26" t="s">
        <v>3</v>
      </c>
      <c r="D383" s="26" t="s">
        <v>13</v>
      </c>
      <c r="E383" s="26" t="s">
        <v>94</v>
      </c>
      <c r="F383" s="26" t="s">
        <v>31</v>
      </c>
      <c r="G383" s="26" t="s">
        <v>6</v>
      </c>
      <c r="H383" s="26" t="s">
        <v>78</v>
      </c>
      <c r="I383" s="27" t="s">
        <v>16</v>
      </c>
      <c r="J383" s="27" t="s">
        <v>18</v>
      </c>
      <c r="K383" s="28">
        <v>157951</v>
      </c>
      <c r="L383" s="28">
        <v>557289</v>
      </c>
      <c r="M383" s="28">
        <v>119039</v>
      </c>
      <c r="N383" s="27" t="s">
        <v>60</v>
      </c>
      <c r="O383" s="28">
        <v>0</v>
      </c>
      <c r="P383" s="29">
        <v>0</v>
      </c>
      <c r="Q383" s="29">
        <v>0</v>
      </c>
      <c r="R383" s="29">
        <v>0</v>
      </c>
      <c r="S383" s="30" t="s">
        <v>4</v>
      </c>
    </row>
    <row r="384" spans="1:19" ht="16" thickBot="1" x14ac:dyDescent="0.25">
      <c r="A384" s="25" t="s">
        <v>70</v>
      </c>
      <c r="B384" s="26" t="s">
        <v>2</v>
      </c>
      <c r="C384" s="26" t="s">
        <v>3</v>
      </c>
      <c r="D384" s="26" t="s">
        <v>13</v>
      </c>
      <c r="E384" s="26" t="s">
        <v>94</v>
      </c>
      <c r="F384" s="26" t="s">
        <v>31</v>
      </c>
      <c r="G384" s="26" t="s">
        <v>6</v>
      </c>
      <c r="H384" s="26" t="s">
        <v>78</v>
      </c>
      <c r="I384" s="27" t="s">
        <v>16</v>
      </c>
      <c r="J384" s="27" t="s">
        <v>18</v>
      </c>
      <c r="K384" s="28">
        <v>157951</v>
      </c>
      <c r="L384" s="28">
        <v>557289</v>
      </c>
      <c r="M384" s="28">
        <v>119039</v>
      </c>
      <c r="N384" s="27" t="s">
        <v>61</v>
      </c>
      <c r="O384" s="28">
        <v>0</v>
      </c>
      <c r="P384" s="29">
        <v>0</v>
      </c>
      <c r="Q384" s="29">
        <v>0</v>
      </c>
      <c r="R384" s="29">
        <v>0</v>
      </c>
      <c r="S384" s="30" t="s">
        <v>4</v>
      </c>
    </row>
    <row r="385" spans="1:19" ht="17" thickTop="1" thickBot="1" x14ac:dyDescent="0.25">
      <c r="A385" s="54"/>
      <c r="B385" s="55"/>
      <c r="C385" s="55"/>
      <c r="D385" s="55"/>
      <c r="E385" s="55"/>
      <c r="F385" s="55"/>
      <c r="G385" s="55"/>
      <c r="H385" s="55"/>
      <c r="I385" s="56"/>
      <c r="J385" s="56"/>
      <c r="K385" s="57"/>
      <c r="L385" s="57"/>
      <c r="M385" s="57"/>
      <c r="N385" s="56"/>
      <c r="O385" s="57"/>
      <c r="P385" s="58"/>
      <c r="Q385" s="58"/>
      <c r="R385" s="58"/>
      <c r="S385" s="59"/>
    </row>
    <row r="386" spans="1:19" ht="16" thickTop="1" x14ac:dyDescent="0.2">
      <c r="A386" s="33" t="s">
        <v>70</v>
      </c>
      <c r="B386" s="1" t="s">
        <v>2</v>
      </c>
      <c r="C386" s="1" t="s">
        <v>3</v>
      </c>
      <c r="D386" s="1" t="s">
        <v>37</v>
      </c>
      <c r="E386" s="1" t="s">
        <v>99</v>
      </c>
      <c r="F386" s="1" t="s">
        <v>36</v>
      </c>
      <c r="G386" s="1" t="s">
        <v>29</v>
      </c>
      <c r="H386" s="1" t="s">
        <v>38</v>
      </c>
      <c r="I386" s="4" t="s">
        <v>16</v>
      </c>
      <c r="J386" s="4" t="s">
        <v>18</v>
      </c>
      <c r="K386" s="7">
        <v>580094</v>
      </c>
      <c r="L386" s="7">
        <v>2044670</v>
      </c>
      <c r="M386" s="7">
        <v>710886</v>
      </c>
      <c r="N386" s="4" t="s">
        <v>24</v>
      </c>
      <c r="O386" s="7">
        <v>19449911</v>
      </c>
      <c r="P386" s="2">
        <f>'Infrastructure Benchmarks-ref'!$O386/'Infrastructure Benchmarks-ref'!$K386</f>
        <v>33.528895316965873</v>
      </c>
      <c r="Q386" s="2">
        <f>'Infrastructure Benchmarks-ref'!$O386/'Infrastructure Benchmarks-ref'!$L386</f>
        <v>9.5124939476785979</v>
      </c>
      <c r="R386" s="2">
        <f>'Infrastructure Benchmarks-ref'!$O386/'Infrastructure Benchmarks-ref'!$M386</f>
        <v>27.3600985249393</v>
      </c>
      <c r="S386" s="34">
        <v>2016</v>
      </c>
    </row>
    <row r="387" spans="1:19" x14ac:dyDescent="0.2">
      <c r="A387" s="25" t="s">
        <v>70</v>
      </c>
      <c r="B387" s="26" t="s">
        <v>2</v>
      </c>
      <c r="C387" s="26" t="s">
        <v>3</v>
      </c>
      <c r="D387" s="26" t="s">
        <v>37</v>
      </c>
      <c r="E387" s="26" t="s">
        <v>99</v>
      </c>
      <c r="F387" s="26" t="s">
        <v>36</v>
      </c>
      <c r="G387" s="26" t="s">
        <v>29</v>
      </c>
      <c r="H387" s="26" t="s">
        <v>38</v>
      </c>
      <c r="I387" s="27" t="s">
        <v>16</v>
      </c>
      <c r="J387" s="27" t="s">
        <v>18</v>
      </c>
      <c r="K387" s="28">
        <v>580094</v>
      </c>
      <c r="L387" s="28">
        <v>2044670</v>
      </c>
      <c r="M387" s="28">
        <v>710886</v>
      </c>
      <c r="N387" s="27" t="s">
        <v>44</v>
      </c>
      <c r="O387" s="28">
        <v>0</v>
      </c>
      <c r="P387" s="29">
        <v>0</v>
      </c>
      <c r="Q387" s="29">
        <v>0</v>
      </c>
      <c r="R387" s="29">
        <v>0</v>
      </c>
      <c r="S387" s="30">
        <v>2016</v>
      </c>
    </row>
    <row r="388" spans="1:19" x14ac:dyDescent="0.2">
      <c r="A388" s="25" t="s">
        <v>70</v>
      </c>
      <c r="B388" s="26" t="s">
        <v>2</v>
      </c>
      <c r="C388" s="26" t="s">
        <v>3</v>
      </c>
      <c r="D388" s="26" t="s">
        <v>37</v>
      </c>
      <c r="E388" s="26" t="s">
        <v>99</v>
      </c>
      <c r="F388" s="26" t="s">
        <v>36</v>
      </c>
      <c r="G388" s="26" t="s">
        <v>29</v>
      </c>
      <c r="H388" s="26" t="s">
        <v>38</v>
      </c>
      <c r="I388" s="27" t="s">
        <v>16</v>
      </c>
      <c r="J388" s="27" t="s">
        <v>18</v>
      </c>
      <c r="K388" s="28">
        <v>580094</v>
      </c>
      <c r="L388" s="28">
        <v>2044670</v>
      </c>
      <c r="M388" s="28">
        <v>710886</v>
      </c>
      <c r="N388" s="27" t="s">
        <v>45</v>
      </c>
      <c r="O388" s="28">
        <v>0</v>
      </c>
      <c r="P388" s="29">
        <f>'Infrastructure Benchmarks-ref'!$O388/'Infrastructure Benchmarks-ref'!$K388</f>
        <v>0</v>
      </c>
      <c r="Q388" s="29">
        <f>'Infrastructure Benchmarks-ref'!$O388/'Infrastructure Benchmarks-ref'!$L388</f>
        <v>0</v>
      </c>
      <c r="R388" s="29">
        <f>'Infrastructure Benchmarks-ref'!$O388/'Infrastructure Benchmarks-ref'!$M388</f>
        <v>0</v>
      </c>
      <c r="S388" s="30">
        <v>2016</v>
      </c>
    </row>
    <row r="389" spans="1:19" x14ac:dyDescent="0.2">
      <c r="A389" s="25" t="s">
        <v>70</v>
      </c>
      <c r="B389" s="26" t="s">
        <v>2</v>
      </c>
      <c r="C389" s="26" t="s">
        <v>3</v>
      </c>
      <c r="D389" s="26" t="s">
        <v>37</v>
      </c>
      <c r="E389" s="26" t="s">
        <v>99</v>
      </c>
      <c r="F389" s="26" t="s">
        <v>36</v>
      </c>
      <c r="G389" s="26" t="s">
        <v>29</v>
      </c>
      <c r="H389" s="26" t="s">
        <v>38</v>
      </c>
      <c r="I389" s="27" t="s">
        <v>16</v>
      </c>
      <c r="J389" s="27" t="s">
        <v>18</v>
      </c>
      <c r="K389" s="28">
        <v>580094</v>
      </c>
      <c r="L389" s="28">
        <v>2044670</v>
      </c>
      <c r="M389" s="28">
        <v>710886</v>
      </c>
      <c r="N389" s="27" t="s">
        <v>14</v>
      </c>
      <c r="O389" s="31">
        <v>33077291</v>
      </c>
      <c r="P389" s="29">
        <f>'Infrastructure Benchmarks-ref'!$O389/'Infrastructure Benchmarks-ref'!$K389</f>
        <v>57.020570804042102</v>
      </c>
      <c r="Q389" s="29">
        <f>'Infrastructure Benchmarks-ref'!$O389/'Infrastructure Benchmarks-ref'!$L389</f>
        <v>16.177324947302008</v>
      </c>
      <c r="R389" s="29">
        <f>'Infrastructure Benchmarks-ref'!$O389/'Infrastructure Benchmarks-ref'!$M389</f>
        <v>46.529670017414887</v>
      </c>
      <c r="S389" s="30">
        <v>2016</v>
      </c>
    </row>
    <row r="390" spans="1:19" x14ac:dyDescent="0.2">
      <c r="A390" s="25" t="s">
        <v>70</v>
      </c>
      <c r="B390" s="26" t="s">
        <v>2</v>
      </c>
      <c r="C390" s="26" t="s">
        <v>3</v>
      </c>
      <c r="D390" s="26" t="s">
        <v>37</v>
      </c>
      <c r="E390" s="26" t="s">
        <v>99</v>
      </c>
      <c r="F390" s="26" t="s">
        <v>36</v>
      </c>
      <c r="G390" s="26" t="s">
        <v>29</v>
      </c>
      <c r="H390" s="26" t="s">
        <v>38</v>
      </c>
      <c r="I390" s="27" t="s">
        <v>16</v>
      </c>
      <c r="J390" s="27" t="s">
        <v>18</v>
      </c>
      <c r="K390" s="28">
        <v>580094</v>
      </c>
      <c r="L390" s="28">
        <v>2044670</v>
      </c>
      <c r="M390" s="28">
        <v>710886</v>
      </c>
      <c r="N390" s="27" t="s">
        <v>22</v>
      </c>
      <c r="O390" s="28">
        <v>33797356</v>
      </c>
      <c r="P390" s="29">
        <f>'Infrastructure Benchmarks-ref'!$O390/'Infrastructure Benchmarks-ref'!$K390</f>
        <v>58.261861008733071</v>
      </c>
      <c r="Q390" s="29">
        <f>'Infrastructure Benchmarks-ref'!$O390/'Infrastructure Benchmarks-ref'!$L390</f>
        <v>16.529491800632865</v>
      </c>
      <c r="R390" s="29">
        <f>'Infrastructure Benchmarks-ref'!$O390/'Infrastructure Benchmarks-ref'!$M390</f>
        <v>47.542582073637689</v>
      </c>
      <c r="S390" s="30">
        <v>2016</v>
      </c>
    </row>
    <row r="391" spans="1:19" x14ac:dyDescent="0.2">
      <c r="A391" s="25" t="s">
        <v>70</v>
      </c>
      <c r="B391" s="26" t="s">
        <v>2</v>
      </c>
      <c r="C391" s="26" t="s">
        <v>3</v>
      </c>
      <c r="D391" s="26" t="s">
        <v>37</v>
      </c>
      <c r="E391" s="26" t="s">
        <v>99</v>
      </c>
      <c r="F391" s="26" t="s">
        <v>36</v>
      </c>
      <c r="G391" s="26" t="s">
        <v>29</v>
      </c>
      <c r="H391" s="26" t="s">
        <v>38</v>
      </c>
      <c r="I391" s="27" t="s">
        <v>16</v>
      </c>
      <c r="J391" s="27" t="s">
        <v>18</v>
      </c>
      <c r="K391" s="28">
        <v>580094</v>
      </c>
      <c r="L391" s="28">
        <v>2044670</v>
      </c>
      <c r="M391" s="28">
        <v>710886</v>
      </c>
      <c r="N391" s="27" t="s">
        <v>20</v>
      </c>
      <c r="O391" s="28">
        <v>27138491</v>
      </c>
      <c r="P391" s="29">
        <f>'Infrastructure Benchmarks-ref'!$O391/'Infrastructure Benchmarks-ref'!$K391</f>
        <v>46.782919664743993</v>
      </c>
      <c r="Q391" s="29">
        <f>'Infrastructure Benchmarks-ref'!$O391/'Infrastructure Benchmarks-ref'!$L391</f>
        <v>13.27279756635545</v>
      </c>
      <c r="R391" s="29">
        <f>'Infrastructure Benchmarks-ref'!$O391/'Infrastructure Benchmarks-ref'!$M391</f>
        <v>38.175587928303557</v>
      </c>
      <c r="S391" s="30">
        <v>2016</v>
      </c>
    </row>
    <row r="392" spans="1:19" x14ac:dyDescent="0.2">
      <c r="A392" s="25" t="s">
        <v>70</v>
      </c>
      <c r="B392" s="26" t="s">
        <v>2</v>
      </c>
      <c r="C392" s="26" t="s">
        <v>3</v>
      </c>
      <c r="D392" s="26" t="s">
        <v>37</v>
      </c>
      <c r="E392" s="26" t="s">
        <v>99</v>
      </c>
      <c r="F392" s="26" t="s">
        <v>36</v>
      </c>
      <c r="G392" s="26" t="s">
        <v>29</v>
      </c>
      <c r="H392" s="26" t="s">
        <v>38</v>
      </c>
      <c r="I392" s="27" t="s">
        <v>16</v>
      </c>
      <c r="J392" s="27" t="s">
        <v>18</v>
      </c>
      <c r="K392" s="28">
        <v>580094</v>
      </c>
      <c r="L392" s="28">
        <v>2044670</v>
      </c>
      <c r="M392" s="28">
        <v>710886</v>
      </c>
      <c r="N392" s="27" t="s">
        <v>23</v>
      </c>
      <c r="O392" s="31">
        <v>23519786</v>
      </c>
      <c r="P392" s="29">
        <f>'Infrastructure Benchmarks-ref'!$O392/'Infrastructure Benchmarks-ref'!$K392</f>
        <v>40.544784121194148</v>
      </c>
      <c r="Q392" s="29">
        <f>'Infrastructure Benchmarks-ref'!$O392/'Infrastructure Benchmarks-ref'!$L392</f>
        <v>11.50297407405596</v>
      </c>
      <c r="R392" s="29">
        <f>'Infrastructure Benchmarks-ref'!$O392/'Infrastructure Benchmarks-ref'!$M392</f>
        <v>33.085172587447211</v>
      </c>
      <c r="S392" s="32">
        <v>2016</v>
      </c>
    </row>
    <row r="393" spans="1:19" x14ac:dyDescent="0.2">
      <c r="A393" s="25" t="s">
        <v>70</v>
      </c>
      <c r="B393" s="26" t="s">
        <v>2</v>
      </c>
      <c r="C393" s="26" t="s">
        <v>3</v>
      </c>
      <c r="D393" s="26" t="s">
        <v>37</v>
      </c>
      <c r="E393" s="26" t="s">
        <v>99</v>
      </c>
      <c r="F393" s="26" t="s">
        <v>36</v>
      </c>
      <c r="G393" s="26" t="s">
        <v>29</v>
      </c>
      <c r="H393" s="26" t="s">
        <v>38</v>
      </c>
      <c r="I393" s="27" t="s">
        <v>16</v>
      </c>
      <c r="J393" s="27" t="s">
        <v>18</v>
      </c>
      <c r="K393" s="28">
        <v>580094</v>
      </c>
      <c r="L393" s="28">
        <v>2044670</v>
      </c>
      <c r="M393" s="28">
        <v>710886</v>
      </c>
      <c r="N393" s="27" t="s">
        <v>43</v>
      </c>
      <c r="O393" s="31">
        <v>22532960</v>
      </c>
      <c r="P393" s="29">
        <f>'Infrastructure Benchmarks-ref'!$O393/'Infrastructure Benchmarks-ref'!$K393</f>
        <v>38.843635686630101</v>
      </c>
      <c r="Q393" s="29">
        <f>'Infrastructure Benchmarks-ref'!$O393/'Infrastructure Benchmarks-ref'!$L393</f>
        <v>11.0203406906738</v>
      </c>
      <c r="R393" s="29">
        <f>'Infrastructure Benchmarks-ref'!$O393/'Infrastructure Benchmarks-ref'!$M393</f>
        <v>31.697009084438292</v>
      </c>
      <c r="S393" s="32">
        <v>2016</v>
      </c>
    </row>
    <row r="394" spans="1:19" x14ac:dyDescent="0.2">
      <c r="A394" s="25" t="s">
        <v>70</v>
      </c>
      <c r="B394" s="26" t="s">
        <v>2</v>
      </c>
      <c r="C394" s="26" t="s">
        <v>3</v>
      </c>
      <c r="D394" s="26" t="s">
        <v>37</v>
      </c>
      <c r="E394" s="26" t="s">
        <v>99</v>
      </c>
      <c r="F394" s="26" t="s">
        <v>36</v>
      </c>
      <c r="G394" s="26" t="s">
        <v>29</v>
      </c>
      <c r="H394" s="26" t="s">
        <v>38</v>
      </c>
      <c r="I394" s="27" t="s">
        <v>16</v>
      </c>
      <c r="J394" s="27" t="s">
        <v>18</v>
      </c>
      <c r="K394" s="28">
        <v>580094</v>
      </c>
      <c r="L394" s="28">
        <v>2044670</v>
      </c>
      <c r="M394" s="28">
        <v>710886</v>
      </c>
      <c r="N394" s="27" t="s">
        <v>46</v>
      </c>
      <c r="O394" s="28">
        <v>0</v>
      </c>
      <c r="P394" s="29">
        <v>0</v>
      </c>
      <c r="Q394" s="29">
        <v>0</v>
      </c>
      <c r="R394" s="29">
        <v>0</v>
      </c>
      <c r="S394" s="32">
        <v>2016</v>
      </c>
    </row>
    <row r="395" spans="1:19" x14ac:dyDescent="0.2">
      <c r="A395" s="25" t="s">
        <v>70</v>
      </c>
      <c r="B395" s="26" t="s">
        <v>2</v>
      </c>
      <c r="C395" s="26" t="s">
        <v>3</v>
      </c>
      <c r="D395" s="26" t="s">
        <v>37</v>
      </c>
      <c r="E395" s="26" t="s">
        <v>99</v>
      </c>
      <c r="F395" s="26" t="s">
        <v>36</v>
      </c>
      <c r="G395" s="26" t="s">
        <v>29</v>
      </c>
      <c r="H395" s="26" t="s">
        <v>38</v>
      </c>
      <c r="I395" s="27" t="s">
        <v>16</v>
      </c>
      <c r="J395" s="27" t="s">
        <v>18</v>
      </c>
      <c r="K395" s="28">
        <v>580094</v>
      </c>
      <c r="L395" s="28">
        <v>2044670</v>
      </c>
      <c r="M395" s="28">
        <v>710886</v>
      </c>
      <c r="N395" s="27" t="s">
        <v>34</v>
      </c>
      <c r="O395" s="31">
        <v>4878211</v>
      </c>
      <c r="P395" s="29">
        <f>'Infrastructure Benchmarks-ref'!$O395/'Infrastructure Benchmarks-ref'!$K395</f>
        <v>8.4093457267270484</v>
      </c>
      <c r="Q395" s="29">
        <f>'Infrastructure Benchmarks-ref'!$O395/'Infrastructure Benchmarks-ref'!$L395</f>
        <v>2.3858182493996587</v>
      </c>
      <c r="R395" s="29">
        <f>'Infrastructure Benchmarks-ref'!$O395/'Infrastructure Benchmarks-ref'!$M395</f>
        <v>6.8621565201734178</v>
      </c>
      <c r="S395" s="32">
        <v>2016</v>
      </c>
    </row>
    <row r="396" spans="1:19" x14ac:dyDescent="0.2">
      <c r="A396" s="25" t="s">
        <v>70</v>
      </c>
      <c r="B396" s="26" t="s">
        <v>2</v>
      </c>
      <c r="C396" s="26" t="s">
        <v>3</v>
      </c>
      <c r="D396" s="26" t="s">
        <v>37</v>
      </c>
      <c r="E396" s="26" t="s">
        <v>99</v>
      </c>
      <c r="F396" s="26" t="s">
        <v>36</v>
      </c>
      <c r="G396" s="26" t="s">
        <v>29</v>
      </c>
      <c r="H396" s="26" t="s">
        <v>38</v>
      </c>
      <c r="I396" s="27" t="s">
        <v>16</v>
      </c>
      <c r="J396" s="27" t="s">
        <v>18</v>
      </c>
      <c r="K396" s="28">
        <v>580094</v>
      </c>
      <c r="L396" s="28">
        <v>2044670</v>
      </c>
      <c r="M396" s="28">
        <v>710886</v>
      </c>
      <c r="N396" s="27" t="s">
        <v>26</v>
      </c>
      <c r="O396" s="31">
        <v>112094638</v>
      </c>
      <c r="P396" s="29">
        <f>'Infrastructure Benchmarks-ref'!$O396/'Infrastructure Benchmarks-ref'!$K396</f>
        <v>193.23529979623993</v>
      </c>
      <c r="Q396" s="29">
        <f>'Infrastructure Benchmarks-ref'!$O396/'Infrastructure Benchmarks-ref'!$L396</f>
        <v>54.822850631153194</v>
      </c>
      <c r="R396" s="29">
        <f>'Infrastructure Benchmarks-ref'!$O396/'Infrastructure Benchmarks-ref'!$M396</f>
        <v>157.68300121257136</v>
      </c>
      <c r="S396" s="32">
        <v>2016</v>
      </c>
    </row>
    <row r="397" spans="1:19" x14ac:dyDescent="0.2">
      <c r="A397" s="25" t="s">
        <v>70</v>
      </c>
      <c r="B397" s="26" t="s">
        <v>2</v>
      </c>
      <c r="C397" s="26" t="s">
        <v>3</v>
      </c>
      <c r="D397" s="26" t="s">
        <v>37</v>
      </c>
      <c r="E397" s="26" t="s">
        <v>99</v>
      </c>
      <c r="F397" s="26" t="s">
        <v>36</v>
      </c>
      <c r="G397" s="26" t="s">
        <v>29</v>
      </c>
      <c r="H397" s="26" t="s">
        <v>38</v>
      </c>
      <c r="I397" s="27" t="s">
        <v>16</v>
      </c>
      <c r="J397" s="27" t="s">
        <v>18</v>
      </c>
      <c r="K397" s="28">
        <v>580094</v>
      </c>
      <c r="L397" s="28">
        <v>2044670</v>
      </c>
      <c r="M397" s="28">
        <v>710886</v>
      </c>
      <c r="N397" s="27" t="s">
        <v>28</v>
      </c>
      <c r="O397" s="31">
        <v>13398795</v>
      </c>
      <c r="P397" s="29">
        <f>'Infrastructure Benchmarks-ref'!$O397/'Infrastructure Benchmarks-ref'!$K397</f>
        <v>23.097627281095821</v>
      </c>
      <c r="Q397" s="29">
        <f>'Infrastructure Benchmarks-ref'!$O397/'Infrastructure Benchmarks-ref'!$L397</f>
        <v>6.55303545315381</v>
      </c>
      <c r="R397" s="29">
        <f>'Infrastructure Benchmarks-ref'!$O397/'Infrastructure Benchmarks-ref'!$M397</f>
        <v>18.84802204572885</v>
      </c>
      <c r="S397" s="32">
        <v>2016</v>
      </c>
    </row>
    <row r="398" spans="1:19" x14ac:dyDescent="0.2">
      <c r="A398" s="25" t="s">
        <v>70</v>
      </c>
      <c r="B398" s="26" t="s">
        <v>2</v>
      </c>
      <c r="C398" s="26" t="s">
        <v>3</v>
      </c>
      <c r="D398" s="26" t="s">
        <v>37</v>
      </c>
      <c r="E398" s="26" t="s">
        <v>99</v>
      </c>
      <c r="F398" s="26" t="s">
        <v>36</v>
      </c>
      <c r="G398" s="26" t="s">
        <v>29</v>
      </c>
      <c r="H398" s="26" t="s">
        <v>38</v>
      </c>
      <c r="I398" s="27" t="s">
        <v>16</v>
      </c>
      <c r="J398" s="27" t="s">
        <v>18</v>
      </c>
      <c r="K398" s="28">
        <v>580094</v>
      </c>
      <c r="L398" s="28">
        <v>2044670</v>
      </c>
      <c r="M398" s="28">
        <v>710886</v>
      </c>
      <c r="N398" s="27" t="s">
        <v>47</v>
      </c>
      <c r="O398" s="28">
        <v>0</v>
      </c>
      <c r="P398" s="29">
        <v>0</v>
      </c>
      <c r="Q398" s="29">
        <v>0</v>
      </c>
      <c r="R398" s="29">
        <v>0</v>
      </c>
      <c r="S398" s="30">
        <v>2016</v>
      </c>
    </row>
    <row r="399" spans="1:19" x14ac:dyDescent="0.2">
      <c r="A399" s="25" t="s">
        <v>70</v>
      </c>
      <c r="B399" s="26" t="s">
        <v>2</v>
      </c>
      <c r="C399" s="26" t="s">
        <v>3</v>
      </c>
      <c r="D399" s="26" t="s">
        <v>37</v>
      </c>
      <c r="E399" s="26" t="s">
        <v>99</v>
      </c>
      <c r="F399" s="26" t="s">
        <v>36</v>
      </c>
      <c r="G399" s="26" t="s">
        <v>29</v>
      </c>
      <c r="H399" s="26" t="s">
        <v>38</v>
      </c>
      <c r="I399" s="27" t="s">
        <v>16</v>
      </c>
      <c r="J399" s="27" t="s">
        <v>18</v>
      </c>
      <c r="K399" s="28">
        <v>580094</v>
      </c>
      <c r="L399" s="28">
        <v>2044670</v>
      </c>
      <c r="M399" s="28">
        <v>710886</v>
      </c>
      <c r="N399" s="27" t="s">
        <v>27</v>
      </c>
      <c r="O399" s="31">
        <v>17874792</v>
      </c>
      <c r="P399" s="29">
        <f>'Infrastructure Benchmarks-ref'!$O399/'Infrastructure Benchmarks-ref'!$K399</f>
        <v>30.813612966174446</v>
      </c>
      <c r="Q399" s="29">
        <f>'Infrastructure Benchmarks-ref'!$O399/'Infrastructure Benchmarks-ref'!$L399</f>
        <v>8.7421402964781603</v>
      </c>
      <c r="R399" s="29">
        <f>'Infrastructure Benchmarks-ref'!$O399/'Infrastructure Benchmarks-ref'!$M399</f>
        <v>25.144386019699361</v>
      </c>
      <c r="S399" s="32">
        <v>2016</v>
      </c>
    </row>
    <row r="400" spans="1:19" x14ac:dyDescent="0.2">
      <c r="A400" s="25" t="s">
        <v>70</v>
      </c>
      <c r="B400" s="26" t="s">
        <v>2</v>
      </c>
      <c r="C400" s="26" t="s">
        <v>3</v>
      </c>
      <c r="D400" s="26" t="s">
        <v>37</v>
      </c>
      <c r="E400" s="26" t="s">
        <v>99</v>
      </c>
      <c r="F400" s="26" t="s">
        <v>36</v>
      </c>
      <c r="G400" s="26" t="s">
        <v>29</v>
      </c>
      <c r="H400" s="26" t="s">
        <v>38</v>
      </c>
      <c r="I400" s="27" t="s">
        <v>16</v>
      </c>
      <c r="J400" s="27" t="s">
        <v>18</v>
      </c>
      <c r="K400" s="28">
        <v>580094</v>
      </c>
      <c r="L400" s="28">
        <v>2044670</v>
      </c>
      <c r="M400" s="28">
        <v>710886</v>
      </c>
      <c r="N400" s="27" t="s">
        <v>48</v>
      </c>
      <c r="O400" s="28">
        <v>0</v>
      </c>
      <c r="P400" s="29">
        <v>0</v>
      </c>
      <c r="Q400" s="29">
        <v>0</v>
      </c>
      <c r="R400" s="29">
        <v>0</v>
      </c>
      <c r="S400" s="32">
        <v>2016</v>
      </c>
    </row>
    <row r="401" spans="1:19" x14ac:dyDescent="0.2">
      <c r="A401" s="25" t="s">
        <v>70</v>
      </c>
      <c r="B401" s="26" t="s">
        <v>2</v>
      </c>
      <c r="C401" s="26" t="s">
        <v>3</v>
      </c>
      <c r="D401" s="26" t="s">
        <v>37</v>
      </c>
      <c r="E401" s="26" t="s">
        <v>99</v>
      </c>
      <c r="F401" s="26" t="s">
        <v>36</v>
      </c>
      <c r="G401" s="26" t="s">
        <v>29</v>
      </c>
      <c r="H401" s="26" t="s">
        <v>38</v>
      </c>
      <c r="I401" s="27" t="s">
        <v>16</v>
      </c>
      <c r="J401" s="27" t="s">
        <v>18</v>
      </c>
      <c r="K401" s="28">
        <v>580094</v>
      </c>
      <c r="L401" s="28">
        <v>2044670</v>
      </c>
      <c r="M401" s="28">
        <v>710886</v>
      </c>
      <c r="N401" s="27" t="s">
        <v>49</v>
      </c>
      <c r="O401" s="28">
        <v>0</v>
      </c>
      <c r="P401" s="29">
        <v>0</v>
      </c>
      <c r="Q401" s="29">
        <v>0</v>
      </c>
      <c r="R401" s="29">
        <v>0</v>
      </c>
      <c r="S401" s="32">
        <v>2016</v>
      </c>
    </row>
    <row r="402" spans="1:19" x14ac:dyDescent="0.2">
      <c r="A402" s="25" t="s">
        <v>70</v>
      </c>
      <c r="B402" s="26" t="s">
        <v>2</v>
      </c>
      <c r="C402" s="26" t="s">
        <v>3</v>
      </c>
      <c r="D402" s="26" t="s">
        <v>37</v>
      </c>
      <c r="E402" s="26" t="s">
        <v>99</v>
      </c>
      <c r="F402" s="26" t="s">
        <v>36</v>
      </c>
      <c r="G402" s="26" t="s">
        <v>29</v>
      </c>
      <c r="H402" s="26" t="s">
        <v>38</v>
      </c>
      <c r="I402" s="27" t="s">
        <v>16</v>
      </c>
      <c r="J402" s="27" t="s">
        <v>18</v>
      </c>
      <c r="K402" s="28">
        <v>580094</v>
      </c>
      <c r="L402" s="28">
        <v>2044670</v>
      </c>
      <c r="M402" s="28">
        <v>710886</v>
      </c>
      <c r="N402" s="27" t="s">
        <v>50</v>
      </c>
      <c r="O402" s="28">
        <v>0</v>
      </c>
      <c r="P402" s="29">
        <v>0</v>
      </c>
      <c r="Q402" s="29">
        <v>0</v>
      </c>
      <c r="R402" s="29">
        <v>0</v>
      </c>
      <c r="S402" s="32">
        <v>2016</v>
      </c>
    </row>
    <row r="403" spans="1:19" x14ac:dyDescent="0.2">
      <c r="A403" s="25" t="s">
        <v>70</v>
      </c>
      <c r="B403" s="26" t="s">
        <v>2</v>
      </c>
      <c r="C403" s="26" t="s">
        <v>3</v>
      </c>
      <c r="D403" s="26" t="s">
        <v>37</v>
      </c>
      <c r="E403" s="26" t="s">
        <v>99</v>
      </c>
      <c r="F403" s="26" t="s">
        <v>36</v>
      </c>
      <c r="G403" s="26" t="s">
        <v>29</v>
      </c>
      <c r="H403" s="26" t="s">
        <v>38</v>
      </c>
      <c r="I403" s="27" t="s">
        <v>16</v>
      </c>
      <c r="J403" s="27" t="s">
        <v>18</v>
      </c>
      <c r="K403" s="28">
        <v>580094</v>
      </c>
      <c r="L403" s="28">
        <v>2044670</v>
      </c>
      <c r="M403" s="28">
        <v>710886</v>
      </c>
      <c r="N403" s="27" t="s">
        <v>51</v>
      </c>
      <c r="O403" s="28">
        <v>0</v>
      </c>
      <c r="P403" s="29">
        <v>0</v>
      </c>
      <c r="Q403" s="29">
        <v>0</v>
      </c>
      <c r="R403" s="29">
        <v>0</v>
      </c>
      <c r="S403" s="32">
        <v>2016</v>
      </c>
    </row>
    <row r="404" spans="1:19" x14ac:dyDescent="0.2">
      <c r="A404" s="25" t="s">
        <v>70</v>
      </c>
      <c r="B404" s="26" t="s">
        <v>2</v>
      </c>
      <c r="C404" s="26" t="s">
        <v>3</v>
      </c>
      <c r="D404" s="26" t="s">
        <v>37</v>
      </c>
      <c r="E404" s="26" t="s">
        <v>99</v>
      </c>
      <c r="F404" s="26" t="s">
        <v>36</v>
      </c>
      <c r="G404" s="26" t="s">
        <v>29</v>
      </c>
      <c r="H404" s="26" t="s">
        <v>38</v>
      </c>
      <c r="I404" s="27" t="s">
        <v>16</v>
      </c>
      <c r="J404" s="27" t="s">
        <v>18</v>
      </c>
      <c r="K404" s="28">
        <v>580094</v>
      </c>
      <c r="L404" s="28">
        <v>2044670</v>
      </c>
      <c r="M404" s="28">
        <v>710886</v>
      </c>
      <c r="N404" s="27" t="s">
        <v>52</v>
      </c>
      <c r="O404" s="28">
        <v>0</v>
      </c>
      <c r="P404" s="29">
        <v>0</v>
      </c>
      <c r="Q404" s="29">
        <v>0</v>
      </c>
      <c r="R404" s="29">
        <v>0</v>
      </c>
      <c r="S404" s="32">
        <v>2016</v>
      </c>
    </row>
    <row r="405" spans="1:19" x14ac:dyDescent="0.2">
      <c r="A405" s="25" t="s">
        <v>70</v>
      </c>
      <c r="B405" s="26" t="s">
        <v>2</v>
      </c>
      <c r="C405" s="26" t="s">
        <v>3</v>
      </c>
      <c r="D405" s="26" t="s">
        <v>37</v>
      </c>
      <c r="E405" s="26" t="s">
        <v>99</v>
      </c>
      <c r="F405" s="26" t="s">
        <v>36</v>
      </c>
      <c r="G405" s="26" t="s">
        <v>29</v>
      </c>
      <c r="H405" s="26" t="s">
        <v>38</v>
      </c>
      <c r="I405" s="27" t="s">
        <v>16</v>
      </c>
      <c r="J405" s="27" t="s">
        <v>18</v>
      </c>
      <c r="K405" s="28">
        <v>580094</v>
      </c>
      <c r="L405" s="28">
        <v>2044670</v>
      </c>
      <c r="M405" s="28">
        <v>710886</v>
      </c>
      <c r="N405" s="27" t="s">
        <v>53</v>
      </c>
      <c r="O405" s="28">
        <v>0</v>
      </c>
      <c r="P405" s="29">
        <v>0</v>
      </c>
      <c r="Q405" s="29">
        <v>0</v>
      </c>
      <c r="R405" s="29">
        <v>0</v>
      </c>
      <c r="S405" s="32">
        <v>2016</v>
      </c>
    </row>
    <row r="406" spans="1:19" x14ac:dyDescent="0.2">
      <c r="A406" s="25" t="s">
        <v>70</v>
      </c>
      <c r="B406" s="26" t="s">
        <v>2</v>
      </c>
      <c r="C406" s="26" t="s">
        <v>3</v>
      </c>
      <c r="D406" s="26" t="s">
        <v>37</v>
      </c>
      <c r="E406" s="26" t="s">
        <v>99</v>
      </c>
      <c r="F406" s="26" t="s">
        <v>36</v>
      </c>
      <c r="G406" s="26" t="s">
        <v>29</v>
      </c>
      <c r="H406" s="26" t="s">
        <v>38</v>
      </c>
      <c r="I406" s="27" t="s">
        <v>16</v>
      </c>
      <c r="J406" s="27" t="s">
        <v>18</v>
      </c>
      <c r="K406" s="28">
        <v>580094</v>
      </c>
      <c r="L406" s="28">
        <v>2044670</v>
      </c>
      <c r="M406" s="28">
        <v>710886</v>
      </c>
      <c r="N406" s="27" t="s">
        <v>54</v>
      </c>
      <c r="O406" s="28">
        <v>0</v>
      </c>
      <c r="P406" s="29">
        <v>0</v>
      </c>
      <c r="Q406" s="29">
        <v>0</v>
      </c>
      <c r="R406" s="29">
        <v>0</v>
      </c>
      <c r="S406" s="32">
        <v>2016</v>
      </c>
    </row>
    <row r="407" spans="1:19" x14ac:dyDescent="0.2">
      <c r="A407" s="25" t="s">
        <v>70</v>
      </c>
      <c r="B407" s="26" t="s">
        <v>2</v>
      </c>
      <c r="C407" s="26" t="s">
        <v>3</v>
      </c>
      <c r="D407" s="26" t="s">
        <v>37</v>
      </c>
      <c r="E407" s="26" t="s">
        <v>99</v>
      </c>
      <c r="F407" s="26" t="s">
        <v>36</v>
      </c>
      <c r="G407" s="26" t="s">
        <v>29</v>
      </c>
      <c r="H407" s="26" t="s">
        <v>38</v>
      </c>
      <c r="I407" s="27" t="s">
        <v>16</v>
      </c>
      <c r="J407" s="27" t="s">
        <v>18</v>
      </c>
      <c r="K407" s="28">
        <v>580094</v>
      </c>
      <c r="L407" s="28">
        <v>2044670</v>
      </c>
      <c r="M407" s="28">
        <v>710886</v>
      </c>
      <c r="N407" s="27" t="s">
        <v>55</v>
      </c>
      <c r="O407" s="28">
        <v>0</v>
      </c>
      <c r="P407" s="29">
        <v>0</v>
      </c>
      <c r="Q407" s="29">
        <v>0</v>
      </c>
      <c r="R407" s="29">
        <v>0</v>
      </c>
      <c r="S407" s="32">
        <v>2016</v>
      </c>
    </row>
    <row r="408" spans="1:19" x14ac:dyDescent="0.2">
      <c r="A408" s="25" t="s">
        <v>70</v>
      </c>
      <c r="B408" s="26" t="s">
        <v>2</v>
      </c>
      <c r="C408" s="26" t="s">
        <v>3</v>
      </c>
      <c r="D408" s="26" t="s">
        <v>37</v>
      </c>
      <c r="E408" s="26" t="s">
        <v>99</v>
      </c>
      <c r="F408" s="26" t="s">
        <v>36</v>
      </c>
      <c r="G408" s="26" t="s">
        <v>29</v>
      </c>
      <c r="H408" s="26" t="s">
        <v>38</v>
      </c>
      <c r="I408" s="27" t="s">
        <v>16</v>
      </c>
      <c r="J408" s="27" t="s">
        <v>18</v>
      </c>
      <c r="K408" s="28">
        <v>580094</v>
      </c>
      <c r="L408" s="28">
        <v>2044670</v>
      </c>
      <c r="M408" s="28">
        <v>710886</v>
      </c>
      <c r="N408" s="27" t="s">
        <v>56</v>
      </c>
      <c r="O408" s="28">
        <v>0</v>
      </c>
      <c r="P408" s="29">
        <v>0</v>
      </c>
      <c r="Q408" s="29">
        <v>0</v>
      </c>
      <c r="R408" s="29">
        <v>0</v>
      </c>
      <c r="S408" s="32">
        <v>2016</v>
      </c>
    </row>
    <row r="409" spans="1:19" x14ac:dyDescent="0.2">
      <c r="A409" s="25" t="s">
        <v>70</v>
      </c>
      <c r="B409" s="26" t="s">
        <v>2</v>
      </c>
      <c r="C409" s="26" t="s">
        <v>3</v>
      </c>
      <c r="D409" s="26" t="s">
        <v>37</v>
      </c>
      <c r="E409" s="26" t="s">
        <v>99</v>
      </c>
      <c r="F409" s="26" t="s">
        <v>36</v>
      </c>
      <c r="G409" s="26" t="s">
        <v>29</v>
      </c>
      <c r="H409" s="26" t="s">
        <v>38</v>
      </c>
      <c r="I409" s="27" t="s">
        <v>16</v>
      </c>
      <c r="J409" s="27" t="s">
        <v>18</v>
      </c>
      <c r="K409" s="28">
        <v>580094</v>
      </c>
      <c r="L409" s="28">
        <v>2044670</v>
      </c>
      <c r="M409" s="28">
        <v>710886</v>
      </c>
      <c r="N409" s="27" t="s">
        <v>73</v>
      </c>
      <c r="O409" s="31">
        <f>50278070+15532735</f>
        <v>65810805</v>
      </c>
      <c r="P409" s="29">
        <f>'Infrastructure Benchmarks-ref'!$O409/'Infrastructure Benchmarks-ref'!$K409</f>
        <v>113.4485186883505</v>
      </c>
      <c r="Q409" s="29">
        <f>'Infrastructure Benchmarks-ref'!$O409/'Infrastructure Benchmarks-ref'!$L409</f>
        <v>32.186516650608652</v>
      </c>
      <c r="R409" s="29">
        <f>'Infrastructure Benchmarks-ref'!$O409/'Infrastructure Benchmarks-ref'!$M409</f>
        <v>92.575750542281042</v>
      </c>
      <c r="S409" s="32">
        <v>2016</v>
      </c>
    </row>
    <row r="410" spans="1:19" x14ac:dyDescent="0.2">
      <c r="A410" s="25" t="s">
        <v>70</v>
      </c>
      <c r="B410" s="26" t="s">
        <v>2</v>
      </c>
      <c r="C410" s="26" t="s">
        <v>3</v>
      </c>
      <c r="D410" s="26" t="s">
        <v>37</v>
      </c>
      <c r="E410" s="26" t="s">
        <v>99</v>
      </c>
      <c r="F410" s="26" t="s">
        <v>36</v>
      </c>
      <c r="G410" s="26" t="s">
        <v>29</v>
      </c>
      <c r="H410" s="26" t="s">
        <v>38</v>
      </c>
      <c r="I410" s="27" t="s">
        <v>16</v>
      </c>
      <c r="J410" s="27" t="s">
        <v>18</v>
      </c>
      <c r="K410" s="28">
        <v>580094</v>
      </c>
      <c r="L410" s="28">
        <v>2044670</v>
      </c>
      <c r="M410" s="28">
        <v>710886</v>
      </c>
      <c r="N410" s="27" t="s">
        <v>57</v>
      </c>
      <c r="O410" s="31">
        <v>75000000</v>
      </c>
      <c r="P410" s="29">
        <f>'Infrastructure Benchmarks-ref'!$O410/'Infrastructure Benchmarks-ref'!$K410</f>
        <v>129.28939102972967</v>
      </c>
      <c r="Q410" s="29">
        <f>'Infrastructure Benchmarks-ref'!$O410/'Infrastructure Benchmarks-ref'!$L410</f>
        <v>36.680735766651829</v>
      </c>
      <c r="R410" s="29">
        <f>'Infrastructure Benchmarks-ref'!$O410/'Infrastructure Benchmarks-ref'!$M410</f>
        <v>105.50214802373377</v>
      </c>
      <c r="S410" s="32">
        <v>2016</v>
      </c>
    </row>
    <row r="411" spans="1:19" x14ac:dyDescent="0.2">
      <c r="A411" s="25" t="s">
        <v>70</v>
      </c>
      <c r="B411" s="26" t="s">
        <v>2</v>
      </c>
      <c r="C411" s="26" t="s">
        <v>3</v>
      </c>
      <c r="D411" s="26" t="s">
        <v>37</v>
      </c>
      <c r="E411" s="26" t="s">
        <v>99</v>
      </c>
      <c r="F411" s="26" t="s">
        <v>36</v>
      </c>
      <c r="G411" s="26" t="s">
        <v>29</v>
      </c>
      <c r="H411" s="26" t="s">
        <v>38</v>
      </c>
      <c r="I411" s="27" t="s">
        <v>16</v>
      </c>
      <c r="J411" s="27" t="s">
        <v>18</v>
      </c>
      <c r="K411" s="28">
        <v>580094</v>
      </c>
      <c r="L411" s="28">
        <v>2044670</v>
      </c>
      <c r="M411" s="28">
        <v>710886</v>
      </c>
      <c r="N411" s="27" t="s">
        <v>58</v>
      </c>
      <c r="O411" s="31">
        <f>159576008-(O412+O410)</f>
        <v>45000000</v>
      </c>
      <c r="P411" s="29">
        <f>'Infrastructure Benchmarks-ref'!$O411/'Infrastructure Benchmarks-ref'!$K411</f>
        <v>77.573634617837797</v>
      </c>
      <c r="Q411" s="29">
        <f>'Infrastructure Benchmarks-ref'!$O411/'Infrastructure Benchmarks-ref'!$L411</f>
        <v>22.008441459991097</v>
      </c>
      <c r="R411" s="29">
        <f>'Infrastructure Benchmarks-ref'!$O411/'Infrastructure Benchmarks-ref'!$M411</f>
        <v>63.301288814240259</v>
      </c>
      <c r="S411" s="32">
        <v>2016</v>
      </c>
    </row>
    <row r="412" spans="1:19" x14ac:dyDescent="0.2">
      <c r="A412" s="25" t="s">
        <v>70</v>
      </c>
      <c r="B412" s="26" t="s">
        <v>2</v>
      </c>
      <c r="C412" s="26" t="s">
        <v>3</v>
      </c>
      <c r="D412" s="26" t="s">
        <v>37</v>
      </c>
      <c r="E412" s="26" t="s">
        <v>99</v>
      </c>
      <c r="F412" s="26" t="s">
        <v>36</v>
      </c>
      <c r="G412" s="26" t="s">
        <v>29</v>
      </c>
      <c r="H412" s="26" t="s">
        <v>38</v>
      </c>
      <c r="I412" s="27" t="s">
        <v>16</v>
      </c>
      <c r="J412" s="27" t="s">
        <v>18</v>
      </c>
      <c r="K412" s="28">
        <v>580094</v>
      </c>
      <c r="L412" s="28">
        <v>2044670</v>
      </c>
      <c r="M412" s="28">
        <v>710886</v>
      </c>
      <c r="N412" s="27" t="s">
        <v>59</v>
      </c>
      <c r="O412" s="31">
        <v>39576008</v>
      </c>
      <c r="P412" s="29">
        <f>'Infrastructure Benchmarks-ref'!$O412/'Infrastructure Benchmarks-ref'!$K412</f>
        <v>68.223439649436131</v>
      </c>
      <c r="Q412" s="29">
        <f>'Infrastructure Benchmarks-ref'!$O412/'Infrastructure Benchmarks-ref'!$L412</f>
        <v>19.355694561958654</v>
      </c>
      <c r="R412" s="29">
        <f>'Infrastructure Benchmarks-ref'!$O412/'Infrastructure Benchmarks-ref'!$M412</f>
        <v>55.671384722726287</v>
      </c>
      <c r="S412" s="32">
        <v>2016</v>
      </c>
    </row>
    <row r="413" spans="1:19" x14ac:dyDescent="0.2">
      <c r="A413" s="25" t="s">
        <v>70</v>
      </c>
      <c r="B413" s="26" t="s">
        <v>2</v>
      </c>
      <c r="C413" s="26" t="s">
        <v>3</v>
      </c>
      <c r="D413" s="26" t="s">
        <v>37</v>
      </c>
      <c r="E413" s="26" t="s">
        <v>99</v>
      </c>
      <c r="F413" s="26" t="s">
        <v>36</v>
      </c>
      <c r="G413" s="26" t="s">
        <v>29</v>
      </c>
      <c r="H413" s="26" t="s">
        <v>38</v>
      </c>
      <c r="I413" s="27" t="s">
        <v>16</v>
      </c>
      <c r="J413" s="27" t="s">
        <v>18</v>
      </c>
      <c r="K413" s="28">
        <v>580094</v>
      </c>
      <c r="L413" s="28">
        <v>2044670</v>
      </c>
      <c r="M413" s="28">
        <v>710886</v>
      </c>
      <c r="N413" s="27" t="s">
        <v>60</v>
      </c>
      <c r="O413" s="28">
        <v>0</v>
      </c>
      <c r="P413" s="29">
        <v>0</v>
      </c>
      <c r="Q413" s="29">
        <v>0</v>
      </c>
      <c r="R413" s="29">
        <v>0</v>
      </c>
      <c r="S413" s="32">
        <v>2016</v>
      </c>
    </row>
    <row r="414" spans="1:19" ht="16" thickBot="1" x14ac:dyDescent="0.25">
      <c r="A414" s="25" t="s">
        <v>70</v>
      </c>
      <c r="B414" s="26" t="s">
        <v>2</v>
      </c>
      <c r="C414" s="26" t="s">
        <v>3</v>
      </c>
      <c r="D414" s="26" t="s">
        <v>37</v>
      </c>
      <c r="E414" s="26" t="s">
        <v>99</v>
      </c>
      <c r="F414" s="26" t="s">
        <v>36</v>
      </c>
      <c r="G414" s="26" t="s">
        <v>29</v>
      </c>
      <c r="H414" s="26" t="s">
        <v>38</v>
      </c>
      <c r="I414" s="27" t="s">
        <v>16</v>
      </c>
      <c r="J414" s="27" t="s">
        <v>18</v>
      </c>
      <c r="K414" s="28">
        <v>580094</v>
      </c>
      <c r="L414" s="28">
        <v>2044670</v>
      </c>
      <c r="M414" s="28">
        <v>710886</v>
      </c>
      <c r="N414" s="27" t="s">
        <v>61</v>
      </c>
      <c r="O414" s="31">
        <v>51727097</v>
      </c>
      <c r="P414" s="29">
        <f>'Infrastructure Benchmarks-ref'!$O414/'Infrastructure Benchmarks-ref'!$K414</f>
        <v>89.17019827821008</v>
      </c>
      <c r="Q414" s="29">
        <f>'Infrastructure Benchmarks-ref'!$O414/'Infrastructure Benchmarks-ref'!$L414</f>
        <v>25.298506360439582</v>
      </c>
      <c r="R414" s="29">
        <f>'Infrastructure Benchmarks-ref'!$O414/'Infrastructure Benchmarks-ref'!$M414</f>
        <v>72.764264593760458</v>
      </c>
      <c r="S414" s="32">
        <v>2016</v>
      </c>
    </row>
    <row r="415" spans="1:19" ht="17" thickTop="1" thickBot="1" x14ac:dyDescent="0.25">
      <c r="A415" s="54"/>
      <c r="B415" s="55"/>
      <c r="C415" s="55"/>
      <c r="D415" s="55"/>
      <c r="E415" s="55"/>
      <c r="F415" s="55"/>
      <c r="G415" s="55"/>
      <c r="H415" s="55"/>
      <c r="I415" s="56"/>
      <c r="J415" s="56"/>
      <c r="K415" s="57"/>
      <c r="L415" s="57"/>
      <c r="M415" s="57"/>
      <c r="N415" s="56"/>
      <c r="O415" s="60"/>
      <c r="P415" s="58"/>
      <c r="Q415" s="58"/>
      <c r="R415" s="58"/>
      <c r="S415" s="61"/>
    </row>
    <row r="416" spans="1:19" ht="16" thickTop="1" x14ac:dyDescent="0.2">
      <c r="A416" s="33" t="s">
        <v>70</v>
      </c>
      <c r="B416" s="1" t="s">
        <v>2</v>
      </c>
      <c r="C416" s="1" t="s">
        <v>3</v>
      </c>
      <c r="D416" s="1" t="s">
        <v>37</v>
      </c>
      <c r="E416" s="1" t="s">
        <v>98</v>
      </c>
      <c r="F416" s="1" t="s">
        <v>74</v>
      </c>
      <c r="G416" s="1" t="s">
        <v>29</v>
      </c>
      <c r="H416" s="1" t="s">
        <v>38</v>
      </c>
      <c r="I416" s="4" t="s">
        <v>16</v>
      </c>
      <c r="J416" s="4" t="s">
        <v>18</v>
      </c>
      <c r="K416" s="7">
        <v>362564</v>
      </c>
      <c r="L416" s="7">
        <v>830616</v>
      </c>
      <c r="M416" s="7">
        <v>230390</v>
      </c>
      <c r="N416" s="4" t="s">
        <v>24</v>
      </c>
      <c r="O416" s="7">
        <v>40271257</v>
      </c>
      <c r="P416" s="2">
        <f>'Infrastructure Benchmarks-ref'!$O416/'Infrastructure Benchmarks-ref'!$K416</f>
        <v>111.07351253847597</v>
      </c>
      <c r="Q416" s="2">
        <f>'Infrastructure Benchmarks-ref'!$O416/'Infrastructure Benchmarks-ref'!$L416</f>
        <v>48.483603735059283</v>
      </c>
      <c r="R416" s="2">
        <f>'Infrastructure Benchmarks-ref'!$O416/'Infrastructure Benchmarks-ref'!$M416</f>
        <v>174.79602847345805</v>
      </c>
      <c r="S416" s="34">
        <v>2016</v>
      </c>
    </row>
    <row r="417" spans="1:19" x14ac:dyDescent="0.2">
      <c r="A417" s="25" t="s">
        <v>70</v>
      </c>
      <c r="B417" s="26" t="s">
        <v>2</v>
      </c>
      <c r="C417" s="26" t="s">
        <v>3</v>
      </c>
      <c r="D417" s="26" t="s">
        <v>37</v>
      </c>
      <c r="E417" s="26" t="s">
        <v>98</v>
      </c>
      <c r="F417" s="26" t="s">
        <v>74</v>
      </c>
      <c r="G417" s="26" t="s">
        <v>29</v>
      </c>
      <c r="H417" s="26" t="s">
        <v>38</v>
      </c>
      <c r="I417" s="27" t="s">
        <v>16</v>
      </c>
      <c r="J417" s="27" t="s">
        <v>18</v>
      </c>
      <c r="K417" s="28">
        <v>362564</v>
      </c>
      <c r="L417" s="28">
        <v>830616</v>
      </c>
      <c r="M417" s="28">
        <v>230390</v>
      </c>
      <c r="N417" s="27" t="s">
        <v>44</v>
      </c>
      <c r="O417" s="28">
        <v>0</v>
      </c>
      <c r="P417" s="29">
        <v>0</v>
      </c>
      <c r="Q417" s="29">
        <v>0</v>
      </c>
      <c r="R417" s="29">
        <v>0</v>
      </c>
      <c r="S417" s="30">
        <v>2016</v>
      </c>
    </row>
    <row r="418" spans="1:19" x14ac:dyDescent="0.2">
      <c r="A418" s="25" t="s">
        <v>70</v>
      </c>
      <c r="B418" s="26" t="s">
        <v>2</v>
      </c>
      <c r="C418" s="26" t="s">
        <v>3</v>
      </c>
      <c r="D418" s="26" t="s">
        <v>37</v>
      </c>
      <c r="E418" s="26" t="s">
        <v>98</v>
      </c>
      <c r="F418" s="26" t="s">
        <v>74</v>
      </c>
      <c r="G418" s="26" t="s">
        <v>29</v>
      </c>
      <c r="H418" s="26" t="s">
        <v>38</v>
      </c>
      <c r="I418" s="27" t="s">
        <v>16</v>
      </c>
      <c r="J418" s="27" t="s">
        <v>18</v>
      </c>
      <c r="K418" s="28">
        <v>362564</v>
      </c>
      <c r="L418" s="28">
        <v>830616</v>
      </c>
      <c r="M418" s="28">
        <v>230390</v>
      </c>
      <c r="N418" s="27" t="s">
        <v>45</v>
      </c>
      <c r="O418" s="28">
        <v>0</v>
      </c>
      <c r="P418" s="29">
        <v>0</v>
      </c>
      <c r="Q418" s="29">
        <v>0</v>
      </c>
      <c r="R418" s="29">
        <v>0</v>
      </c>
      <c r="S418" s="30">
        <v>2016</v>
      </c>
    </row>
    <row r="419" spans="1:19" x14ac:dyDescent="0.2">
      <c r="A419" s="25" t="s">
        <v>70</v>
      </c>
      <c r="B419" s="26" t="s">
        <v>2</v>
      </c>
      <c r="C419" s="26" t="s">
        <v>3</v>
      </c>
      <c r="D419" s="26" t="s">
        <v>37</v>
      </c>
      <c r="E419" s="26" t="s">
        <v>98</v>
      </c>
      <c r="F419" s="26" t="s">
        <v>74</v>
      </c>
      <c r="G419" s="26" t="s">
        <v>29</v>
      </c>
      <c r="H419" s="26" t="s">
        <v>38</v>
      </c>
      <c r="I419" s="27" t="s">
        <v>16</v>
      </c>
      <c r="J419" s="27" t="s">
        <v>18</v>
      </c>
      <c r="K419" s="28">
        <v>362564</v>
      </c>
      <c r="L419" s="28">
        <v>830616</v>
      </c>
      <c r="M419" s="28">
        <v>230390</v>
      </c>
      <c r="N419" s="27" t="s">
        <v>14</v>
      </c>
      <c r="O419" s="31">
        <v>12725794</v>
      </c>
      <c r="P419" s="29">
        <f>'Infrastructure Benchmarks-ref'!$O419/'Infrastructure Benchmarks-ref'!$K419</f>
        <v>35.099441753731753</v>
      </c>
      <c r="Q419" s="29">
        <f>'Infrastructure Benchmarks-ref'!$O419/'Infrastructure Benchmarks-ref'!$L419</f>
        <v>15.320911227330077</v>
      </c>
      <c r="R419" s="29">
        <f>'Infrastructure Benchmarks-ref'!$O419/'Infrastructure Benchmarks-ref'!$M419</f>
        <v>55.235878293328703</v>
      </c>
      <c r="S419" s="30">
        <v>2016</v>
      </c>
    </row>
    <row r="420" spans="1:19" x14ac:dyDescent="0.2">
      <c r="A420" s="25" t="s">
        <v>70</v>
      </c>
      <c r="B420" s="26" t="s">
        <v>2</v>
      </c>
      <c r="C420" s="26" t="s">
        <v>3</v>
      </c>
      <c r="D420" s="26" t="s">
        <v>37</v>
      </c>
      <c r="E420" s="26" t="s">
        <v>98</v>
      </c>
      <c r="F420" s="26" t="s">
        <v>74</v>
      </c>
      <c r="G420" s="26" t="s">
        <v>29</v>
      </c>
      <c r="H420" s="26" t="s">
        <v>38</v>
      </c>
      <c r="I420" s="27" t="s">
        <v>16</v>
      </c>
      <c r="J420" s="27" t="s">
        <v>18</v>
      </c>
      <c r="K420" s="28">
        <v>362564</v>
      </c>
      <c r="L420" s="28">
        <v>830616</v>
      </c>
      <c r="M420" s="28">
        <v>230390</v>
      </c>
      <c r="N420" s="27" t="s">
        <v>22</v>
      </c>
      <c r="O420" s="28">
        <v>30688575</v>
      </c>
      <c r="P420" s="29">
        <f>'Infrastructure Benchmarks-ref'!$O420/'Infrastructure Benchmarks-ref'!$K420</f>
        <v>84.643194029192088</v>
      </c>
      <c r="Q420" s="29">
        <f>'Infrastructure Benchmarks-ref'!$O420/'Infrastructure Benchmarks-ref'!$L420</f>
        <v>36.946766014620472</v>
      </c>
      <c r="R420" s="29">
        <f>'Infrastructure Benchmarks-ref'!$O420/'Infrastructure Benchmarks-ref'!$M420</f>
        <v>133.20272147228613</v>
      </c>
      <c r="S420" s="30">
        <v>2016</v>
      </c>
    </row>
    <row r="421" spans="1:19" x14ac:dyDescent="0.2">
      <c r="A421" s="25" t="s">
        <v>70</v>
      </c>
      <c r="B421" s="26" t="s">
        <v>2</v>
      </c>
      <c r="C421" s="26" t="s">
        <v>3</v>
      </c>
      <c r="D421" s="26" t="s">
        <v>37</v>
      </c>
      <c r="E421" s="26" t="s">
        <v>98</v>
      </c>
      <c r="F421" s="26" t="s">
        <v>74</v>
      </c>
      <c r="G421" s="26" t="s">
        <v>29</v>
      </c>
      <c r="H421" s="26" t="s">
        <v>38</v>
      </c>
      <c r="I421" s="27" t="s">
        <v>16</v>
      </c>
      <c r="J421" s="27" t="s">
        <v>18</v>
      </c>
      <c r="K421" s="28">
        <v>362564</v>
      </c>
      <c r="L421" s="28">
        <v>830616</v>
      </c>
      <c r="M421" s="28">
        <v>230390</v>
      </c>
      <c r="N421" s="27" t="s">
        <v>20</v>
      </c>
      <c r="O421" s="28">
        <v>26997114</v>
      </c>
      <c r="P421" s="29">
        <f>'Infrastructure Benchmarks-ref'!$O421/'Infrastructure Benchmarks-ref'!$K421</f>
        <v>74.461650908529251</v>
      </c>
      <c r="Q421" s="29">
        <f>'Infrastructure Benchmarks-ref'!$O421/'Infrastructure Benchmarks-ref'!$L421</f>
        <v>32.502521020543789</v>
      </c>
      <c r="R421" s="29">
        <f>'Infrastructure Benchmarks-ref'!$O421/'Infrastructure Benchmarks-ref'!$M421</f>
        <v>117.18005989843309</v>
      </c>
      <c r="S421" s="30">
        <v>2016</v>
      </c>
    </row>
    <row r="422" spans="1:19" x14ac:dyDescent="0.2">
      <c r="A422" s="25" t="s">
        <v>70</v>
      </c>
      <c r="B422" s="26" t="s">
        <v>2</v>
      </c>
      <c r="C422" s="26" t="s">
        <v>3</v>
      </c>
      <c r="D422" s="26" t="s">
        <v>37</v>
      </c>
      <c r="E422" s="26" t="s">
        <v>98</v>
      </c>
      <c r="F422" s="26" t="s">
        <v>74</v>
      </c>
      <c r="G422" s="26" t="s">
        <v>29</v>
      </c>
      <c r="H422" s="26" t="s">
        <v>38</v>
      </c>
      <c r="I422" s="27" t="s">
        <v>16</v>
      </c>
      <c r="J422" s="27" t="s">
        <v>18</v>
      </c>
      <c r="K422" s="28">
        <v>362564</v>
      </c>
      <c r="L422" s="28">
        <v>830616</v>
      </c>
      <c r="M422" s="28">
        <v>230390</v>
      </c>
      <c r="N422" s="27" t="s">
        <v>23</v>
      </c>
      <c r="O422" s="31">
        <v>25316052</v>
      </c>
      <c r="P422" s="29">
        <f>'Infrastructure Benchmarks-ref'!$O422/'Infrastructure Benchmarks-ref'!$K422</f>
        <v>69.825057093368343</v>
      </c>
      <c r="Q422" s="29">
        <f>'Infrastructure Benchmarks-ref'!$O422/'Infrastructure Benchmarks-ref'!$L422</f>
        <v>30.478647172700743</v>
      </c>
      <c r="R422" s="29">
        <f>'Infrastructure Benchmarks-ref'!$O422/'Infrastructure Benchmarks-ref'!$M422</f>
        <v>109.88346716437346</v>
      </c>
      <c r="S422" s="32">
        <v>2016</v>
      </c>
    </row>
    <row r="423" spans="1:19" x14ac:dyDescent="0.2">
      <c r="A423" s="25" t="s">
        <v>70</v>
      </c>
      <c r="B423" s="26" t="s">
        <v>2</v>
      </c>
      <c r="C423" s="26" t="s">
        <v>3</v>
      </c>
      <c r="D423" s="26" t="s">
        <v>37</v>
      </c>
      <c r="E423" s="26" t="s">
        <v>98</v>
      </c>
      <c r="F423" s="26" t="s">
        <v>74</v>
      </c>
      <c r="G423" s="26" t="s">
        <v>29</v>
      </c>
      <c r="H423" s="26" t="s">
        <v>38</v>
      </c>
      <c r="I423" s="27" t="s">
        <v>16</v>
      </c>
      <c r="J423" s="27" t="s">
        <v>18</v>
      </c>
      <c r="K423" s="28">
        <v>362564</v>
      </c>
      <c r="L423" s="28">
        <v>830616</v>
      </c>
      <c r="M423" s="28">
        <v>230390</v>
      </c>
      <c r="N423" s="27" t="s">
        <v>43</v>
      </c>
      <c r="O423" s="31">
        <v>26781419</v>
      </c>
      <c r="P423" s="29">
        <f>'Infrastructure Benchmarks-ref'!$O423/'Infrastructure Benchmarks-ref'!$K423</f>
        <v>73.866735252258906</v>
      </c>
      <c r="Q423" s="29">
        <f>'Infrastructure Benchmarks-ref'!$O423/'Infrastructure Benchmarks-ref'!$L423</f>
        <v>32.242840253498606</v>
      </c>
      <c r="R423" s="29">
        <f>'Infrastructure Benchmarks-ref'!$O423/'Infrastructure Benchmarks-ref'!$M423</f>
        <v>116.24384304874343</v>
      </c>
      <c r="S423" s="32">
        <v>2016</v>
      </c>
    </row>
    <row r="424" spans="1:19" x14ac:dyDescent="0.2">
      <c r="A424" s="25" t="s">
        <v>70</v>
      </c>
      <c r="B424" s="26" t="s">
        <v>2</v>
      </c>
      <c r="C424" s="26" t="s">
        <v>3</v>
      </c>
      <c r="D424" s="26" t="s">
        <v>37</v>
      </c>
      <c r="E424" s="26" t="s">
        <v>98</v>
      </c>
      <c r="F424" s="26" t="s">
        <v>74</v>
      </c>
      <c r="G424" s="26" t="s">
        <v>29</v>
      </c>
      <c r="H424" s="26" t="s">
        <v>38</v>
      </c>
      <c r="I424" s="27" t="s">
        <v>16</v>
      </c>
      <c r="J424" s="27" t="s">
        <v>18</v>
      </c>
      <c r="K424" s="28">
        <v>362564</v>
      </c>
      <c r="L424" s="28">
        <v>830616</v>
      </c>
      <c r="M424" s="28">
        <v>230390</v>
      </c>
      <c r="N424" s="27" t="s">
        <v>46</v>
      </c>
      <c r="O424" s="28">
        <v>0</v>
      </c>
      <c r="P424" s="29">
        <v>0</v>
      </c>
      <c r="Q424" s="29">
        <v>0</v>
      </c>
      <c r="R424" s="29">
        <v>0</v>
      </c>
      <c r="S424" s="32">
        <v>2016</v>
      </c>
    </row>
    <row r="425" spans="1:19" x14ac:dyDescent="0.2">
      <c r="A425" s="25" t="s">
        <v>70</v>
      </c>
      <c r="B425" s="26" t="s">
        <v>2</v>
      </c>
      <c r="C425" s="26" t="s">
        <v>3</v>
      </c>
      <c r="D425" s="26" t="s">
        <v>37</v>
      </c>
      <c r="E425" s="26" t="s">
        <v>98</v>
      </c>
      <c r="F425" s="26" t="s">
        <v>74</v>
      </c>
      <c r="G425" s="26" t="s">
        <v>29</v>
      </c>
      <c r="H425" s="26" t="s">
        <v>38</v>
      </c>
      <c r="I425" s="27" t="s">
        <v>16</v>
      </c>
      <c r="J425" s="27" t="s">
        <v>18</v>
      </c>
      <c r="K425" s="28">
        <v>362564</v>
      </c>
      <c r="L425" s="28">
        <v>830616</v>
      </c>
      <c r="M425" s="28">
        <v>230390</v>
      </c>
      <c r="N425" s="27" t="s">
        <v>34</v>
      </c>
      <c r="O425" s="31">
        <v>7571767</v>
      </c>
      <c r="P425" s="29">
        <f>'Infrastructure Benchmarks-ref'!$O425/'Infrastructure Benchmarks-ref'!$K425</f>
        <v>20.883946006773975</v>
      </c>
      <c r="Q425" s="29">
        <f>'Infrastructure Benchmarks-ref'!$O425/'Infrastructure Benchmarks-ref'!$L425</f>
        <v>9.1158453485124298</v>
      </c>
      <c r="R425" s="29">
        <f>'Infrastructure Benchmarks-ref'!$O425/'Infrastructure Benchmarks-ref'!$M425</f>
        <v>32.864998480836839</v>
      </c>
      <c r="S425" s="32">
        <v>2016</v>
      </c>
    </row>
    <row r="426" spans="1:19" x14ac:dyDescent="0.2">
      <c r="A426" s="25" t="s">
        <v>70</v>
      </c>
      <c r="B426" s="26" t="s">
        <v>2</v>
      </c>
      <c r="C426" s="26" t="s">
        <v>3</v>
      </c>
      <c r="D426" s="26" t="s">
        <v>37</v>
      </c>
      <c r="E426" s="26" t="s">
        <v>98</v>
      </c>
      <c r="F426" s="26" t="s">
        <v>74</v>
      </c>
      <c r="G426" s="26" t="s">
        <v>29</v>
      </c>
      <c r="H426" s="26" t="s">
        <v>38</v>
      </c>
      <c r="I426" s="27" t="s">
        <v>16</v>
      </c>
      <c r="J426" s="27" t="s">
        <v>18</v>
      </c>
      <c r="K426" s="28">
        <v>362564</v>
      </c>
      <c r="L426" s="28">
        <v>830616</v>
      </c>
      <c r="M426" s="28">
        <v>230390</v>
      </c>
      <c r="N426" s="27" t="s">
        <v>26</v>
      </c>
      <c r="O426" s="31">
        <v>79549870</v>
      </c>
      <c r="P426" s="29">
        <f>'Infrastructure Benchmarks-ref'!$O426/'Infrastructure Benchmarks-ref'!$K426</f>
        <v>219.40918017232821</v>
      </c>
      <c r="Q426" s="29">
        <f>'Infrastructure Benchmarks-ref'!$O426/'Infrastructure Benchmarks-ref'!$L426</f>
        <v>95.772137786895513</v>
      </c>
      <c r="R426" s="29">
        <f>'Infrastructure Benchmarks-ref'!$O426/'Infrastructure Benchmarks-ref'!$M426</f>
        <v>345.28351924996747</v>
      </c>
      <c r="S426" s="32">
        <v>2016</v>
      </c>
    </row>
    <row r="427" spans="1:19" x14ac:dyDescent="0.2">
      <c r="A427" s="25" t="s">
        <v>70</v>
      </c>
      <c r="B427" s="26" t="s">
        <v>2</v>
      </c>
      <c r="C427" s="26" t="s">
        <v>3</v>
      </c>
      <c r="D427" s="26" t="s">
        <v>37</v>
      </c>
      <c r="E427" s="26" t="s">
        <v>98</v>
      </c>
      <c r="F427" s="26" t="s">
        <v>74</v>
      </c>
      <c r="G427" s="26" t="s">
        <v>29</v>
      </c>
      <c r="H427" s="26" t="s">
        <v>38</v>
      </c>
      <c r="I427" s="27" t="s">
        <v>16</v>
      </c>
      <c r="J427" s="27" t="s">
        <v>18</v>
      </c>
      <c r="K427" s="28">
        <v>362564</v>
      </c>
      <c r="L427" s="28">
        <v>830616</v>
      </c>
      <c r="M427" s="28">
        <v>230390</v>
      </c>
      <c r="N427" s="27" t="s">
        <v>28</v>
      </c>
      <c r="O427" s="31">
        <v>13192103</v>
      </c>
      <c r="P427" s="29">
        <f>'Infrastructure Benchmarks-ref'!$O427/'Infrastructure Benchmarks-ref'!$K427</f>
        <v>36.385584338213391</v>
      </c>
      <c r="Q427" s="29">
        <f>'Infrastructure Benchmarks-ref'!$O427/'Infrastructure Benchmarks-ref'!$L427</f>
        <v>15.882312645073053</v>
      </c>
      <c r="R427" s="29">
        <f>'Infrastructure Benchmarks-ref'!$O427/'Infrastructure Benchmarks-ref'!$M427</f>
        <v>57.259876730760887</v>
      </c>
      <c r="S427" s="32">
        <v>2016</v>
      </c>
    </row>
    <row r="428" spans="1:19" x14ac:dyDescent="0.2">
      <c r="A428" s="25" t="s">
        <v>70</v>
      </c>
      <c r="B428" s="26" t="s">
        <v>2</v>
      </c>
      <c r="C428" s="26" t="s">
        <v>3</v>
      </c>
      <c r="D428" s="26" t="s">
        <v>37</v>
      </c>
      <c r="E428" s="26" t="s">
        <v>98</v>
      </c>
      <c r="F428" s="26" t="s">
        <v>74</v>
      </c>
      <c r="G428" s="26" t="s">
        <v>29</v>
      </c>
      <c r="H428" s="26" t="s">
        <v>38</v>
      </c>
      <c r="I428" s="27" t="s">
        <v>16</v>
      </c>
      <c r="J428" s="27" t="s">
        <v>18</v>
      </c>
      <c r="K428" s="28">
        <v>362564</v>
      </c>
      <c r="L428" s="28">
        <v>830616</v>
      </c>
      <c r="M428" s="28">
        <v>230390</v>
      </c>
      <c r="N428" s="27" t="s">
        <v>47</v>
      </c>
      <c r="O428" s="28">
        <v>2298374</v>
      </c>
      <c r="P428" s="29">
        <f>'Infrastructure Benchmarks-ref'!$O428/'Infrastructure Benchmarks-ref'!$K428</f>
        <v>6.3392228682384353</v>
      </c>
      <c r="Q428" s="29">
        <f>'Infrastructure Benchmarks-ref'!$O428/'Infrastructure Benchmarks-ref'!$L428</f>
        <v>2.7670716672927083</v>
      </c>
      <c r="R428" s="29">
        <f>'Infrastructure Benchmarks-ref'!$O428/'Infrastructure Benchmarks-ref'!$M428</f>
        <v>9.9760145839663181</v>
      </c>
      <c r="S428" s="30">
        <v>2016</v>
      </c>
    </row>
    <row r="429" spans="1:19" x14ac:dyDescent="0.2">
      <c r="A429" s="25" t="s">
        <v>70</v>
      </c>
      <c r="B429" s="26" t="s">
        <v>2</v>
      </c>
      <c r="C429" s="26" t="s">
        <v>3</v>
      </c>
      <c r="D429" s="26" t="s">
        <v>37</v>
      </c>
      <c r="E429" s="26" t="s">
        <v>98</v>
      </c>
      <c r="F429" s="26" t="s">
        <v>74</v>
      </c>
      <c r="G429" s="26" t="s">
        <v>29</v>
      </c>
      <c r="H429" s="26" t="s">
        <v>38</v>
      </c>
      <c r="I429" s="27" t="s">
        <v>16</v>
      </c>
      <c r="J429" s="27" t="s">
        <v>18</v>
      </c>
      <c r="K429" s="28">
        <v>362564</v>
      </c>
      <c r="L429" s="28">
        <v>830616</v>
      </c>
      <c r="M429" s="28">
        <v>230390</v>
      </c>
      <c r="N429" s="27" t="s">
        <v>27</v>
      </c>
      <c r="O429" s="31">
        <v>6484521</v>
      </c>
      <c r="P429" s="29">
        <f>'Infrastructure Benchmarks-ref'!$O429/'Infrastructure Benchmarks-ref'!$K429</f>
        <v>17.885176134420405</v>
      </c>
      <c r="Q429" s="29">
        <f>'Infrastructure Benchmarks-ref'!$O429/'Infrastructure Benchmarks-ref'!$L429</f>
        <v>7.806881880435725</v>
      </c>
      <c r="R429" s="29">
        <f>'Infrastructure Benchmarks-ref'!$O429/'Infrastructure Benchmarks-ref'!$M429</f>
        <v>28.14584400364599</v>
      </c>
      <c r="S429" s="32">
        <v>2016</v>
      </c>
    </row>
    <row r="430" spans="1:19" x14ac:dyDescent="0.2">
      <c r="A430" s="25" t="s">
        <v>70</v>
      </c>
      <c r="B430" s="26" t="s">
        <v>2</v>
      </c>
      <c r="C430" s="26" t="s">
        <v>3</v>
      </c>
      <c r="D430" s="26" t="s">
        <v>37</v>
      </c>
      <c r="E430" s="26" t="s">
        <v>98</v>
      </c>
      <c r="F430" s="26" t="s">
        <v>74</v>
      </c>
      <c r="G430" s="26" t="s">
        <v>29</v>
      </c>
      <c r="H430" s="26" t="s">
        <v>38</v>
      </c>
      <c r="I430" s="27" t="s">
        <v>16</v>
      </c>
      <c r="J430" s="27" t="s">
        <v>18</v>
      </c>
      <c r="K430" s="28">
        <v>362564</v>
      </c>
      <c r="L430" s="28">
        <v>830616</v>
      </c>
      <c r="M430" s="28">
        <v>230390</v>
      </c>
      <c r="N430" s="27" t="s">
        <v>48</v>
      </c>
      <c r="O430" s="28">
        <v>0</v>
      </c>
      <c r="P430" s="29">
        <v>0</v>
      </c>
      <c r="Q430" s="29">
        <v>0</v>
      </c>
      <c r="R430" s="29">
        <v>0</v>
      </c>
      <c r="S430" s="32">
        <v>2016</v>
      </c>
    </row>
    <row r="431" spans="1:19" x14ac:dyDescent="0.2">
      <c r="A431" s="25" t="s">
        <v>70</v>
      </c>
      <c r="B431" s="26" t="s">
        <v>2</v>
      </c>
      <c r="C431" s="26" t="s">
        <v>3</v>
      </c>
      <c r="D431" s="26" t="s">
        <v>37</v>
      </c>
      <c r="E431" s="26" t="s">
        <v>98</v>
      </c>
      <c r="F431" s="26" t="s">
        <v>74</v>
      </c>
      <c r="G431" s="26" t="s">
        <v>29</v>
      </c>
      <c r="H431" s="26" t="s">
        <v>38</v>
      </c>
      <c r="I431" s="27" t="s">
        <v>16</v>
      </c>
      <c r="J431" s="27" t="s">
        <v>18</v>
      </c>
      <c r="K431" s="28">
        <v>362564</v>
      </c>
      <c r="L431" s="28">
        <v>830616</v>
      </c>
      <c r="M431" s="28">
        <v>230390</v>
      </c>
      <c r="N431" s="27" t="s">
        <v>49</v>
      </c>
      <c r="O431" s="28">
        <v>0</v>
      </c>
      <c r="P431" s="29">
        <v>0</v>
      </c>
      <c r="Q431" s="29">
        <v>0</v>
      </c>
      <c r="R431" s="29">
        <v>0</v>
      </c>
      <c r="S431" s="32">
        <v>2016</v>
      </c>
    </row>
    <row r="432" spans="1:19" x14ac:dyDescent="0.2">
      <c r="A432" s="25" t="s">
        <v>70</v>
      </c>
      <c r="B432" s="26" t="s">
        <v>2</v>
      </c>
      <c r="C432" s="26" t="s">
        <v>3</v>
      </c>
      <c r="D432" s="26" t="s">
        <v>37</v>
      </c>
      <c r="E432" s="26" t="s">
        <v>98</v>
      </c>
      <c r="F432" s="26" t="s">
        <v>74</v>
      </c>
      <c r="G432" s="26" t="s">
        <v>29</v>
      </c>
      <c r="H432" s="26" t="s">
        <v>38</v>
      </c>
      <c r="I432" s="27" t="s">
        <v>16</v>
      </c>
      <c r="J432" s="27" t="s">
        <v>18</v>
      </c>
      <c r="K432" s="28">
        <v>362564</v>
      </c>
      <c r="L432" s="28">
        <v>830616</v>
      </c>
      <c r="M432" s="28">
        <v>230390</v>
      </c>
      <c r="N432" s="27" t="s">
        <v>50</v>
      </c>
      <c r="O432" s="28">
        <v>0</v>
      </c>
      <c r="P432" s="29">
        <v>0</v>
      </c>
      <c r="Q432" s="29">
        <v>0</v>
      </c>
      <c r="R432" s="29">
        <v>0</v>
      </c>
      <c r="S432" s="32">
        <v>2016</v>
      </c>
    </row>
    <row r="433" spans="1:19" x14ac:dyDescent="0.2">
      <c r="A433" s="25" t="s">
        <v>70</v>
      </c>
      <c r="B433" s="26" t="s">
        <v>2</v>
      </c>
      <c r="C433" s="26" t="s">
        <v>3</v>
      </c>
      <c r="D433" s="26" t="s">
        <v>37</v>
      </c>
      <c r="E433" s="26" t="s">
        <v>98</v>
      </c>
      <c r="F433" s="26" t="s">
        <v>74</v>
      </c>
      <c r="G433" s="26" t="s">
        <v>29</v>
      </c>
      <c r="H433" s="26" t="s">
        <v>38</v>
      </c>
      <c r="I433" s="27" t="s">
        <v>16</v>
      </c>
      <c r="J433" s="27" t="s">
        <v>18</v>
      </c>
      <c r="K433" s="28">
        <v>362564</v>
      </c>
      <c r="L433" s="28">
        <v>830616</v>
      </c>
      <c r="M433" s="28">
        <v>230390</v>
      </c>
      <c r="N433" s="27" t="s">
        <v>51</v>
      </c>
      <c r="O433" s="28">
        <v>14574097</v>
      </c>
      <c r="P433" s="29">
        <f>'Infrastructure Benchmarks-ref'!$O433/'Infrastructure Benchmarks-ref'!$K433</f>
        <v>40.197308613100034</v>
      </c>
      <c r="Q433" s="29">
        <f>'Infrastructure Benchmarks-ref'!$O433/'Infrastructure Benchmarks-ref'!$L433</f>
        <v>17.546130823388907</v>
      </c>
      <c r="R433" s="29">
        <f>'Infrastructure Benchmarks-ref'!$O433/'Infrastructure Benchmarks-ref'!$M433</f>
        <v>63.258374929467422</v>
      </c>
      <c r="S433" s="32">
        <v>2016</v>
      </c>
    </row>
    <row r="434" spans="1:19" x14ac:dyDescent="0.2">
      <c r="A434" s="25" t="s">
        <v>70</v>
      </c>
      <c r="B434" s="26" t="s">
        <v>2</v>
      </c>
      <c r="C434" s="26" t="s">
        <v>3</v>
      </c>
      <c r="D434" s="26" t="s">
        <v>37</v>
      </c>
      <c r="E434" s="26" t="s">
        <v>98</v>
      </c>
      <c r="F434" s="26" t="s">
        <v>74</v>
      </c>
      <c r="G434" s="26" t="s">
        <v>29</v>
      </c>
      <c r="H434" s="26" t="s">
        <v>38</v>
      </c>
      <c r="I434" s="27" t="s">
        <v>16</v>
      </c>
      <c r="J434" s="27" t="s">
        <v>18</v>
      </c>
      <c r="K434" s="28">
        <v>362564</v>
      </c>
      <c r="L434" s="28">
        <v>830616</v>
      </c>
      <c r="M434" s="28">
        <v>230390</v>
      </c>
      <c r="N434" s="27" t="s">
        <v>52</v>
      </c>
      <c r="O434" s="28">
        <v>11973767</v>
      </c>
      <c r="P434" s="29">
        <f>'Infrastructure Benchmarks-ref'!$O434/'Infrastructure Benchmarks-ref'!$K434</f>
        <v>33.025250714356638</v>
      </c>
      <c r="Q434" s="29">
        <f>'Infrastructure Benchmarks-ref'!$O434/'Infrastructure Benchmarks-ref'!$L434</f>
        <v>14.415526548970885</v>
      </c>
      <c r="R434" s="29">
        <f>'Infrastructure Benchmarks-ref'!$O434/'Infrastructure Benchmarks-ref'!$M434</f>
        <v>51.97173054386041</v>
      </c>
      <c r="S434" s="32">
        <v>2016</v>
      </c>
    </row>
    <row r="435" spans="1:19" x14ac:dyDescent="0.2">
      <c r="A435" s="25" t="s">
        <v>70</v>
      </c>
      <c r="B435" s="26" t="s">
        <v>2</v>
      </c>
      <c r="C435" s="26" t="s">
        <v>3</v>
      </c>
      <c r="D435" s="26" t="s">
        <v>37</v>
      </c>
      <c r="E435" s="26" t="s">
        <v>98</v>
      </c>
      <c r="F435" s="26" t="s">
        <v>74</v>
      </c>
      <c r="G435" s="26" t="s">
        <v>29</v>
      </c>
      <c r="H435" s="26" t="s">
        <v>38</v>
      </c>
      <c r="I435" s="27" t="s">
        <v>16</v>
      </c>
      <c r="J435" s="27" t="s">
        <v>18</v>
      </c>
      <c r="K435" s="28">
        <v>362564</v>
      </c>
      <c r="L435" s="28">
        <v>830616</v>
      </c>
      <c r="M435" s="28">
        <v>230390</v>
      </c>
      <c r="N435" s="27" t="s">
        <v>53</v>
      </c>
      <c r="O435" s="28">
        <v>0</v>
      </c>
      <c r="P435" s="29">
        <v>0</v>
      </c>
      <c r="Q435" s="29">
        <v>0</v>
      </c>
      <c r="R435" s="29">
        <v>0</v>
      </c>
      <c r="S435" s="32">
        <v>2016</v>
      </c>
    </row>
    <row r="436" spans="1:19" x14ac:dyDescent="0.2">
      <c r="A436" s="25" t="s">
        <v>70</v>
      </c>
      <c r="B436" s="26" t="s">
        <v>2</v>
      </c>
      <c r="C436" s="26" t="s">
        <v>3</v>
      </c>
      <c r="D436" s="26" t="s">
        <v>37</v>
      </c>
      <c r="E436" s="26" t="s">
        <v>98</v>
      </c>
      <c r="F436" s="26" t="s">
        <v>74</v>
      </c>
      <c r="G436" s="26" t="s">
        <v>29</v>
      </c>
      <c r="H436" s="26" t="s">
        <v>38</v>
      </c>
      <c r="I436" s="27" t="s">
        <v>16</v>
      </c>
      <c r="J436" s="27" t="s">
        <v>18</v>
      </c>
      <c r="K436" s="28">
        <v>362564</v>
      </c>
      <c r="L436" s="28">
        <v>830616</v>
      </c>
      <c r="M436" s="28">
        <v>230390</v>
      </c>
      <c r="N436" s="27" t="s">
        <v>54</v>
      </c>
      <c r="O436" s="28">
        <v>0</v>
      </c>
      <c r="P436" s="29">
        <v>0</v>
      </c>
      <c r="Q436" s="29">
        <v>0</v>
      </c>
      <c r="R436" s="29">
        <v>0</v>
      </c>
      <c r="S436" s="32">
        <v>2016</v>
      </c>
    </row>
    <row r="437" spans="1:19" x14ac:dyDescent="0.2">
      <c r="A437" s="25" t="s">
        <v>70</v>
      </c>
      <c r="B437" s="26" t="s">
        <v>2</v>
      </c>
      <c r="C437" s="26" t="s">
        <v>3</v>
      </c>
      <c r="D437" s="26" t="s">
        <v>37</v>
      </c>
      <c r="E437" s="26" t="s">
        <v>98</v>
      </c>
      <c r="F437" s="26" t="s">
        <v>74</v>
      </c>
      <c r="G437" s="26" t="s">
        <v>29</v>
      </c>
      <c r="H437" s="26" t="s">
        <v>38</v>
      </c>
      <c r="I437" s="27" t="s">
        <v>16</v>
      </c>
      <c r="J437" s="27" t="s">
        <v>18</v>
      </c>
      <c r="K437" s="28">
        <v>362564</v>
      </c>
      <c r="L437" s="28">
        <v>830616</v>
      </c>
      <c r="M437" s="28">
        <v>230390</v>
      </c>
      <c r="N437" s="27" t="s">
        <v>55</v>
      </c>
      <c r="O437" s="28">
        <v>0</v>
      </c>
      <c r="P437" s="29">
        <v>0</v>
      </c>
      <c r="Q437" s="29">
        <v>0</v>
      </c>
      <c r="R437" s="29">
        <v>0</v>
      </c>
      <c r="S437" s="32">
        <v>2016</v>
      </c>
    </row>
    <row r="438" spans="1:19" x14ac:dyDescent="0.2">
      <c r="A438" s="25" t="s">
        <v>70</v>
      </c>
      <c r="B438" s="26" t="s">
        <v>2</v>
      </c>
      <c r="C438" s="26" t="s">
        <v>3</v>
      </c>
      <c r="D438" s="26" t="s">
        <v>37</v>
      </c>
      <c r="E438" s="26" t="s">
        <v>98</v>
      </c>
      <c r="F438" s="26" t="s">
        <v>74</v>
      </c>
      <c r="G438" s="26" t="s">
        <v>29</v>
      </c>
      <c r="H438" s="26" t="s">
        <v>38</v>
      </c>
      <c r="I438" s="27" t="s">
        <v>16</v>
      </c>
      <c r="J438" s="27" t="s">
        <v>18</v>
      </c>
      <c r="K438" s="28">
        <v>362564</v>
      </c>
      <c r="L438" s="28">
        <v>830616</v>
      </c>
      <c r="M438" s="28">
        <v>230390</v>
      </c>
      <c r="N438" s="27" t="s">
        <v>56</v>
      </c>
      <c r="O438" s="28">
        <v>0</v>
      </c>
      <c r="P438" s="29">
        <v>0</v>
      </c>
      <c r="Q438" s="29">
        <v>0</v>
      </c>
      <c r="R438" s="29">
        <v>0</v>
      </c>
      <c r="S438" s="32">
        <v>2016</v>
      </c>
    </row>
    <row r="439" spans="1:19" x14ac:dyDescent="0.2">
      <c r="A439" s="25" t="s">
        <v>70</v>
      </c>
      <c r="B439" s="26" t="s">
        <v>2</v>
      </c>
      <c r="C439" s="26" t="s">
        <v>3</v>
      </c>
      <c r="D439" s="26" t="s">
        <v>37</v>
      </c>
      <c r="E439" s="26" t="s">
        <v>98</v>
      </c>
      <c r="F439" s="26" t="s">
        <v>74</v>
      </c>
      <c r="G439" s="26" t="s">
        <v>29</v>
      </c>
      <c r="H439" s="26" t="s">
        <v>38</v>
      </c>
      <c r="I439" s="27" t="s">
        <v>16</v>
      </c>
      <c r="J439" s="27" t="s">
        <v>18</v>
      </c>
      <c r="K439" s="28">
        <v>362564</v>
      </c>
      <c r="L439" s="28">
        <v>830616</v>
      </c>
      <c r="M439" s="28">
        <v>230390</v>
      </c>
      <c r="N439" s="27" t="s">
        <v>73</v>
      </c>
      <c r="O439" s="31">
        <f>24307731+6017634</f>
        <v>30325365</v>
      </c>
      <c r="P439" s="29">
        <f>'Infrastructure Benchmarks-ref'!$O439/'Infrastructure Benchmarks-ref'!$K439</f>
        <v>83.641412274798384</v>
      </c>
      <c r="Q439" s="29">
        <f>'Infrastructure Benchmarks-ref'!$O439/'Infrastructure Benchmarks-ref'!$L439</f>
        <v>36.509488138923402</v>
      </c>
      <c r="R439" s="29">
        <f>'Infrastructure Benchmarks-ref'!$O439/'Infrastructure Benchmarks-ref'!$M439</f>
        <v>131.62622075610921</v>
      </c>
      <c r="S439" s="32">
        <v>2016</v>
      </c>
    </row>
    <row r="440" spans="1:19" x14ac:dyDescent="0.2">
      <c r="A440" s="25" t="s">
        <v>70</v>
      </c>
      <c r="B440" s="26" t="s">
        <v>2</v>
      </c>
      <c r="C440" s="26" t="s">
        <v>3</v>
      </c>
      <c r="D440" s="26" t="s">
        <v>37</v>
      </c>
      <c r="E440" s="26" t="s">
        <v>98</v>
      </c>
      <c r="F440" s="26" t="s">
        <v>74</v>
      </c>
      <c r="G440" s="26" t="s">
        <v>29</v>
      </c>
      <c r="H440" s="26" t="s">
        <v>38</v>
      </c>
      <c r="I440" s="27" t="s">
        <v>16</v>
      </c>
      <c r="J440" s="27" t="s">
        <v>18</v>
      </c>
      <c r="K440" s="28">
        <v>362564</v>
      </c>
      <c r="L440" s="28">
        <v>830616</v>
      </c>
      <c r="M440" s="28">
        <v>230390</v>
      </c>
      <c r="N440" s="27" t="s">
        <v>57</v>
      </c>
      <c r="O440" s="31">
        <v>36000000</v>
      </c>
      <c r="P440" s="29">
        <f>'Infrastructure Benchmarks-ref'!$O440/'Infrastructure Benchmarks-ref'!$K440</f>
        <v>99.292814509989967</v>
      </c>
      <c r="Q440" s="29">
        <f>'Infrastructure Benchmarks-ref'!$O440/'Infrastructure Benchmarks-ref'!$L440</f>
        <v>43.341327400387179</v>
      </c>
      <c r="R440" s="29">
        <f>'Infrastructure Benchmarks-ref'!$O440/'Infrastructure Benchmarks-ref'!$M440</f>
        <v>156.25678197838448</v>
      </c>
      <c r="S440" s="32">
        <v>2016</v>
      </c>
    </row>
    <row r="441" spans="1:19" x14ac:dyDescent="0.2">
      <c r="A441" s="25" t="s">
        <v>70</v>
      </c>
      <c r="B441" s="26" t="s">
        <v>2</v>
      </c>
      <c r="C441" s="26" t="s">
        <v>3</v>
      </c>
      <c r="D441" s="26" t="s">
        <v>37</v>
      </c>
      <c r="E441" s="26" t="s">
        <v>98</v>
      </c>
      <c r="F441" s="26" t="s">
        <v>74</v>
      </c>
      <c r="G441" s="26" t="s">
        <v>29</v>
      </c>
      <c r="H441" s="26" t="s">
        <v>38</v>
      </c>
      <c r="I441" s="27" t="s">
        <v>16</v>
      </c>
      <c r="J441" s="27" t="s">
        <v>18</v>
      </c>
      <c r="K441" s="28">
        <v>362564</v>
      </c>
      <c r="L441" s="28">
        <v>830616</v>
      </c>
      <c r="M441" s="28">
        <v>230390</v>
      </c>
      <c r="N441" s="27" t="s">
        <v>58</v>
      </c>
      <c r="O441" s="31">
        <f>(73276983)-(O442+O440)</f>
        <v>25276983</v>
      </c>
      <c r="P441" s="29">
        <f>'Infrastructure Benchmarks-ref'!$O441/'Infrastructure Benchmarks-ref'!$K441</f>
        <v>69.717299566421374</v>
      </c>
      <c r="Q441" s="29">
        <f>'Infrastructure Benchmarks-ref'!$O441/'Infrastructure Benchmarks-ref'!$L441</f>
        <v>30.431610997139472</v>
      </c>
      <c r="R441" s="29">
        <f>'Infrastructure Benchmarks-ref'!$O441/'Infrastructure Benchmarks-ref'!$M441</f>
        <v>109.71388949173141</v>
      </c>
      <c r="S441" s="32">
        <v>2016</v>
      </c>
    </row>
    <row r="442" spans="1:19" x14ac:dyDescent="0.2">
      <c r="A442" s="25" t="s">
        <v>70</v>
      </c>
      <c r="B442" s="26" t="s">
        <v>2</v>
      </c>
      <c r="C442" s="26" t="s">
        <v>3</v>
      </c>
      <c r="D442" s="26" t="s">
        <v>37</v>
      </c>
      <c r="E442" s="26" t="s">
        <v>98</v>
      </c>
      <c r="F442" s="26" t="s">
        <v>74</v>
      </c>
      <c r="G442" s="26" t="s">
        <v>29</v>
      </c>
      <c r="H442" s="26" t="s">
        <v>38</v>
      </c>
      <c r="I442" s="27" t="s">
        <v>16</v>
      </c>
      <c r="J442" s="27" t="s">
        <v>18</v>
      </c>
      <c r="K442" s="28">
        <v>362564</v>
      </c>
      <c r="L442" s="28">
        <v>830616</v>
      </c>
      <c r="M442" s="28">
        <v>230390</v>
      </c>
      <c r="N442" s="27" t="s">
        <v>59</v>
      </c>
      <c r="O442" s="31">
        <v>12000000</v>
      </c>
      <c r="P442" s="29">
        <f>'Infrastructure Benchmarks-ref'!$O442/'Infrastructure Benchmarks-ref'!$K442</f>
        <v>33.097604836663322</v>
      </c>
      <c r="Q442" s="29">
        <f>'Infrastructure Benchmarks-ref'!$O442/'Infrastructure Benchmarks-ref'!$L442</f>
        <v>14.447109133462394</v>
      </c>
      <c r="R442" s="29">
        <f>'Infrastructure Benchmarks-ref'!$O442/'Infrastructure Benchmarks-ref'!$M442</f>
        <v>52.085593992794827</v>
      </c>
      <c r="S442" s="32">
        <v>2016</v>
      </c>
    </row>
    <row r="443" spans="1:19" x14ac:dyDescent="0.2">
      <c r="A443" s="25" t="s">
        <v>70</v>
      </c>
      <c r="B443" s="26" t="s">
        <v>2</v>
      </c>
      <c r="C443" s="26" t="s">
        <v>3</v>
      </c>
      <c r="D443" s="26" t="s">
        <v>37</v>
      </c>
      <c r="E443" s="26" t="s">
        <v>98</v>
      </c>
      <c r="F443" s="26" t="s">
        <v>74</v>
      </c>
      <c r="G443" s="26" t="s">
        <v>29</v>
      </c>
      <c r="H443" s="26" t="s">
        <v>38</v>
      </c>
      <c r="I443" s="27" t="s">
        <v>16</v>
      </c>
      <c r="J443" s="27" t="s">
        <v>18</v>
      </c>
      <c r="K443" s="28">
        <v>362564</v>
      </c>
      <c r="L443" s="28">
        <v>830616</v>
      </c>
      <c r="M443" s="28">
        <v>230390</v>
      </c>
      <c r="N443" s="27" t="s">
        <v>60</v>
      </c>
      <c r="O443" s="28">
        <v>11126209</v>
      </c>
      <c r="P443" s="29">
        <f>'Infrastructure Benchmarks-ref'!$O443/'Infrastructure Benchmarks-ref'!$K443</f>
        <v>30.687572401010581</v>
      </c>
      <c r="Q443" s="29">
        <f>'Infrastructure Benchmarks-ref'!$O443/'Infrastructure Benchmarks-ref'!$L443</f>
        <v>13.395129638725958</v>
      </c>
      <c r="R443" s="29">
        <f>'Infrastructure Benchmarks-ref'!$O443/'Infrastructure Benchmarks-ref'!$M443</f>
        <v>48.292933721081646</v>
      </c>
      <c r="S443" s="32">
        <v>2016</v>
      </c>
    </row>
    <row r="444" spans="1:19" ht="16" thickBot="1" x14ac:dyDescent="0.25">
      <c r="A444" s="25" t="s">
        <v>70</v>
      </c>
      <c r="B444" s="26" t="s">
        <v>2</v>
      </c>
      <c r="C444" s="26" t="s">
        <v>3</v>
      </c>
      <c r="D444" s="26" t="s">
        <v>37</v>
      </c>
      <c r="E444" s="26" t="s">
        <v>98</v>
      </c>
      <c r="F444" s="26" t="s">
        <v>74</v>
      </c>
      <c r="G444" s="26" t="s">
        <v>29</v>
      </c>
      <c r="H444" s="26" t="s">
        <v>38</v>
      </c>
      <c r="I444" s="27" t="s">
        <v>16</v>
      </c>
      <c r="J444" s="27" t="s">
        <v>18</v>
      </c>
      <c r="K444" s="28">
        <v>362564</v>
      </c>
      <c r="L444" s="28">
        <v>830616</v>
      </c>
      <c r="M444" s="28">
        <v>230390</v>
      </c>
      <c r="N444" s="27" t="s">
        <v>61</v>
      </c>
      <c r="O444" s="28">
        <v>0</v>
      </c>
      <c r="P444" s="29">
        <v>0</v>
      </c>
      <c r="Q444" s="29">
        <v>0</v>
      </c>
      <c r="R444" s="29">
        <v>0</v>
      </c>
      <c r="S444" s="32">
        <v>2016</v>
      </c>
    </row>
    <row r="445" spans="1:19" ht="17" thickTop="1" thickBot="1" x14ac:dyDescent="0.25">
      <c r="A445" s="54"/>
      <c r="B445" s="55"/>
      <c r="C445" s="55"/>
      <c r="D445" s="55"/>
      <c r="E445" s="55"/>
      <c r="F445" s="55"/>
      <c r="G445" s="55"/>
      <c r="H445" s="55"/>
      <c r="I445" s="56"/>
      <c r="J445" s="56"/>
      <c r="K445" s="57"/>
      <c r="L445" s="57"/>
      <c r="M445" s="57"/>
      <c r="N445" s="56"/>
      <c r="O445" s="57"/>
      <c r="P445" s="58"/>
      <c r="Q445" s="58"/>
      <c r="R445" s="58"/>
      <c r="S445" s="61"/>
    </row>
    <row r="446" spans="1:19" ht="16" thickTop="1" x14ac:dyDescent="0.2">
      <c r="A446" s="33" t="s">
        <v>70</v>
      </c>
      <c r="B446" s="1" t="s">
        <v>2</v>
      </c>
      <c r="C446" s="1" t="s">
        <v>3</v>
      </c>
      <c r="D446" s="1" t="s">
        <v>75</v>
      </c>
      <c r="E446" s="1" t="s">
        <v>97</v>
      </c>
      <c r="F446" s="1" t="s">
        <v>75</v>
      </c>
      <c r="G446" s="1" t="s">
        <v>29</v>
      </c>
      <c r="H446" s="1" t="s">
        <v>38</v>
      </c>
      <c r="I446" s="4" t="s">
        <v>16</v>
      </c>
      <c r="J446" s="4" t="s">
        <v>18</v>
      </c>
      <c r="K446" s="7">
        <v>121133</v>
      </c>
      <c r="L446" s="7">
        <v>446985</v>
      </c>
      <c r="M446" s="7">
        <v>282420</v>
      </c>
      <c r="N446" s="4" t="s">
        <v>24</v>
      </c>
      <c r="O446" s="7">
        <v>19630039</v>
      </c>
      <c r="P446" s="2">
        <f>'Infrastructure Benchmarks-ref'!$O446/'Infrastructure Benchmarks-ref'!$K446</f>
        <v>162.05360223886143</v>
      </c>
      <c r="Q446" s="2">
        <f>'Infrastructure Benchmarks-ref'!$O446/'Infrastructure Benchmarks-ref'!$L446</f>
        <v>43.916549772363723</v>
      </c>
      <c r="R446" s="2">
        <f>'Infrastructure Benchmarks-ref'!$O446/'Infrastructure Benchmarks-ref'!$M446</f>
        <v>69.506546986757314</v>
      </c>
      <c r="S446" s="34">
        <v>2016</v>
      </c>
    </row>
    <row r="447" spans="1:19" x14ac:dyDescent="0.2">
      <c r="A447" s="25" t="s">
        <v>70</v>
      </c>
      <c r="B447" s="26" t="s">
        <v>2</v>
      </c>
      <c r="C447" s="26" t="s">
        <v>3</v>
      </c>
      <c r="D447" s="26" t="s">
        <v>75</v>
      </c>
      <c r="E447" s="26" t="s">
        <v>97</v>
      </c>
      <c r="F447" s="26" t="s">
        <v>75</v>
      </c>
      <c r="G447" s="26" t="s">
        <v>29</v>
      </c>
      <c r="H447" s="26" t="s">
        <v>38</v>
      </c>
      <c r="I447" s="27" t="s">
        <v>16</v>
      </c>
      <c r="J447" s="27" t="s">
        <v>18</v>
      </c>
      <c r="K447" s="28">
        <v>121133</v>
      </c>
      <c r="L447" s="28">
        <v>446985</v>
      </c>
      <c r="M447" s="28">
        <v>282420</v>
      </c>
      <c r="N447" s="27" t="s">
        <v>44</v>
      </c>
      <c r="O447" s="28">
        <v>0</v>
      </c>
      <c r="P447" s="29">
        <v>0</v>
      </c>
      <c r="Q447" s="29">
        <v>0</v>
      </c>
      <c r="R447" s="29">
        <v>0</v>
      </c>
      <c r="S447" s="30">
        <v>2016</v>
      </c>
    </row>
    <row r="448" spans="1:19" x14ac:dyDescent="0.2">
      <c r="A448" s="25" t="s">
        <v>70</v>
      </c>
      <c r="B448" s="26" t="s">
        <v>2</v>
      </c>
      <c r="C448" s="26" t="s">
        <v>3</v>
      </c>
      <c r="D448" s="26" t="s">
        <v>75</v>
      </c>
      <c r="E448" s="26" t="s">
        <v>97</v>
      </c>
      <c r="F448" s="26" t="s">
        <v>75</v>
      </c>
      <c r="G448" s="26" t="s">
        <v>29</v>
      </c>
      <c r="H448" s="26" t="s">
        <v>38</v>
      </c>
      <c r="I448" s="27" t="s">
        <v>16</v>
      </c>
      <c r="J448" s="27" t="s">
        <v>18</v>
      </c>
      <c r="K448" s="28">
        <v>121133</v>
      </c>
      <c r="L448" s="28">
        <v>446985</v>
      </c>
      <c r="M448" s="28">
        <v>282420</v>
      </c>
      <c r="N448" s="27" t="s">
        <v>45</v>
      </c>
      <c r="O448" s="31">
        <v>121770</v>
      </c>
      <c r="P448" s="29">
        <f>'Infrastructure Benchmarks-ref'!$O448/'Infrastructure Benchmarks-ref'!$K448</f>
        <v>1.0052586826050705</v>
      </c>
      <c r="Q448" s="29">
        <f>'Infrastructure Benchmarks-ref'!$O448/'Infrastructure Benchmarks-ref'!$L448</f>
        <v>0.27242524916943522</v>
      </c>
      <c r="R448" s="29">
        <f>'Infrastructure Benchmarks-ref'!$O448/'Infrastructure Benchmarks-ref'!$M448</f>
        <v>0.43116634799235182</v>
      </c>
      <c r="S448" s="30">
        <v>2016</v>
      </c>
    </row>
    <row r="449" spans="1:19" x14ac:dyDescent="0.2">
      <c r="A449" s="25" t="s">
        <v>70</v>
      </c>
      <c r="B449" s="26" t="s">
        <v>2</v>
      </c>
      <c r="C449" s="26" t="s">
        <v>3</v>
      </c>
      <c r="D449" s="26" t="s">
        <v>75</v>
      </c>
      <c r="E449" s="26" t="s">
        <v>97</v>
      </c>
      <c r="F449" s="26" t="s">
        <v>75</v>
      </c>
      <c r="G449" s="26" t="s">
        <v>29</v>
      </c>
      <c r="H449" s="26" t="s">
        <v>38</v>
      </c>
      <c r="I449" s="27" t="s">
        <v>16</v>
      </c>
      <c r="J449" s="27" t="s">
        <v>18</v>
      </c>
      <c r="K449" s="28">
        <v>121133</v>
      </c>
      <c r="L449" s="28">
        <v>446985</v>
      </c>
      <c r="M449" s="28">
        <v>282420</v>
      </c>
      <c r="N449" s="27" t="s">
        <v>14</v>
      </c>
      <c r="O449" s="31">
        <v>530184</v>
      </c>
      <c r="P449" s="29">
        <f>'Infrastructure Benchmarks-ref'!$O449/'Infrastructure Benchmarks-ref'!$K449</f>
        <v>4.3768750051596177</v>
      </c>
      <c r="Q449" s="29">
        <f>'Infrastructure Benchmarks-ref'!$O449/'Infrastructure Benchmarks-ref'!$L449</f>
        <v>1.1861337628779489</v>
      </c>
      <c r="R449" s="29">
        <f>'Infrastructure Benchmarks-ref'!$O449/'Infrastructure Benchmarks-ref'!$M449</f>
        <v>1.8772891438283408</v>
      </c>
      <c r="S449" s="30">
        <v>2016</v>
      </c>
    </row>
    <row r="450" spans="1:19" x14ac:dyDescent="0.2">
      <c r="A450" s="25" t="s">
        <v>70</v>
      </c>
      <c r="B450" s="26" t="s">
        <v>2</v>
      </c>
      <c r="C450" s="26" t="s">
        <v>3</v>
      </c>
      <c r="D450" s="26" t="s">
        <v>75</v>
      </c>
      <c r="E450" s="26" t="s">
        <v>97</v>
      </c>
      <c r="F450" s="26" t="s">
        <v>75</v>
      </c>
      <c r="G450" s="26" t="s">
        <v>29</v>
      </c>
      <c r="H450" s="26" t="s">
        <v>38</v>
      </c>
      <c r="I450" s="27" t="s">
        <v>16</v>
      </c>
      <c r="J450" s="27" t="s">
        <v>18</v>
      </c>
      <c r="K450" s="28">
        <v>121133</v>
      </c>
      <c r="L450" s="28">
        <v>446985</v>
      </c>
      <c r="M450" s="28">
        <v>282420</v>
      </c>
      <c r="N450" s="27" t="s">
        <v>22</v>
      </c>
      <c r="O450" s="28">
        <v>7580384</v>
      </c>
      <c r="P450" s="29">
        <f>'Infrastructure Benchmarks-ref'!$O450/'Infrastructure Benchmarks-ref'!$K450</f>
        <v>62.579016452989691</v>
      </c>
      <c r="Q450" s="29">
        <f>'Infrastructure Benchmarks-ref'!$O450/'Infrastructure Benchmarks-ref'!$L450</f>
        <v>16.958922558922559</v>
      </c>
      <c r="R450" s="29">
        <f>'Infrastructure Benchmarks-ref'!$O450/'Infrastructure Benchmarks-ref'!$M450</f>
        <v>26.840818638906594</v>
      </c>
      <c r="S450" s="30">
        <v>2016</v>
      </c>
    </row>
    <row r="451" spans="1:19" x14ac:dyDescent="0.2">
      <c r="A451" s="25" t="s">
        <v>70</v>
      </c>
      <c r="B451" s="26" t="s">
        <v>2</v>
      </c>
      <c r="C451" s="26" t="s">
        <v>3</v>
      </c>
      <c r="D451" s="26" t="s">
        <v>75</v>
      </c>
      <c r="E451" s="26" t="s">
        <v>97</v>
      </c>
      <c r="F451" s="26" t="s">
        <v>75</v>
      </c>
      <c r="G451" s="26" t="s">
        <v>29</v>
      </c>
      <c r="H451" s="26" t="s">
        <v>38</v>
      </c>
      <c r="I451" s="27" t="s">
        <v>16</v>
      </c>
      <c r="J451" s="27" t="s">
        <v>18</v>
      </c>
      <c r="K451" s="28">
        <v>121133</v>
      </c>
      <c r="L451" s="28">
        <v>446985</v>
      </c>
      <c r="M451" s="28">
        <v>282420</v>
      </c>
      <c r="N451" s="27" t="s">
        <v>20</v>
      </c>
      <c r="O451" s="28">
        <v>7444687</v>
      </c>
      <c r="P451" s="29">
        <f>'Infrastructure Benchmarks-ref'!$O451/'Infrastructure Benchmarks-ref'!$K451</f>
        <v>61.458784971890402</v>
      </c>
      <c r="Q451" s="29">
        <f>'Infrastructure Benchmarks-ref'!$O451/'Infrastructure Benchmarks-ref'!$L451</f>
        <v>16.655339664641989</v>
      </c>
      <c r="R451" s="29">
        <f>'Infrastructure Benchmarks-ref'!$O451/'Infrastructure Benchmarks-ref'!$M451</f>
        <v>26.36033921110403</v>
      </c>
      <c r="S451" s="30">
        <v>2016</v>
      </c>
    </row>
    <row r="452" spans="1:19" x14ac:dyDescent="0.2">
      <c r="A452" s="25" t="s">
        <v>70</v>
      </c>
      <c r="B452" s="26" t="s">
        <v>2</v>
      </c>
      <c r="C452" s="26" t="s">
        <v>3</v>
      </c>
      <c r="D452" s="26" t="s">
        <v>75</v>
      </c>
      <c r="E452" s="26" t="s">
        <v>97</v>
      </c>
      <c r="F452" s="26" t="s">
        <v>75</v>
      </c>
      <c r="G452" s="26" t="s">
        <v>29</v>
      </c>
      <c r="H452" s="26" t="s">
        <v>38</v>
      </c>
      <c r="I452" s="27" t="s">
        <v>16</v>
      </c>
      <c r="J452" s="27" t="s">
        <v>18</v>
      </c>
      <c r="K452" s="28">
        <v>121133</v>
      </c>
      <c r="L452" s="28">
        <v>446985</v>
      </c>
      <c r="M452" s="28">
        <v>282420</v>
      </c>
      <c r="N452" s="27" t="s">
        <v>23</v>
      </c>
      <c r="O452" s="31">
        <v>6907053</v>
      </c>
      <c r="P452" s="29">
        <f>'Infrastructure Benchmarks-ref'!$O452/'Infrastructure Benchmarks-ref'!$K452</f>
        <v>57.020407320878704</v>
      </c>
      <c r="Q452" s="29">
        <f>'Infrastructure Benchmarks-ref'!$O452/'Infrastructure Benchmarks-ref'!$L452</f>
        <v>15.452538675794489</v>
      </c>
      <c r="R452" s="29">
        <f>'Infrastructure Benchmarks-ref'!$O452/'Infrastructure Benchmarks-ref'!$M452</f>
        <v>24.456670915657533</v>
      </c>
      <c r="S452" s="32">
        <v>2016</v>
      </c>
    </row>
    <row r="453" spans="1:19" x14ac:dyDescent="0.2">
      <c r="A453" s="25" t="s">
        <v>70</v>
      </c>
      <c r="B453" s="26" t="s">
        <v>2</v>
      </c>
      <c r="C453" s="26" t="s">
        <v>3</v>
      </c>
      <c r="D453" s="26" t="s">
        <v>75</v>
      </c>
      <c r="E453" s="26" t="s">
        <v>97</v>
      </c>
      <c r="F453" s="26" t="s">
        <v>75</v>
      </c>
      <c r="G453" s="26" t="s">
        <v>29</v>
      </c>
      <c r="H453" s="26" t="s">
        <v>38</v>
      </c>
      <c r="I453" s="27" t="s">
        <v>16</v>
      </c>
      <c r="J453" s="27" t="s">
        <v>18</v>
      </c>
      <c r="K453" s="28">
        <v>121133</v>
      </c>
      <c r="L453" s="28">
        <v>446985</v>
      </c>
      <c r="M453" s="28">
        <v>282420</v>
      </c>
      <c r="N453" s="27" t="s">
        <v>43</v>
      </c>
      <c r="O453" s="31">
        <v>9697658</v>
      </c>
      <c r="P453" s="29">
        <f>'Infrastructure Benchmarks-ref'!$O453/'Infrastructure Benchmarks-ref'!$K453</f>
        <v>80.057936317931535</v>
      </c>
      <c r="Q453" s="29">
        <f>'Infrastructure Benchmarks-ref'!$O453/'Infrastructure Benchmarks-ref'!$L453</f>
        <v>21.695712384084477</v>
      </c>
      <c r="R453" s="29">
        <f>'Infrastructure Benchmarks-ref'!$O453/'Infrastructure Benchmarks-ref'!$M453</f>
        <v>34.337716875575381</v>
      </c>
      <c r="S453" s="32">
        <v>2016</v>
      </c>
    </row>
    <row r="454" spans="1:19" x14ac:dyDescent="0.2">
      <c r="A454" s="25" t="s">
        <v>70</v>
      </c>
      <c r="B454" s="26" t="s">
        <v>2</v>
      </c>
      <c r="C454" s="26" t="s">
        <v>3</v>
      </c>
      <c r="D454" s="26" t="s">
        <v>75</v>
      </c>
      <c r="E454" s="26" t="s">
        <v>97</v>
      </c>
      <c r="F454" s="26" t="s">
        <v>75</v>
      </c>
      <c r="G454" s="26" t="s">
        <v>29</v>
      </c>
      <c r="H454" s="26" t="s">
        <v>38</v>
      </c>
      <c r="I454" s="27" t="s">
        <v>16</v>
      </c>
      <c r="J454" s="27" t="s">
        <v>18</v>
      </c>
      <c r="K454" s="28">
        <v>121133</v>
      </c>
      <c r="L454" s="28">
        <v>446985</v>
      </c>
      <c r="M454" s="28">
        <v>282420</v>
      </c>
      <c r="N454" s="27" t="s">
        <v>46</v>
      </c>
      <c r="O454" s="28">
        <v>0</v>
      </c>
      <c r="P454" s="29">
        <v>0</v>
      </c>
      <c r="Q454" s="29">
        <v>0</v>
      </c>
      <c r="R454" s="29">
        <v>0</v>
      </c>
      <c r="S454" s="32">
        <v>2016</v>
      </c>
    </row>
    <row r="455" spans="1:19" x14ac:dyDescent="0.2">
      <c r="A455" s="25" t="s">
        <v>70</v>
      </c>
      <c r="B455" s="26" t="s">
        <v>2</v>
      </c>
      <c r="C455" s="26" t="s">
        <v>3</v>
      </c>
      <c r="D455" s="26" t="s">
        <v>75</v>
      </c>
      <c r="E455" s="26" t="s">
        <v>97</v>
      </c>
      <c r="F455" s="26" t="s">
        <v>75</v>
      </c>
      <c r="G455" s="26" t="s">
        <v>29</v>
      </c>
      <c r="H455" s="26" t="s">
        <v>38</v>
      </c>
      <c r="I455" s="27" t="s">
        <v>16</v>
      </c>
      <c r="J455" s="27" t="s">
        <v>18</v>
      </c>
      <c r="K455" s="28">
        <v>121133</v>
      </c>
      <c r="L455" s="28">
        <v>446985</v>
      </c>
      <c r="M455" s="28">
        <v>282420</v>
      </c>
      <c r="N455" s="27" t="s">
        <v>34</v>
      </c>
      <c r="O455" s="31">
        <v>1455302</v>
      </c>
      <c r="P455" s="29">
        <f>'Infrastructure Benchmarks-ref'!$O455/'Infrastructure Benchmarks-ref'!$K455</f>
        <v>12.014083693130692</v>
      </c>
      <c r="Q455" s="29">
        <f>'Infrastructure Benchmarks-ref'!$O455/'Infrastructure Benchmarks-ref'!$L455</f>
        <v>3.2558184279114513</v>
      </c>
      <c r="R455" s="29">
        <f>'Infrastructure Benchmarks-ref'!$O455/'Infrastructure Benchmarks-ref'!$M455</f>
        <v>5.1529707527795479</v>
      </c>
      <c r="S455" s="32">
        <v>2016</v>
      </c>
    </row>
    <row r="456" spans="1:19" x14ac:dyDescent="0.2">
      <c r="A456" s="25" t="s">
        <v>70</v>
      </c>
      <c r="B456" s="26" t="s">
        <v>2</v>
      </c>
      <c r="C456" s="26" t="s">
        <v>3</v>
      </c>
      <c r="D456" s="26" t="s">
        <v>75</v>
      </c>
      <c r="E456" s="26" t="s">
        <v>97</v>
      </c>
      <c r="F456" s="26" t="s">
        <v>75</v>
      </c>
      <c r="G456" s="26" t="s">
        <v>29</v>
      </c>
      <c r="H456" s="26" t="s">
        <v>38</v>
      </c>
      <c r="I456" s="27" t="s">
        <v>16</v>
      </c>
      <c r="J456" s="27" t="s">
        <v>18</v>
      </c>
      <c r="K456" s="28">
        <v>121133</v>
      </c>
      <c r="L456" s="28">
        <v>446985</v>
      </c>
      <c r="M456" s="28">
        <v>282420</v>
      </c>
      <c r="N456" s="27" t="s">
        <v>26</v>
      </c>
      <c r="O456" s="31">
        <v>41746288</v>
      </c>
      <c r="P456" s="29">
        <f>'Infrastructure Benchmarks-ref'!$O456/'Infrastructure Benchmarks-ref'!$K456</f>
        <v>344.63183442992414</v>
      </c>
      <c r="Q456" s="29">
        <f>'Infrastructure Benchmarks-ref'!$O456/'Infrastructure Benchmarks-ref'!$L456</f>
        <v>93.395277246440031</v>
      </c>
      <c r="R456" s="29">
        <f>'Infrastructure Benchmarks-ref'!$O456/'Infrastructure Benchmarks-ref'!$M456</f>
        <v>147.81633028822321</v>
      </c>
      <c r="S456" s="32">
        <v>2016</v>
      </c>
    </row>
    <row r="457" spans="1:19" x14ac:dyDescent="0.2">
      <c r="A457" s="25" t="s">
        <v>70</v>
      </c>
      <c r="B457" s="26" t="s">
        <v>2</v>
      </c>
      <c r="C457" s="26" t="s">
        <v>3</v>
      </c>
      <c r="D457" s="26" t="s">
        <v>75</v>
      </c>
      <c r="E457" s="26" t="s">
        <v>97</v>
      </c>
      <c r="F457" s="26" t="s">
        <v>75</v>
      </c>
      <c r="G457" s="26" t="s">
        <v>29</v>
      </c>
      <c r="H457" s="26" t="s">
        <v>38</v>
      </c>
      <c r="I457" s="27" t="s">
        <v>16</v>
      </c>
      <c r="J457" s="27" t="s">
        <v>18</v>
      </c>
      <c r="K457" s="28">
        <v>121133</v>
      </c>
      <c r="L457" s="28">
        <v>446985</v>
      </c>
      <c r="M457" s="28">
        <v>282420</v>
      </c>
      <c r="N457" s="27" t="s">
        <v>28</v>
      </c>
      <c r="O457" s="31">
        <v>5850657</v>
      </c>
      <c r="P457" s="29">
        <f>'Infrastructure Benchmarks-ref'!$O457/'Infrastructure Benchmarks-ref'!$K457</f>
        <v>48.299447714495635</v>
      </c>
      <c r="Q457" s="29">
        <f>'Infrastructure Benchmarks-ref'!$O457/'Infrastructure Benchmarks-ref'!$L457</f>
        <v>13.089157354273633</v>
      </c>
      <c r="R457" s="29">
        <f>'Infrastructure Benchmarks-ref'!$O457/'Infrastructure Benchmarks-ref'!$M457</f>
        <v>20.716156787762905</v>
      </c>
      <c r="S457" s="32">
        <v>2016</v>
      </c>
    </row>
    <row r="458" spans="1:19" x14ac:dyDescent="0.2">
      <c r="A458" s="25" t="s">
        <v>70</v>
      </c>
      <c r="B458" s="26" t="s">
        <v>2</v>
      </c>
      <c r="C458" s="26" t="s">
        <v>3</v>
      </c>
      <c r="D458" s="26" t="s">
        <v>75</v>
      </c>
      <c r="E458" s="26" t="s">
        <v>97</v>
      </c>
      <c r="F458" s="26" t="s">
        <v>75</v>
      </c>
      <c r="G458" s="26" t="s">
        <v>29</v>
      </c>
      <c r="H458" s="26" t="s">
        <v>38</v>
      </c>
      <c r="I458" s="27" t="s">
        <v>16</v>
      </c>
      <c r="J458" s="27" t="s">
        <v>18</v>
      </c>
      <c r="K458" s="28">
        <v>121133</v>
      </c>
      <c r="L458" s="28">
        <v>446985</v>
      </c>
      <c r="M458" s="28">
        <v>282420</v>
      </c>
      <c r="N458" s="27" t="s">
        <v>47</v>
      </c>
      <c r="O458" s="28">
        <v>0</v>
      </c>
      <c r="P458" s="29">
        <v>0</v>
      </c>
      <c r="Q458" s="29">
        <v>0</v>
      </c>
      <c r="R458" s="29">
        <v>0</v>
      </c>
      <c r="S458" s="30">
        <v>2016</v>
      </c>
    </row>
    <row r="459" spans="1:19" x14ac:dyDescent="0.2">
      <c r="A459" s="25" t="s">
        <v>70</v>
      </c>
      <c r="B459" s="26" t="s">
        <v>2</v>
      </c>
      <c r="C459" s="26" t="s">
        <v>3</v>
      </c>
      <c r="D459" s="26" t="s">
        <v>75</v>
      </c>
      <c r="E459" s="26" t="s">
        <v>97</v>
      </c>
      <c r="F459" s="26" t="s">
        <v>75</v>
      </c>
      <c r="G459" s="26" t="s">
        <v>29</v>
      </c>
      <c r="H459" s="26" t="s">
        <v>38</v>
      </c>
      <c r="I459" s="27" t="s">
        <v>16</v>
      </c>
      <c r="J459" s="27" t="s">
        <v>18</v>
      </c>
      <c r="K459" s="28">
        <v>121133</v>
      </c>
      <c r="L459" s="28">
        <v>446985</v>
      </c>
      <c r="M459" s="28">
        <v>282420</v>
      </c>
      <c r="N459" s="27" t="s">
        <v>27</v>
      </c>
      <c r="O459" s="31">
        <v>7288258</v>
      </c>
      <c r="P459" s="29">
        <f>'Infrastructure Benchmarks-ref'!$O459/'Infrastructure Benchmarks-ref'!$K459</f>
        <v>60.167402772159527</v>
      </c>
      <c r="Q459" s="29">
        <f>'Infrastructure Benchmarks-ref'!$O459/'Infrastructure Benchmarks-ref'!$L459</f>
        <v>16.305374900723738</v>
      </c>
      <c r="R459" s="29">
        <f>'Infrastructure Benchmarks-ref'!$O459/'Infrastructure Benchmarks-ref'!$M459</f>
        <v>25.806451384462857</v>
      </c>
      <c r="S459" s="32">
        <v>2016</v>
      </c>
    </row>
    <row r="460" spans="1:19" x14ac:dyDescent="0.2">
      <c r="A460" s="25" t="s">
        <v>70</v>
      </c>
      <c r="B460" s="26" t="s">
        <v>2</v>
      </c>
      <c r="C460" s="26" t="s">
        <v>3</v>
      </c>
      <c r="D460" s="26" t="s">
        <v>75</v>
      </c>
      <c r="E460" s="26" t="s">
        <v>97</v>
      </c>
      <c r="F460" s="26" t="s">
        <v>75</v>
      </c>
      <c r="G460" s="26" t="s">
        <v>29</v>
      </c>
      <c r="H460" s="26" t="s">
        <v>38</v>
      </c>
      <c r="I460" s="27" t="s">
        <v>16</v>
      </c>
      <c r="J460" s="27" t="s">
        <v>18</v>
      </c>
      <c r="K460" s="28">
        <v>121133</v>
      </c>
      <c r="L460" s="28">
        <v>446985</v>
      </c>
      <c r="M460" s="28">
        <v>282420</v>
      </c>
      <c r="N460" s="27" t="s">
        <v>48</v>
      </c>
      <c r="O460" s="28">
        <v>0</v>
      </c>
      <c r="P460" s="29">
        <v>0</v>
      </c>
      <c r="Q460" s="29">
        <v>0</v>
      </c>
      <c r="R460" s="29">
        <v>0</v>
      </c>
      <c r="S460" s="32">
        <v>2016</v>
      </c>
    </row>
    <row r="461" spans="1:19" x14ac:dyDescent="0.2">
      <c r="A461" s="25" t="s">
        <v>70</v>
      </c>
      <c r="B461" s="26" t="s">
        <v>2</v>
      </c>
      <c r="C461" s="26" t="s">
        <v>3</v>
      </c>
      <c r="D461" s="26" t="s">
        <v>75</v>
      </c>
      <c r="E461" s="26" t="s">
        <v>97</v>
      </c>
      <c r="F461" s="26" t="s">
        <v>75</v>
      </c>
      <c r="G461" s="26" t="s">
        <v>29</v>
      </c>
      <c r="H461" s="26" t="s">
        <v>38</v>
      </c>
      <c r="I461" s="27" t="s">
        <v>16</v>
      </c>
      <c r="J461" s="27" t="s">
        <v>18</v>
      </c>
      <c r="K461" s="28">
        <v>121133</v>
      </c>
      <c r="L461" s="28">
        <v>446985</v>
      </c>
      <c r="M461" s="28">
        <v>282420</v>
      </c>
      <c r="N461" s="27" t="s">
        <v>49</v>
      </c>
      <c r="O461" s="28">
        <v>0</v>
      </c>
      <c r="P461" s="29">
        <v>0</v>
      </c>
      <c r="Q461" s="29">
        <v>0</v>
      </c>
      <c r="R461" s="29">
        <v>0</v>
      </c>
      <c r="S461" s="32">
        <v>2016</v>
      </c>
    </row>
    <row r="462" spans="1:19" x14ac:dyDescent="0.2">
      <c r="A462" s="25" t="s">
        <v>70</v>
      </c>
      <c r="B462" s="26" t="s">
        <v>2</v>
      </c>
      <c r="C462" s="26" t="s">
        <v>3</v>
      </c>
      <c r="D462" s="26" t="s">
        <v>75</v>
      </c>
      <c r="E462" s="26" t="s">
        <v>97</v>
      </c>
      <c r="F462" s="26" t="s">
        <v>75</v>
      </c>
      <c r="G462" s="26" t="s">
        <v>29</v>
      </c>
      <c r="H462" s="26" t="s">
        <v>38</v>
      </c>
      <c r="I462" s="27" t="s">
        <v>16</v>
      </c>
      <c r="J462" s="27" t="s">
        <v>18</v>
      </c>
      <c r="K462" s="28">
        <v>121133</v>
      </c>
      <c r="L462" s="28">
        <v>446985</v>
      </c>
      <c r="M462" s="28">
        <v>282420</v>
      </c>
      <c r="N462" s="27" t="s">
        <v>50</v>
      </c>
      <c r="O462" s="28">
        <v>0</v>
      </c>
      <c r="P462" s="29">
        <v>0</v>
      </c>
      <c r="Q462" s="29">
        <v>0</v>
      </c>
      <c r="R462" s="29">
        <v>0</v>
      </c>
      <c r="S462" s="32">
        <v>2016</v>
      </c>
    </row>
    <row r="463" spans="1:19" x14ac:dyDescent="0.2">
      <c r="A463" s="25" t="s">
        <v>70</v>
      </c>
      <c r="B463" s="26" t="s">
        <v>2</v>
      </c>
      <c r="C463" s="26" t="s">
        <v>3</v>
      </c>
      <c r="D463" s="26" t="s">
        <v>75</v>
      </c>
      <c r="E463" s="26" t="s">
        <v>97</v>
      </c>
      <c r="F463" s="26" t="s">
        <v>75</v>
      </c>
      <c r="G463" s="26" t="s">
        <v>29</v>
      </c>
      <c r="H463" s="26" t="s">
        <v>38</v>
      </c>
      <c r="I463" s="27" t="s">
        <v>16</v>
      </c>
      <c r="J463" s="27" t="s">
        <v>18</v>
      </c>
      <c r="K463" s="28">
        <v>121133</v>
      </c>
      <c r="L463" s="28">
        <v>446985</v>
      </c>
      <c r="M463" s="28">
        <v>282420</v>
      </c>
      <c r="N463" s="27" t="s">
        <v>51</v>
      </c>
      <c r="O463" s="28">
        <v>3506876</v>
      </c>
      <c r="P463" s="29">
        <f>'Infrastructure Benchmarks-ref'!$O463/'Infrastructure Benchmarks-ref'!$K463</f>
        <v>28.950624520155532</v>
      </c>
      <c r="Q463" s="29">
        <f>'Infrastructure Benchmarks-ref'!$O463/'Infrastructure Benchmarks-ref'!$L463</f>
        <v>7.8456234549257804</v>
      </c>
      <c r="R463" s="29">
        <f>'Infrastructure Benchmarks-ref'!$O463/'Infrastructure Benchmarks-ref'!$M463</f>
        <v>12.417236739607677</v>
      </c>
      <c r="S463" s="32">
        <v>2016</v>
      </c>
    </row>
    <row r="464" spans="1:19" x14ac:dyDescent="0.2">
      <c r="A464" s="25" t="s">
        <v>70</v>
      </c>
      <c r="B464" s="26" t="s">
        <v>2</v>
      </c>
      <c r="C464" s="26" t="s">
        <v>3</v>
      </c>
      <c r="D464" s="26" t="s">
        <v>75</v>
      </c>
      <c r="E464" s="26" t="s">
        <v>97</v>
      </c>
      <c r="F464" s="26" t="s">
        <v>75</v>
      </c>
      <c r="G464" s="26" t="s">
        <v>29</v>
      </c>
      <c r="H464" s="26" t="s">
        <v>38</v>
      </c>
      <c r="I464" s="27" t="s">
        <v>16</v>
      </c>
      <c r="J464" s="27" t="s">
        <v>18</v>
      </c>
      <c r="K464" s="28">
        <v>121133</v>
      </c>
      <c r="L464" s="28">
        <v>446985</v>
      </c>
      <c r="M464" s="28">
        <v>282420</v>
      </c>
      <c r="N464" s="27" t="s">
        <v>52</v>
      </c>
      <c r="O464" s="28">
        <v>0</v>
      </c>
      <c r="P464" s="29">
        <v>0</v>
      </c>
      <c r="Q464" s="29">
        <v>0</v>
      </c>
      <c r="R464" s="29">
        <v>0</v>
      </c>
      <c r="S464" s="32">
        <v>2016</v>
      </c>
    </row>
    <row r="465" spans="1:19" x14ac:dyDescent="0.2">
      <c r="A465" s="25" t="s">
        <v>70</v>
      </c>
      <c r="B465" s="26" t="s">
        <v>2</v>
      </c>
      <c r="C465" s="26" t="s">
        <v>3</v>
      </c>
      <c r="D465" s="26" t="s">
        <v>75</v>
      </c>
      <c r="E465" s="26" t="s">
        <v>97</v>
      </c>
      <c r="F465" s="26" t="s">
        <v>75</v>
      </c>
      <c r="G465" s="26" t="s">
        <v>29</v>
      </c>
      <c r="H465" s="26" t="s">
        <v>38</v>
      </c>
      <c r="I465" s="27" t="s">
        <v>16</v>
      </c>
      <c r="J465" s="27" t="s">
        <v>18</v>
      </c>
      <c r="K465" s="28">
        <v>121133</v>
      </c>
      <c r="L465" s="28">
        <v>446985</v>
      </c>
      <c r="M465" s="28">
        <v>282420</v>
      </c>
      <c r="N465" s="27" t="s">
        <v>53</v>
      </c>
      <c r="O465" s="28">
        <v>0</v>
      </c>
      <c r="P465" s="29">
        <v>0</v>
      </c>
      <c r="Q465" s="29">
        <v>0</v>
      </c>
      <c r="R465" s="29">
        <v>0</v>
      </c>
      <c r="S465" s="32">
        <v>2016</v>
      </c>
    </row>
    <row r="466" spans="1:19" x14ac:dyDescent="0.2">
      <c r="A466" s="25" t="s">
        <v>70</v>
      </c>
      <c r="B466" s="26" t="s">
        <v>2</v>
      </c>
      <c r="C466" s="26" t="s">
        <v>3</v>
      </c>
      <c r="D466" s="26" t="s">
        <v>75</v>
      </c>
      <c r="E466" s="26" t="s">
        <v>97</v>
      </c>
      <c r="F466" s="26" t="s">
        <v>75</v>
      </c>
      <c r="G466" s="26" t="s">
        <v>29</v>
      </c>
      <c r="H466" s="26" t="s">
        <v>38</v>
      </c>
      <c r="I466" s="27" t="s">
        <v>16</v>
      </c>
      <c r="J466" s="27" t="s">
        <v>18</v>
      </c>
      <c r="K466" s="28">
        <v>121133</v>
      </c>
      <c r="L466" s="28">
        <v>446985</v>
      </c>
      <c r="M466" s="28">
        <v>282420</v>
      </c>
      <c r="N466" s="27" t="s">
        <v>54</v>
      </c>
      <c r="O466" s="28">
        <v>0</v>
      </c>
      <c r="P466" s="29">
        <v>0</v>
      </c>
      <c r="Q466" s="29">
        <v>0</v>
      </c>
      <c r="R466" s="29">
        <v>0</v>
      </c>
      <c r="S466" s="32">
        <v>2016</v>
      </c>
    </row>
    <row r="467" spans="1:19" x14ac:dyDescent="0.2">
      <c r="A467" s="25" t="s">
        <v>70</v>
      </c>
      <c r="B467" s="26" t="s">
        <v>2</v>
      </c>
      <c r="C467" s="26" t="s">
        <v>3</v>
      </c>
      <c r="D467" s="26" t="s">
        <v>75</v>
      </c>
      <c r="E467" s="26" t="s">
        <v>97</v>
      </c>
      <c r="F467" s="26" t="s">
        <v>75</v>
      </c>
      <c r="G467" s="26" t="s">
        <v>29</v>
      </c>
      <c r="H467" s="26" t="s">
        <v>38</v>
      </c>
      <c r="I467" s="27" t="s">
        <v>16</v>
      </c>
      <c r="J467" s="27" t="s">
        <v>18</v>
      </c>
      <c r="K467" s="28">
        <v>121133</v>
      </c>
      <c r="L467" s="28">
        <v>446985</v>
      </c>
      <c r="M467" s="28">
        <v>282420</v>
      </c>
      <c r="N467" s="27" t="s">
        <v>55</v>
      </c>
      <c r="O467" s="28">
        <v>0</v>
      </c>
      <c r="P467" s="29">
        <v>0</v>
      </c>
      <c r="Q467" s="29">
        <v>0</v>
      </c>
      <c r="R467" s="29">
        <v>0</v>
      </c>
      <c r="S467" s="32">
        <v>2016</v>
      </c>
    </row>
    <row r="468" spans="1:19" x14ac:dyDescent="0.2">
      <c r="A468" s="25" t="s">
        <v>70</v>
      </c>
      <c r="B468" s="26" t="s">
        <v>2</v>
      </c>
      <c r="C468" s="26" t="s">
        <v>3</v>
      </c>
      <c r="D468" s="26" t="s">
        <v>75</v>
      </c>
      <c r="E468" s="26" t="s">
        <v>97</v>
      </c>
      <c r="F468" s="26" t="s">
        <v>75</v>
      </c>
      <c r="G468" s="26" t="s">
        <v>29</v>
      </c>
      <c r="H468" s="26" t="s">
        <v>38</v>
      </c>
      <c r="I468" s="27" t="s">
        <v>16</v>
      </c>
      <c r="J468" s="27" t="s">
        <v>18</v>
      </c>
      <c r="K468" s="28">
        <v>121133</v>
      </c>
      <c r="L468" s="28">
        <v>446985</v>
      </c>
      <c r="M468" s="28">
        <v>282420</v>
      </c>
      <c r="N468" s="27" t="s">
        <v>56</v>
      </c>
      <c r="O468" s="28">
        <v>0</v>
      </c>
      <c r="P468" s="29">
        <v>0</v>
      </c>
      <c r="Q468" s="29">
        <v>0</v>
      </c>
      <c r="R468" s="29">
        <v>0</v>
      </c>
      <c r="S468" s="32">
        <v>2016</v>
      </c>
    </row>
    <row r="469" spans="1:19" x14ac:dyDescent="0.2">
      <c r="A469" s="25" t="s">
        <v>70</v>
      </c>
      <c r="B469" s="26" t="s">
        <v>2</v>
      </c>
      <c r="C469" s="26" t="s">
        <v>3</v>
      </c>
      <c r="D469" s="26" t="s">
        <v>75</v>
      </c>
      <c r="E469" s="26" t="s">
        <v>97</v>
      </c>
      <c r="F469" s="26" t="s">
        <v>75</v>
      </c>
      <c r="G469" s="26" t="s">
        <v>29</v>
      </c>
      <c r="H469" s="26" t="s">
        <v>38</v>
      </c>
      <c r="I469" s="27" t="s">
        <v>16</v>
      </c>
      <c r="J469" s="27" t="s">
        <v>18</v>
      </c>
      <c r="K469" s="28">
        <v>121133</v>
      </c>
      <c r="L469" s="28">
        <v>446985</v>
      </c>
      <c r="M469" s="28">
        <v>282420</v>
      </c>
      <c r="N469" s="27" t="s">
        <v>73</v>
      </c>
      <c r="O469" s="31">
        <v>14953541</v>
      </c>
      <c r="P469" s="29">
        <f>'Infrastructure Benchmarks-ref'!$O469/'Infrastructure Benchmarks-ref'!$K469</f>
        <v>123.44729347081308</v>
      </c>
      <c r="Q469" s="29">
        <f>'Infrastructure Benchmarks-ref'!$O469/'Infrastructure Benchmarks-ref'!$L469</f>
        <v>33.454234482141459</v>
      </c>
      <c r="R469" s="29">
        <f>'Infrastructure Benchmarks-ref'!$O469/'Infrastructure Benchmarks-ref'!$M469</f>
        <v>52.947882586219109</v>
      </c>
      <c r="S469" s="32">
        <v>2016</v>
      </c>
    </row>
    <row r="470" spans="1:19" x14ac:dyDescent="0.2">
      <c r="A470" s="25" t="s">
        <v>70</v>
      </c>
      <c r="B470" s="26" t="s">
        <v>2</v>
      </c>
      <c r="C470" s="26" t="s">
        <v>3</v>
      </c>
      <c r="D470" s="26" t="s">
        <v>75</v>
      </c>
      <c r="E470" s="26" t="s">
        <v>97</v>
      </c>
      <c r="F470" s="26" t="s">
        <v>75</v>
      </c>
      <c r="G470" s="26" t="s">
        <v>29</v>
      </c>
      <c r="H470" s="26" t="s">
        <v>38</v>
      </c>
      <c r="I470" s="27" t="s">
        <v>16</v>
      </c>
      <c r="J470" s="27" t="s">
        <v>18</v>
      </c>
      <c r="K470" s="28">
        <v>121133</v>
      </c>
      <c r="L470" s="28">
        <v>446985</v>
      </c>
      <c r="M470" s="28">
        <v>282420</v>
      </c>
      <c r="N470" s="27" t="s">
        <v>57</v>
      </c>
      <c r="O470" s="31">
        <v>10000000</v>
      </c>
      <c r="P470" s="29">
        <f>'Infrastructure Benchmarks-ref'!$O470/'Infrastructure Benchmarks-ref'!$K470</f>
        <v>82.553887049771745</v>
      </c>
      <c r="Q470" s="29">
        <f>'Infrastructure Benchmarks-ref'!$O470/'Infrastructure Benchmarks-ref'!$L470</f>
        <v>22.37211539537121</v>
      </c>
      <c r="R470" s="29">
        <f>'Infrastructure Benchmarks-ref'!$O470/'Infrastructure Benchmarks-ref'!$M470</f>
        <v>35.408257205580341</v>
      </c>
      <c r="S470" s="32">
        <v>2016</v>
      </c>
    </row>
    <row r="471" spans="1:19" x14ac:dyDescent="0.2">
      <c r="A471" s="25" t="s">
        <v>70</v>
      </c>
      <c r="B471" s="26" t="s">
        <v>2</v>
      </c>
      <c r="C471" s="26" t="s">
        <v>3</v>
      </c>
      <c r="D471" s="26" t="s">
        <v>75</v>
      </c>
      <c r="E471" s="26" t="s">
        <v>97</v>
      </c>
      <c r="F471" s="26" t="s">
        <v>75</v>
      </c>
      <c r="G471" s="26" t="s">
        <v>29</v>
      </c>
      <c r="H471" s="26" t="s">
        <v>38</v>
      </c>
      <c r="I471" s="27" t="s">
        <v>16</v>
      </c>
      <c r="J471" s="27" t="s">
        <v>18</v>
      </c>
      <c r="K471" s="28">
        <v>121133</v>
      </c>
      <c r="L471" s="28">
        <v>446985</v>
      </c>
      <c r="M471" s="28">
        <v>282420</v>
      </c>
      <c r="N471" s="27" t="s">
        <v>58</v>
      </c>
      <c r="O471" s="31">
        <v>18000000</v>
      </c>
      <c r="P471" s="29">
        <f>'Infrastructure Benchmarks-ref'!$O471/'Infrastructure Benchmarks-ref'!$K471</f>
        <v>148.59699668958913</v>
      </c>
      <c r="Q471" s="29">
        <f>'Infrastructure Benchmarks-ref'!$O471/'Infrastructure Benchmarks-ref'!$L471</f>
        <v>40.269807711668179</v>
      </c>
      <c r="R471" s="29">
        <f>'Infrastructure Benchmarks-ref'!$O471/'Infrastructure Benchmarks-ref'!$M471</f>
        <v>63.734862970044617</v>
      </c>
      <c r="S471" s="32">
        <v>2016</v>
      </c>
    </row>
    <row r="472" spans="1:19" x14ac:dyDescent="0.2">
      <c r="A472" s="25" t="s">
        <v>70</v>
      </c>
      <c r="B472" s="26" t="s">
        <v>2</v>
      </c>
      <c r="C472" s="26" t="s">
        <v>3</v>
      </c>
      <c r="D472" s="26" t="s">
        <v>75</v>
      </c>
      <c r="E472" s="26" t="s">
        <v>97</v>
      </c>
      <c r="F472" s="26" t="s">
        <v>75</v>
      </c>
      <c r="G472" s="26" t="s">
        <v>29</v>
      </c>
      <c r="H472" s="26" t="s">
        <v>38</v>
      </c>
      <c r="I472" s="27" t="s">
        <v>16</v>
      </c>
      <c r="J472" s="27" t="s">
        <v>18</v>
      </c>
      <c r="K472" s="28">
        <v>121133</v>
      </c>
      <c r="L472" s="28">
        <v>446985</v>
      </c>
      <c r="M472" s="28">
        <v>282420</v>
      </c>
      <c r="N472" s="27" t="s">
        <v>59</v>
      </c>
      <c r="O472" s="31">
        <v>1950000</v>
      </c>
      <c r="P472" s="29">
        <f>'Infrastructure Benchmarks-ref'!$O472/'Infrastructure Benchmarks-ref'!$K472</f>
        <v>16.098007974705489</v>
      </c>
      <c r="Q472" s="29">
        <f>'Infrastructure Benchmarks-ref'!$O472/'Infrastructure Benchmarks-ref'!$L472</f>
        <v>4.3625625020973855</v>
      </c>
      <c r="R472" s="29">
        <f>'Infrastructure Benchmarks-ref'!$O472/'Infrastructure Benchmarks-ref'!$M472</f>
        <v>6.9046101550881662</v>
      </c>
      <c r="S472" s="32">
        <v>2016</v>
      </c>
    </row>
    <row r="473" spans="1:19" x14ac:dyDescent="0.2">
      <c r="A473" s="25" t="s">
        <v>70</v>
      </c>
      <c r="B473" s="26" t="s">
        <v>2</v>
      </c>
      <c r="C473" s="26" t="s">
        <v>3</v>
      </c>
      <c r="D473" s="26" t="s">
        <v>75</v>
      </c>
      <c r="E473" s="26" t="s">
        <v>97</v>
      </c>
      <c r="F473" s="26" t="s">
        <v>75</v>
      </c>
      <c r="G473" s="26" t="s">
        <v>29</v>
      </c>
      <c r="H473" s="26" t="s">
        <v>38</v>
      </c>
      <c r="I473" s="27" t="s">
        <v>16</v>
      </c>
      <c r="J473" s="27" t="s">
        <v>18</v>
      </c>
      <c r="K473" s="28">
        <v>121133</v>
      </c>
      <c r="L473" s="28">
        <v>446985</v>
      </c>
      <c r="M473" s="28">
        <v>282420</v>
      </c>
      <c r="N473" s="27" t="s">
        <v>60</v>
      </c>
      <c r="O473" s="28">
        <v>0</v>
      </c>
      <c r="P473" s="29">
        <v>0</v>
      </c>
      <c r="Q473" s="29">
        <v>0</v>
      </c>
      <c r="R473" s="29">
        <v>0</v>
      </c>
      <c r="S473" s="32">
        <v>2016</v>
      </c>
    </row>
    <row r="474" spans="1:19" ht="16" thickBot="1" x14ac:dyDescent="0.25">
      <c r="A474" s="25" t="s">
        <v>70</v>
      </c>
      <c r="B474" s="26" t="s">
        <v>2</v>
      </c>
      <c r="C474" s="26" t="s">
        <v>3</v>
      </c>
      <c r="D474" s="26" t="s">
        <v>75</v>
      </c>
      <c r="E474" s="26" t="s">
        <v>97</v>
      </c>
      <c r="F474" s="26" t="s">
        <v>75</v>
      </c>
      <c r="G474" s="26" t="s">
        <v>29</v>
      </c>
      <c r="H474" s="26" t="s">
        <v>38</v>
      </c>
      <c r="I474" s="27" t="s">
        <v>16</v>
      </c>
      <c r="J474" s="27" t="s">
        <v>18</v>
      </c>
      <c r="K474" s="28">
        <v>121133</v>
      </c>
      <c r="L474" s="28">
        <v>446985</v>
      </c>
      <c r="M474" s="28">
        <v>282420</v>
      </c>
      <c r="N474" s="27" t="s">
        <v>61</v>
      </c>
      <c r="O474" s="28">
        <v>14347888</v>
      </c>
      <c r="P474" s="29">
        <f>'Infrastructure Benchmarks-ref'!$O474/'Infrastructure Benchmarks-ref'!$K474</f>
        <v>118.44739253547753</v>
      </c>
      <c r="Q474" s="29">
        <f>'Infrastructure Benchmarks-ref'!$O474/'Infrastructure Benchmarks-ref'!$L474</f>
        <v>32.099260601586181</v>
      </c>
      <c r="R474" s="29">
        <f>'Infrastructure Benchmarks-ref'!$O474/'Infrastructure Benchmarks-ref'!$M474</f>
        <v>50.80337086608597</v>
      </c>
      <c r="S474" s="32">
        <v>2016</v>
      </c>
    </row>
    <row r="475" spans="1:19" ht="17" thickTop="1" thickBot="1" x14ac:dyDescent="0.25">
      <c r="A475" s="54"/>
      <c r="B475" s="55"/>
      <c r="C475" s="55"/>
      <c r="D475" s="55"/>
      <c r="E475" s="55"/>
      <c r="F475" s="55"/>
      <c r="G475" s="55"/>
      <c r="H475" s="55"/>
      <c r="I475" s="56"/>
      <c r="J475" s="56"/>
      <c r="K475" s="57"/>
      <c r="L475" s="57"/>
      <c r="M475" s="57"/>
      <c r="N475" s="56"/>
      <c r="O475" s="57"/>
      <c r="P475" s="58"/>
      <c r="Q475" s="58"/>
      <c r="R475" s="58"/>
      <c r="S475" s="61"/>
    </row>
    <row r="476" spans="1:19" ht="16" thickTop="1" x14ac:dyDescent="0.2">
      <c r="A476" s="33" t="s">
        <v>70</v>
      </c>
      <c r="B476" s="1" t="s">
        <v>2</v>
      </c>
      <c r="C476" s="1" t="s">
        <v>3</v>
      </c>
      <c r="D476" s="1" t="s">
        <v>76</v>
      </c>
      <c r="E476" s="1" t="s">
        <v>96</v>
      </c>
      <c r="F476" s="1" t="s">
        <v>76</v>
      </c>
      <c r="G476" s="1" t="s">
        <v>29</v>
      </c>
      <c r="H476" s="1" t="s">
        <v>38</v>
      </c>
      <c r="I476" s="4" t="s">
        <v>16</v>
      </c>
      <c r="J476" s="4" t="s">
        <v>18</v>
      </c>
      <c r="K476" s="7">
        <v>222037</v>
      </c>
      <c r="L476" s="7">
        <v>645627</v>
      </c>
      <c r="M476" s="7">
        <v>310994</v>
      </c>
      <c r="N476" s="4" t="s">
        <v>24</v>
      </c>
      <c r="O476" s="7">
        <v>21403986</v>
      </c>
      <c r="P476" s="2">
        <f>'Infrastructure Benchmarks-ref'!$O476/'Infrastructure Benchmarks-ref'!$K476</f>
        <v>96.398284970522937</v>
      </c>
      <c r="Q476" s="2">
        <f>'Infrastructure Benchmarks-ref'!$O476/'Infrastructure Benchmarks-ref'!$L476</f>
        <v>33.152247350250221</v>
      </c>
      <c r="R476" s="2">
        <f>'Infrastructure Benchmarks-ref'!$O476/'Infrastructure Benchmarks-ref'!$M476</f>
        <v>68.824433911908272</v>
      </c>
      <c r="S476" s="34">
        <v>2016</v>
      </c>
    </row>
    <row r="477" spans="1:19" x14ac:dyDescent="0.2">
      <c r="A477" s="25" t="s">
        <v>70</v>
      </c>
      <c r="B477" s="26" t="s">
        <v>2</v>
      </c>
      <c r="C477" s="26" t="s">
        <v>3</v>
      </c>
      <c r="D477" s="26" t="s">
        <v>76</v>
      </c>
      <c r="E477" s="26" t="s">
        <v>96</v>
      </c>
      <c r="F477" s="26" t="s">
        <v>76</v>
      </c>
      <c r="G477" s="26" t="s">
        <v>29</v>
      </c>
      <c r="H477" s="26" t="s">
        <v>38</v>
      </c>
      <c r="I477" s="27" t="s">
        <v>16</v>
      </c>
      <c r="J477" s="27" t="s">
        <v>18</v>
      </c>
      <c r="K477" s="28">
        <v>222037</v>
      </c>
      <c r="L477" s="28">
        <v>645627</v>
      </c>
      <c r="M477" s="28">
        <v>310994</v>
      </c>
      <c r="N477" s="27" t="s">
        <v>44</v>
      </c>
      <c r="O477" s="28">
        <v>0</v>
      </c>
      <c r="P477" s="29">
        <v>0</v>
      </c>
      <c r="Q477" s="29">
        <v>0</v>
      </c>
      <c r="R477" s="29">
        <v>0</v>
      </c>
      <c r="S477" s="30">
        <v>2016</v>
      </c>
    </row>
    <row r="478" spans="1:19" x14ac:dyDescent="0.2">
      <c r="A478" s="25" t="s">
        <v>70</v>
      </c>
      <c r="B478" s="26" t="s">
        <v>2</v>
      </c>
      <c r="C478" s="26" t="s">
        <v>3</v>
      </c>
      <c r="D478" s="26" t="s">
        <v>76</v>
      </c>
      <c r="E478" s="26" t="s">
        <v>96</v>
      </c>
      <c r="F478" s="26" t="s">
        <v>76</v>
      </c>
      <c r="G478" s="26" t="s">
        <v>29</v>
      </c>
      <c r="H478" s="26" t="s">
        <v>38</v>
      </c>
      <c r="I478" s="27" t="s">
        <v>16</v>
      </c>
      <c r="J478" s="27" t="s">
        <v>18</v>
      </c>
      <c r="K478" s="28">
        <v>222037</v>
      </c>
      <c r="L478" s="28">
        <v>645627</v>
      </c>
      <c r="M478" s="28">
        <v>310994</v>
      </c>
      <c r="N478" s="27" t="s">
        <v>45</v>
      </c>
      <c r="O478" s="31">
        <v>2074781</v>
      </c>
      <c r="P478" s="29">
        <f>'Infrastructure Benchmarks-ref'!$O478/'Infrastructure Benchmarks-ref'!$K478</f>
        <v>9.3443029765309387</v>
      </c>
      <c r="Q478" s="29">
        <f>'Infrastructure Benchmarks-ref'!$O478/'Infrastructure Benchmarks-ref'!$L478</f>
        <v>3.2135908194669676</v>
      </c>
      <c r="R478" s="29">
        <f>'Infrastructure Benchmarks-ref'!$O478/'Infrastructure Benchmarks-ref'!$M478</f>
        <v>6.671450253059545</v>
      </c>
      <c r="S478" s="30">
        <v>2016</v>
      </c>
    </row>
    <row r="479" spans="1:19" x14ac:dyDescent="0.2">
      <c r="A479" s="25" t="s">
        <v>70</v>
      </c>
      <c r="B479" s="26" t="s">
        <v>2</v>
      </c>
      <c r="C479" s="26" t="s">
        <v>3</v>
      </c>
      <c r="D479" s="26" t="s">
        <v>76</v>
      </c>
      <c r="E479" s="26" t="s">
        <v>96</v>
      </c>
      <c r="F479" s="26" t="s">
        <v>76</v>
      </c>
      <c r="G479" s="26" t="s">
        <v>29</v>
      </c>
      <c r="H479" s="26" t="s">
        <v>38</v>
      </c>
      <c r="I479" s="27" t="s">
        <v>16</v>
      </c>
      <c r="J479" s="27" t="s">
        <v>18</v>
      </c>
      <c r="K479" s="28">
        <v>222037</v>
      </c>
      <c r="L479" s="28">
        <v>645627</v>
      </c>
      <c r="M479" s="28">
        <v>310994</v>
      </c>
      <c r="N479" s="27" t="s">
        <v>14</v>
      </c>
      <c r="O479" s="31">
        <v>9962199</v>
      </c>
      <c r="P479" s="29">
        <f>'Infrastructure Benchmarks-ref'!$O479/'Infrastructure Benchmarks-ref'!$K479</f>
        <v>44.86729238820557</v>
      </c>
      <c r="Q479" s="29">
        <f>'Infrastructure Benchmarks-ref'!$O479/'Infrastructure Benchmarks-ref'!$L479</f>
        <v>15.430270109521443</v>
      </c>
      <c r="R479" s="29">
        <f>'Infrastructure Benchmarks-ref'!$O479/'Infrastructure Benchmarks-ref'!$M479</f>
        <v>32.033412220171449</v>
      </c>
      <c r="S479" s="30">
        <v>2016</v>
      </c>
    </row>
    <row r="480" spans="1:19" x14ac:dyDescent="0.2">
      <c r="A480" s="25" t="s">
        <v>70</v>
      </c>
      <c r="B480" s="26" t="s">
        <v>2</v>
      </c>
      <c r="C480" s="26" t="s">
        <v>3</v>
      </c>
      <c r="D480" s="26" t="s">
        <v>76</v>
      </c>
      <c r="E480" s="26" t="s">
        <v>96</v>
      </c>
      <c r="F480" s="26" t="s">
        <v>76</v>
      </c>
      <c r="G480" s="26" t="s">
        <v>29</v>
      </c>
      <c r="H480" s="26" t="s">
        <v>38</v>
      </c>
      <c r="I480" s="27" t="s">
        <v>16</v>
      </c>
      <c r="J480" s="27" t="s">
        <v>18</v>
      </c>
      <c r="K480" s="28">
        <v>222037</v>
      </c>
      <c r="L480" s="28">
        <v>645627</v>
      </c>
      <c r="M480" s="28">
        <v>310994</v>
      </c>
      <c r="N480" s="27" t="s">
        <v>22</v>
      </c>
      <c r="O480" s="28">
        <v>12680714</v>
      </c>
      <c r="P480" s="29">
        <f>'Infrastructure Benchmarks-ref'!$O480/'Infrastructure Benchmarks-ref'!$K480</f>
        <v>57.110814864189301</v>
      </c>
      <c r="Q480" s="29">
        <f>'Infrastructure Benchmarks-ref'!$O480/'Infrastructure Benchmarks-ref'!$L480</f>
        <v>19.640928895476801</v>
      </c>
      <c r="R480" s="29">
        <f>'Infrastructure Benchmarks-ref'!$O480/'Infrastructure Benchmarks-ref'!$M480</f>
        <v>40.774786651832514</v>
      </c>
      <c r="S480" s="30">
        <v>2016</v>
      </c>
    </row>
    <row r="481" spans="1:19" x14ac:dyDescent="0.2">
      <c r="A481" s="25" t="s">
        <v>70</v>
      </c>
      <c r="B481" s="26" t="s">
        <v>2</v>
      </c>
      <c r="C481" s="26" t="s">
        <v>3</v>
      </c>
      <c r="D481" s="26" t="s">
        <v>76</v>
      </c>
      <c r="E481" s="26" t="s">
        <v>96</v>
      </c>
      <c r="F481" s="26" t="s">
        <v>76</v>
      </c>
      <c r="G481" s="26" t="s">
        <v>29</v>
      </c>
      <c r="H481" s="26" t="s">
        <v>38</v>
      </c>
      <c r="I481" s="27" t="s">
        <v>16</v>
      </c>
      <c r="J481" s="27" t="s">
        <v>18</v>
      </c>
      <c r="K481" s="28">
        <v>222037</v>
      </c>
      <c r="L481" s="28">
        <v>645627</v>
      </c>
      <c r="M481" s="28">
        <v>310994</v>
      </c>
      <c r="N481" s="27" t="s">
        <v>20</v>
      </c>
      <c r="O481" s="28">
        <v>18666427</v>
      </c>
      <c r="P481" s="29">
        <f>'Infrastructure Benchmarks-ref'!$O481/'Infrastructure Benchmarks-ref'!$K481</f>
        <v>84.068993005670222</v>
      </c>
      <c r="Q481" s="29">
        <f>'Infrastructure Benchmarks-ref'!$O481/'Infrastructure Benchmarks-ref'!$L481</f>
        <v>28.912091656637656</v>
      </c>
      <c r="R481" s="29">
        <f>'Infrastructure Benchmarks-ref'!$O481/'Infrastructure Benchmarks-ref'!$M481</f>
        <v>60.021823572158951</v>
      </c>
      <c r="S481" s="30">
        <v>2016</v>
      </c>
    </row>
    <row r="482" spans="1:19" x14ac:dyDescent="0.2">
      <c r="A482" s="25" t="s">
        <v>70</v>
      </c>
      <c r="B482" s="26" t="s">
        <v>2</v>
      </c>
      <c r="C482" s="26" t="s">
        <v>3</v>
      </c>
      <c r="D482" s="26" t="s">
        <v>76</v>
      </c>
      <c r="E482" s="26" t="s">
        <v>96</v>
      </c>
      <c r="F482" s="26" t="s">
        <v>76</v>
      </c>
      <c r="G482" s="26" t="s">
        <v>29</v>
      </c>
      <c r="H482" s="26" t="s">
        <v>38</v>
      </c>
      <c r="I482" s="27" t="s">
        <v>16</v>
      </c>
      <c r="J482" s="27" t="s">
        <v>18</v>
      </c>
      <c r="K482" s="28">
        <v>222037</v>
      </c>
      <c r="L482" s="28">
        <v>645627</v>
      </c>
      <c r="M482" s="28">
        <v>310994</v>
      </c>
      <c r="N482" s="27" t="s">
        <v>23</v>
      </c>
      <c r="O482" s="31">
        <v>12618555</v>
      </c>
      <c r="P482" s="29">
        <f>'Infrastructure Benchmarks-ref'!$O482/'Infrastructure Benchmarks-ref'!$K482</f>
        <v>56.830866026833363</v>
      </c>
      <c r="Q482" s="29">
        <f>'Infrastructure Benchmarks-ref'!$O482/'Infrastructure Benchmarks-ref'!$L482</f>
        <v>19.54465194299495</v>
      </c>
      <c r="R482" s="29">
        <f>'Infrastructure Benchmarks-ref'!$O482/'Infrastructure Benchmarks-ref'!$M482</f>
        <v>40.574914628578043</v>
      </c>
      <c r="S482" s="32">
        <v>2016</v>
      </c>
    </row>
    <row r="483" spans="1:19" x14ac:dyDescent="0.2">
      <c r="A483" s="25" t="s">
        <v>70</v>
      </c>
      <c r="B483" s="26" t="s">
        <v>2</v>
      </c>
      <c r="C483" s="26" t="s">
        <v>3</v>
      </c>
      <c r="D483" s="26" t="s">
        <v>76</v>
      </c>
      <c r="E483" s="26" t="s">
        <v>96</v>
      </c>
      <c r="F483" s="26" t="s">
        <v>76</v>
      </c>
      <c r="G483" s="26" t="s">
        <v>29</v>
      </c>
      <c r="H483" s="26" t="s">
        <v>38</v>
      </c>
      <c r="I483" s="27" t="s">
        <v>16</v>
      </c>
      <c r="J483" s="27" t="s">
        <v>18</v>
      </c>
      <c r="K483" s="28">
        <v>222037</v>
      </c>
      <c r="L483" s="28">
        <v>645627</v>
      </c>
      <c r="M483" s="28">
        <v>310994</v>
      </c>
      <c r="N483" s="27" t="s">
        <v>43</v>
      </c>
      <c r="O483" s="31">
        <v>14591633</v>
      </c>
      <c r="P483" s="29">
        <f>'Infrastructure Benchmarks-ref'!$O483/'Infrastructure Benchmarks-ref'!$K483</f>
        <v>65.717123722622802</v>
      </c>
      <c r="Q483" s="29">
        <f>'Infrastructure Benchmarks-ref'!$O483/'Infrastructure Benchmarks-ref'!$L483</f>
        <v>22.600716822561633</v>
      </c>
      <c r="R483" s="29">
        <f>'Infrastructure Benchmarks-ref'!$O483/'Infrastructure Benchmarks-ref'!$M483</f>
        <v>46.919339279857489</v>
      </c>
      <c r="S483" s="32">
        <v>2016</v>
      </c>
    </row>
    <row r="484" spans="1:19" x14ac:dyDescent="0.2">
      <c r="A484" s="25" t="s">
        <v>70</v>
      </c>
      <c r="B484" s="26" t="s">
        <v>2</v>
      </c>
      <c r="C484" s="26" t="s">
        <v>3</v>
      </c>
      <c r="D484" s="26" t="s">
        <v>76</v>
      </c>
      <c r="E484" s="26" t="s">
        <v>96</v>
      </c>
      <c r="F484" s="26" t="s">
        <v>76</v>
      </c>
      <c r="G484" s="26" t="s">
        <v>29</v>
      </c>
      <c r="H484" s="26" t="s">
        <v>38</v>
      </c>
      <c r="I484" s="27" t="s">
        <v>16</v>
      </c>
      <c r="J484" s="27" t="s">
        <v>18</v>
      </c>
      <c r="K484" s="28">
        <v>222037</v>
      </c>
      <c r="L484" s="28">
        <v>645627</v>
      </c>
      <c r="M484" s="28">
        <v>310994</v>
      </c>
      <c r="N484" s="27" t="s">
        <v>46</v>
      </c>
      <c r="O484" s="28">
        <v>0</v>
      </c>
      <c r="P484" s="29">
        <v>0</v>
      </c>
      <c r="Q484" s="29">
        <v>0</v>
      </c>
      <c r="R484" s="29">
        <v>0</v>
      </c>
      <c r="S484" s="32">
        <v>2016</v>
      </c>
    </row>
    <row r="485" spans="1:19" x14ac:dyDescent="0.2">
      <c r="A485" s="25" t="s">
        <v>70</v>
      </c>
      <c r="B485" s="26" t="s">
        <v>2</v>
      </c>
      <c r="C485" s="26" t="s">
        <v>3</v>
      </c>
      <c r="D485" s="26" t="s">
        <v>76</v>
      </c>
      <c r="E485" s="26" t="s">
        <v>96</v>
      </c>
      <c r="F485" s="26" t="s">
        <v>76</v>
      </c>
      <c r="G485" s="26" t="s">
        <v>29</v>
      </c>
      <c r="H485" s="26" t="s">
        <v>38</v>
      </c>
      <c r="I485" s="27" t="s">
        <v>16</v>
      </c>
      <c r="J485" s="27" t="s">
        <v>18</v>
      </c>
      <c r="K485" s="28">
        <v>222037</v>
      </c>
      <c r="L485" s="28">
        <v>645627</v>
      </c>
      <c r="M485" s="28">
        <v>310994</v>
      </c>
      <c r="N485" s="27" t="s">
        <v>34</v>
      </c>
      <c r="O485" s="31">
        <v>3600347</v>
      </c>
      <c r="P485" s="29">
        <f>'Infrastructure Benchmarks-ref'!$O485/'Infrastructure Benchmarks-ref'!$K485</f>
        <v>16.215076766484867</v>
      </c>
      <c r="Q485" s="29">
        <f>'Infrastructure Benchmarks-ref'!$O485/'Infrastructure Benchmarks-ref'!$L485</f>
        <v>5.5765124444919438</v>
      </c>
      <c r="R485" s="29">
        <f>'Infrastructure Benchmarks-ref'!$O485/'Infrastructure Benchmarks-ref'!$M485</f>
        <v>11.576901805179521</v>
      </c>
      <c r="S485" s="32">
        <v>2016</v>
      </c>
    </row>
    <row r="486" spans="1:19" x14ac:dyDescent="0.2">
      <c r="A486" s="25" t="s">
        <v>70</v>
      </c>
      <c r="B486" s="26" t="s">
        <v>2</v>
      </c>
      <c r="C486" s="26" t="s">
        <v>3</v>
      </c>
      <c r="D486" s="26" t="s">
        <v>76</v>
      </c>
      <c r="E486" s="26" t="s">
        <v>96</v>
      </c>
      <c r="F486" s="26" t="s">
        <v>76</v>
      </c>
      <c r="G486" s="26" t="s">
        <v>29</v>
      </c>
      <c r="H486" s="26" t="s">
        <v>38</v>
      </c>
      <c r="I486" s="27" t="s">
        <v>16</v>
      </c>
      <c r="J486" s="27" t="s">
        <v>18</v>
      </c>
      <c r="K486" s="28">
        <v>222037</v>
      </c>
      <c r="L486" s="28">
        <v>645627</v>
      </c>
      <c r="M486" s="28">
        <v>310994</v>
      </c>
      <c r="N486" s="27" t="s">
        <v>26</v>
      </c>
      <c r="O486" s="31">
        <v>49209846</v>
      </c>
      <c r="P486" s="29">
        <f>'Infrastructure Benchmarks-ref'!$O486/'Infrastructure Benchmarks-ref'!$K486</f>
        <v>221.62903480050622</v>
      </c>
      <c r="Q486" s="29">
        <f>'Infrastructure Benchmarks-ref'!$O486/'Infrastructure Benchmarks-ref'!$L486</f>
        <v>76.220241718515496</v>
      </c>
      <c r="R486" s="29">
        <f>'Infrastructure Benchmarks-ref'!$O486/'Infrastructure Benchmarks-ref'!$M486</f>
        <v>158.23406882447892</v>
      </c>
      <c r="S486" s="32">
        <v>2016</v>
      </c>
    </row>
    <row r="487" spans="1:19" x14ac:dyDescent="0.2">
      <c r="A487" s="25" t="s">
        <v>70</v>
      </c>
      <c r="B487" s="26" t="s">
        <v>2</v>
      </c>
      <c r="C487" s="26" t="s">
        <v>3</v>
      </c>
      <c r="D487" s="26" t="s">
        <v>76</v>
      </c>
      <c r="E487" s="26" t="s">
        <v>96</v>
      </c>
      <c r="F487" s="26" t="s">
        <v>76</v>
      </c>
      <c r="G487" s="26" t="s">
        <v>29</v>
      </c>
      <c r="H487" s="26" t="s">
        <v>38</v>
      </c>
      <c r="I487" s="27" t="s">
        <v>16</v>
      </c>
      <c r="J487" s="27" t="s">
        <v>18</v>
      </c>
      <c r="K487" s="28">
        <v>222037</v>
      </c>
      <c r="L487" s="28">
        <v>645627</v>
      </c>
      <c r="M487" s="28">
        <v>310994</v>
      </c>
      <c r="N487" s="27" t="s">
        <v>28</v>
      </c>
      <c r="O487" s="31">
        <v>6141800</v>
      </c>
      <c r="P487" s="29">
        <f>'Infrastructure Benchmarks-ref'!$O487/'Infrastructure Benchmarks-ref'!$K487</f>
        <v>27.661155573170237</v>
      </c>
      <c r="Q487" s="29">
        <f>'Infrastructure Benchmarks-ref'!$O487/'Infrastructure Benchmarks-ref'!$L487</f>
        <v>9.5129230964628189</v>
      </c>
      <c r="R487" s="29">
        <f>'Infrastructure Benchmarks-ref'!$O487/'Infrastructure Benchmarks-ref'!$M487</f>
        <v>19.748934063036586</v>
      </c>
      <c r="S487" s="32">
        <v>2016</v>
      </c>
    </row>
    <row r="488" spans="1:19" x14ac:dyDescent="0.2">
      <c r="A488" s="25" t="s">
        <v>70</v>
      </c>
      <c r="B488" s="26" t="s">
        <v>2</v>
      </c>
      <c r="C488" s="26" t="s">
        <v>3</v>
      </c>
      <c r="D488" s="26" t="s">
        <v>76</v>
      </c>
      <c r="E488" s="26" t="s">
        <v>96</v>
      </c>
      <c r="F488" s="26" t="s">
        <v>76</v>
      </c>
      <c r="G488" s="26" t="s">
        <v>29</v>
      </c>
      <c r="H488" s="26" t="s">
        <v>38</v>
      </c>
      <c r="I488" s="27" t="s">
        <v>16</v>
      </c>
      <c r="J488" s="27" t="s">
        <v>18</v>
      </c>
      <c r="K488" s="28">
        <v>222037</v>
      </c>
      <c r="L488" s="28">
        <v>645627</v>
      </c>
      <c r="M488" s="28">
        <v>310994</v>
      </c>
      <c r="N488" s="27" t="s">
        <v>47</v>
      </c>
      <c r="O488" s="28">
        <v>2714367</v>
      </c>
      <c r="P488" s="29">
        <f>'Infrastructure Benchmarks-ref'!$O488/'Infrastructure Benchmarks-ref'!$K488</f>
        <v>12.224840904894229</v>
      </c>
      <c r="Q488" s="29">
        <f>'Infrastructure Benchmarks-ref'!$O488/'Infrastructure Benchmarks-ref'!$L488</f>
        <v>4.204234023670014</v>
      </c>
      <c r="R488" s="29">
        <f>'Infrastructure Benchmarks-ref'!$O488/'Infrastructure Benchmarks-ref'!$M488</f>
        <v>8.7280365537598801</v>
      </c>
      <c r="S488" s="30">
        <v>2016</v>
      </c>
    </row>
    <row r="489" spans="1:19" x14ac:dyDescent="0.2">
      <c r="A489" s="25" t="s">
        <v>70</v>
      </c>
      <c r="B489" s="26" t="s">
        <v>2</v>
      </c>
      <c r="C489" s="26" t="s">
        <v>3</v>
      </c>
      <c r="D489" s="26" t="s">
        <v>76</v>
      </c>
      <c r="E489" s="26" t="s">
        <v>96</v>
      </c>
      <c r="F489" s="26" t="s">
        <v>76</v>
      </c>
      <c r="G489" s="26" t="s">
        <v>29</v>
      </c>
      <c r="H489" s="26" t="s">
        <v>38</v>
      </c>
      <c r="I489" s="27" t="s">
        <v>16</v>
      </c>
      <c r="J489" s="27" t="s">
        <v>18</v>
      </c>
      <c r="K489" s="28">
        <v>222037</v>
      </c>
      <c r="L489" s="28">
        <v>645627</v>
      </c>
      <c r="M489" s="28">
        <v>310994</v>
      </c>
      <c r="N489" s="27" t="s">
        <v>27</v>
      </c>
      <c r="O489" s="31">
        <v>6634695</v>
      </c>
      <c r="P489" s="29">
        <f>'Infrastructure Benchmarks-ref'!$O489/'Infrastructure Benchmarks-ref'!$K489</f>
        <v>29.881033341289964</v>
      </c>
      <c r="Q489" s="29">
        <f>'Infrastructure Benchmarks-ref'!$O489/'Infrastructure Benchmarks-ref'!$L489</f>
        <v>10.276359260068119</v>
      </c>
      <c r="R489" s="29">
        <f>'Infrastructure Benchmarks-ref'!$O489/'Infrastructure Benchmarks-ref'!$M489</f>
        <v>21.333836022559922</v>
      </c>
      <c r="S489" s="32">
        <v>2016</v>
      </c>
    </row>
    <row r="490" spans="1:19" x14ac:dyDescent="0.2">
      <c r="A490" s="25" t="s">
        <v>70</v>
      </c>
      <c r="B490" s="26" t="s">
        <v>2</v>
      </c>
      <c r="C490" s="26" t="s">
        <v>3</v>
      </c>
      <c r="D490" s="26" t="s">
        <v>76</v>
      </c>
      <c r="E490" s="26" t="s">
        <v>96</v>
      </c>
      <c r="F490" s="26" t="s">
        <v>76</v>
      </c>
      <c r="G490" s="26" t="s">
        <v>29</v>
      </c>
      <c r="H490" s="26" t="s">
        <v>38</v>
      </c>
      <c r="I490" s="27" t="s">
        <v>16</v>
      </c>
      <c r="J490" s="27" t="s">
        <v>18</v>
      </c>
      <c r="K490" s="28">
        <v>222037</v>
      </c>
      <c r="L490" s="28">
        <v>645627</v>
      </c>
      <c r="M490" s="28">
        <v>310994</v>
      </c>
      <c r="N490" s="27" t="s">
        <v>48</v>
      </c>
      <c r="O490" s="28">
        <v>0</v>
      </c>
      <c r="P490" s="29">
        <v>0</v>
      </c>
      <c r="Q490" s="29">
        <v>0</v>
      </c>
      <c r="R490" s="29">
        <v>0</v>
      </c>
      <c r="S490" s="32">
        <v>2016</v>
      </c>
    </row>
    <row r="491" spans="1:19" x14ac:dyDescent="0.2">
      <c r="A491" s="25" t="s">
        <v>70</v>
      </c>
      <c r="B491" s="26" t="s">
        <v>2</v>
      </c>
      <c r="C491" s="26" t="s">
        <v>3</v>
      </c>
      <c r="D491" s="26" t="s">
        <v>76</v>
      </c>
      <c r="E491" s="26" t="s">
        <v>96</v>
      </c>
      <c r="F491" s="26" t="s">
        <v>76</v>
      </c>
      <c r="G491" s="26" t="s">
        <v>29</v>
      </c>
      <c r="H491" s="26" t="s">
        <v>38</v>
      </c>
      <c r="I491" s="27" t="s">
        <v>16</v>
      </c>
      <c r="J491" s="27" t="s">
        <v>18</v>
      </c>
      <c r="K491" s="28">
        <v>222037</v>
      </c>
      <c r="L491" s="28">
        <v>645627</v>
      </c>
      <c r="M491" s="28">
        <v>310994</v>
      </c>
      <c r="N491" s="27" t="s">
        <v>49</v>
      </c>
      <c r="O491" s="28">
        <v>0</v>
      </c>
      <c r="P491" s="29">
        <v>0</v>
      </c>
      <c r="Q491" s="29">
        <v>0</v>
      </c>
      <c r="R491" s="29">
        <v>0</v>
      </c>
      <c r="S491" s="32">
        <v>2016</v>
      </c>
    </row>
    <row r="492" spans="1:19" x14ac:dyDescent="0.2">
      <c r="A492" s="25" t="s">
        <v>70</v>
      </c>
      <c r="B492" s="26" t="s">
        <v>2</v>
      </c>
      <c r="C492" s="26" t="s">
        <v>3</v>
      </c>
      <c r="D492" s="26" t="s">
        <v>76</v>
      </c>
      <c r="E492" s="26" t="s">
        <v>96</v>
      </c>
      <c r="F492" s="26" t="s">
        <v>76</v>
      </c>
      <c r="G492" s="26" t="s">
        <v>29</v>
      </c>
      <c r="H492" s="26" t="s">
        <v>38</v>
      </c>
      <c r="I492" s="27" t="s">
        <v>16</v>
      </c>
      <c r="J492" s="27" t="s">
        <v>18</v>
      </c>
      <c r="K492" s="28">
        <v>222037</v>
      </c>
      <c r="L492" s="28">
        <v>645627</v>
      </c>
      <c r="M492" s="28">
        <v>310994</v>
      </c>
      <c r="N492" s="27" t="s">
        <v>50</v>
      </c>
      <c r="O492" s="28">
        <v>0</v>
      </c>
      <c r="P492" s="29">
        <v>0</v>
      </c>
      <c r="Q492" s="29">
        <v>0</v>
      </c>
      <c r="R492" s="29">
        <v>0</v>
      </c>
      <c r="S492" s="32">
        <v>2016</v>
      </c>
    </row>
    <row r="493" spans="1:19" x14ac:dyDescent="0.2">
      <c r="A493" s="25" t="s">
        <v>70</v>
      </c>
      <c r="B493" s="26" t="s">
        <v>2</v>
      </c>
      <c r="C493" s="26" t="s">
        <v>3</v>
      </c>
      <c r="D493" s="26" t="s">
        <v>76</v>
      </c>
      <c r="E493" s="26" t="s">
        <v>96</v>
      </c>
      <c r="F493" s="26" t="s">
        <v>76</v>
      </c>
      <c r="G493" s="26" t="s">
        <v>29</v>
      </c>
      <c r="H493" s="26" t="s">
        <v>38</v>
      </c>
      <c r="I493" s="27" t="s">
        <v>16</v>
      </c>
      <c r="J493" s="27" t="s">
        <v>18</v>
      </c>
      <c r="K493" s="28">
        <v>222037</v>
      </c>
      <c r="L493" s="28">
        <v>645627</v>
      </c>
      <c r="M493" s="28">
        <v>310994</v>
      </c>
      <c r="N493" s="27" t="s">
        <v>51</v>
      </c>
      <c r="O493" s="28">
        <v>3731615</v>
      </c>
      <c r="P493" s="29">
        <f>'Infrastructure Benchmarks-ref'!$O493/'Infrastructure Benchmarks-ref'!$K493</f>
        <v>16.806275530654801</v>
      </c>
      <c r="Q493" s="29">
        <f>'Infrastructure Benchmarks-ref'!$O493/'Infrastructure Benchmarks-ref'!$L493</f>
        <v>5.7798310789356702</v>
      </c>
      <c r="R493" s="29">
        <f>'Infrastructure Benchmarks-ref'!$O493/'Infrastructure Benchmarks-ref'!$M493</f>
        <v>11.998993549714786</v>
      </c>
      <c r="S493" s="32">
        <v>2016</v>
      </c>
    </row>
    <row r="494" spans="1:19" x14ac:dyDescent="0.2">
      <c r="A494" s="25" t="s">
        <v>70</v>
      </c>
      <c r="B494" s="26" t="s">
        <v>2</v>
      </c>
      <c r="C494" s="26" t="s">
        <v>3</v>
      </c>
      <c r="D494" s="26" t="s">
        <v>76</v>
      </c>
      <c r="E494" s="26" t="s">
        <v>96</v>
      </c>
      <c r="F494" s="26" t="s">
        <v>76</v>
      </c>
      <c r="G494" s="26" t="s">
        <v>29</v>
      </c>
      <c r="H494" s="26" t="s">
        <v>38</v>
      </c>
      <c r="I494" s="27" t="s">
        <v>16</v>
      </c>
      <c r="J494" s="27" t="s">
        <v>18</v>
      </c>
      <c r="K494" s="28">
        <v>222037</v>
      </c>
      <c r="L494" s="28">
        <v>645627</v>
      </c>
      <c r="M494" s="28">
        <v>310994</v>
      </c>
      <c r="N494" s="27" t="s">
        <v>52</v>
      </c>
      <c r="O494" s="28">
        <v>0</v>
      </c>
      <c r="P494" s="29">
        <v>0</v>
      </c>
      <c r="Q494" s="29">
        <v>0</v>
      </c>
      <c r="R494" s="29">
        <v>0</v>
      </c>
      <c r="S494" s="32">
        <v>2016</v>
      </c>
    </row>
    <row r="495" spans="1:19" x14ac:dyDescent="0.2">
      <c r="A495" s="25" t="s">
        <v>70</v>
      </c>
      <c r="B495" s="26" t="s">
        <v>2</v>
      </c>
      <c r="C495" s="26" t="s">
        <v>3</v>
      </c>
      <c r="D495" s="26" t="s">
        <v>76</v>
      </c>
      <c r="E495" s="26" t="s">
        <v>96</v>
      </c>
      <c r="F495" s="26" t="s">
        <v>76</v>
      </c>
      <c r="G495" s="26" t="s">
        <v>29</v>
      </c>
      <c r="H495" s="26" t="s">
        <v>38</v>
      </c>
      <c r="I495" s="27" t="s">
        <v>16</v>
      </c>
      <c r="J495" s="27" t="s">
        <v>18</v>
      </c>
      <c r="K495" s="28">
        <v>222037</v>
      </c>
      <c r="L495" s="28">
        <v>645627</v>
      </c>
      <c r="M495" s="28">
        <v>310994</v>
      </c>
      <c r="N495" s="27" t="s">
        <v>53</v>
      </c>
      <c r="O495" s="28">
        <v>0</v>
      </c>
      <c r="P495" s="29">
        <v>0</v>
      </c>
      <c r="Q495" s="29">
        <v>0</v>
      </c>
      <c r="R495" s="29">
        <v>0</v>
      </c>
      <c r="S495" s="32">
        <v>2016</v>
      </c>
    </row>
    <row r="496" spans="1:19" x14ac:dyDescent="0.2">
      <c r="A496" s="25" t="s">
        <v>70</v>
      </c>
      <c r="B496" s="26" t="s">
        <v>2</v>
      </c>
      <c r="C496" s="26" t="s">
        <v>3</v>
      </c>
      <c r="D496" s="26" t="s">
        <v>76</v>
      </c>
      <c r="E496" s="26" t="s">
        <v>96</v>
      </c>
      <c r="F496" s="26" t="s">
        <v>76</v>
      </c>
      <c r="G496" s="26" t="s">
        <v>29</v>
      </c>
      <c r="H496" s="26" t="s">
        <v>38</v>
      </c>
      <c r="I496" s="27" t="s">
        <v>16</v>
      </c>
      <c r="J496" s="27" t="s">
        <v>18</v>
      </c>
      <c r="K496" s="28">
        <v>222037</v>
      </c>
      <c r="L496" s="28">
        <v>645627</v>
      </c>
      <c r="M496" s="28">
        <v>310994</v>
      </c>
      <c r="N496" s="27" t="s">
        <v>54</v>
      </c>
      <c r="O496" s="28">
        <v>0</v>
      </c>
      <c r="P496" s="29">
        <v>0</v>
      </c>
      <c r="Q496" s="29">
        <v>0</v>
      </c>
      <c r="R496" s="29">
        <v>0</v>
      </c>
      <c r="S496" s="32">
        <v>2016</v>
      </c>
    </row>
    <row r="497" spans="1:19" x14ac:dyDescent="0.2">
      <c r="A497" s="25" t="s">
        <v>70</v>
      </c>
      <c r="B497" s="26" t="s">
        <v>2</v>
      </c>
      <c r="C497" s="26" t="s">
        <v>3</v>
      </c>
      <c r="D497" s="26" t="s">
        <v>76</v>
      </c>
      <c r="E497" s="26" t="s">
        <v>96</v>
      </c>
      <c r="F497" s="26" t="s">
        <v>76</v>
      </c>
      <c r="G497" s="26" t="s">
        <v>29</v>
      </c>
      <c r="H497" s="26" t="s">
        <v>38</v>
      </c>
      <c r="I497" s="27" t="s">
        <v>16</v>
      </c>
      <c r="J497" s="27" t="s">
        <v>18</v>
      </c>
      <c r="K497" s="28">
        <v>222037</v>
      </c>
      <c r="L497" s="28">
        <v>645627</v>
      </c>
      <c r="M497" s="28">
        <v>310994</v>
      </c>
      <c r="N497" s="27" t="s">
        <v>55</v>
      </c>
      <c r="O497" s="28">
        <v>0</v>
      </c>
      <c r="P497" s="29">
        <v>0</v>
      </c>
      <c r="Q497" s="29">
        <v>0</v>
      </c>
      <c r="R497" s="29">
        <v>0</v>
      </c>
      <c r="S497" s="32">
        <v>2016</v>
      </c>
    </row>
    <row r="498" spans="1:19" x14ac:dyDescent="0.2">
      <c r="A498" s="25" t="s">
        <v>70</v>
      </c>
      <c r="B498" s="26" t="s">
        <v>2</v>
      </c>
      <c r="C498" s="26" t="s">
        <v>3</v>
      </c>
      <c r="D498" s="26" t="s">
        <v>76</v>
      </c>
      <c r="E498" s="26" t="s">
        <v>96</v>
      </c>
      <c r="F498" s="26" t="s">
        <v>76</v>
      </c>
      <c r="G498" s="26" t="s">
        <v>29</v>
      </c>
      <c r="H498" s="26" t="s">
        <v>38</v>
      </c>
      <c r="I498" s="27" t="s">
        <v>16</v>
      </c>
      <c r="J498" s="27" t="s">
        <v>18</v>
      </c>
      <c r="K498" s="28">
        <v>222037</v>
      </c>
      <c r="L498" s="28">
        <v>645627</v>
      </c>
      <c r="M498" s="28">
        <v>310994</v>
      </c>
      <c r="N498" s="27" t="s">
        <v>56</v>
      </c>
      <c r="O498" s="28">
        <v>0</v>
      </c>
      <c r="P498" s="29">
        <v>0</v>
      </c>
      <c r="Q498" s="29">
        <v>0</v>
      </c>
      <c r="R498" s="29">
        <v>0</v>
      </c>
      <c r="S498" s="32">
        <v>2016</v>
      </c>
    </row>
    <row r="499" spans="1:19" x14ac:dyDescent="0.2">
      <c r="A499" s="25" t="s">
        <v>70</v>
      </c>
      <c r="B499" s="26" t="s">
        <v>2</v>
      </c>
      <c r="C499" s="26" t="s">
        <v>3</v>
      </c>
      <c r="D499" s="26" t="s">
        <v>76</v>
      </c>
      <c r="E499" s="26" t="s">
        <v>96</v>
      </c>
      <c r="F499" s="26" t="s">
        <v>76</v>
      </c>
      <c r="G499" s="26" t="s">
        <v>29</v>
      </c>
      <c r="H499" s="26" t="s">
        <v>38</v>
      </c>
      <c r="I499" s="27" t="s">
        <v>16</v>
      </c>
      <c r="J499" s="27" t="s">
        <v>18</v>
      </c>
      <c r="K499" s="28">
        <v>222037</v>
      </c>
      <c r="L499" s="28">
        <v>645627</v>
      </c>
      <c r="M499" s="28">
        <v>310994</v>
      </c>
      <c r="N499" s="27" t="s">
        <v>73</v>
      </c>
      <c r="O499" s="31">
        <v>15387727</v>
      </c>
      <c r="P499" s="29">
        <f>'Infrastructure Benchmarks-ref'!$O499/'Infrastructure Benchmarks-ref'!$K499</f>
        <v>69.302535163058408</v>
      </c>
      <c r="Q499" s="29">
        <f>'Infrastructure Benchmarks-ref'!$O499/'Infrastructure Benchmarks-ref'!$L499</f>
        <v>23.833772441363202</v>
      </c>
      <c r="R499" s="29">
        <f>'Infrastructure Benchmarks-ref'!$O499/'Infrastructure Benchmarks-ref'!$M499</f>
        <v>49.47917644713403</v>
      </c>
      <c r="S499" s="32">
        <v>2016</v>
      </c>
    </row>
    <row r="500" spans="1:19" x14ac:dyDescent="0.2">
      <c r="A500" s="25" t="s">
        <v>70</v>
      </c>
      <c r="B500" s="26" t="s">
        <v>2</v>
      </c>
      <c r="C500" s="26" t="s">
        <v>3</v>
      </c>
      <c r="D500" s="26" t="s">
        <v>76</v>
      </c>
      <c r="E500" s="26" t="s">
        <v>96</v>
      </c>
      <c r="F500" s="26" t="s">
        <v>76</v>
      </c>
      <c r="G500" s="26" t="s">
        <v>29</v>
      </c>
      <c r="H500" s="26" t="s">
        <v>38</v>
      </c>
      <c r="I500" s="27" t="s">
        <v>16</v>
      </c>
      <c r="J500" s="27" t="s">
        <v>18</v>
      </c>
      <c r="K500" s="28">
        <v>222037</v>
      </c>
      <c r="L500" s="28">
        <v>645627</v>
      </c>
      <c r="M500" s="28">
        <v>310994</v>
      </c>
      <c r="N500" s="27" t="s">
        <v>57</v>
      </c>
      <c r="O500" s="31">
        <v>20000000</v>
      </c>
      <c r="P500" s="29">
        <f>'Infrastructure Benchmarks-ref'!$O500/'Infrastructure Benchmarks-ref'!$K500</f>
        <v>90.07507757716057</v>
      </c>
      <c r="Q500" s="29">
        <f>'Infrastructure Benchmarks-ref'!$O500/'Infrastructure Benchmarks-ref'!$L500</f>
        <v>30.977638791438402</v>
      </c>
      <c r="R500" s="29">
        <f>'Infrastructure Benchmarks-ref'!$O500/'Infrastructure Benchmarks-ref'!$M500</f>
        <v>64.309922377923684</v>
      </c>
      <c r="S500" s="32">
        <v>2016</v>
      </c>
    </row>
    <row r="501" spans="1:19" x14ac:dyDescent="0.2">
      <c r="A501" s="25" t="s">
        <v>70</v>
      </c>
      <c r="B501" s="26" t="s">
        <v>2</v>
      </c>
      <c r="C501" s="26" t="s">
        <v>3</v>
      </c>
      <c r="D501" s="26" t="s">
        <v>76</v>
      </c>
      <c r="E501" s="26" t="s">
        <v>96</v>
      </c>
      <c r="F501" s="26" t="s">
        <v>76</v>
      </c>
      <c r="G501" s="26" t="s">
        <v>29</v>
      </c>
      <c r="H501" s="26" t="s">
        <v>38</v>
      </c>
      <c r="I501" s="27" t="s">
        <v>16</v>
      </c>
      <c r="J501" s="27" t="s">
        <v>18</v>
      </c>
      <c r="K501" s="28">
        <v>222037</v>
      </c>
      <c r="L501" s="28">
        <v>645627</v>
      </c>
      <c r="M501" s="28">
        <v>310994</v>
      </c>
      <c r="N501" s="27" t="s">
        <v>58</v>
      </c>
      <c r="O501" s="31">
        <v>20000000</v>
      </c>
      <c r="P501" s="29">
        <f>'Infrastructure Benchmarks-ref'!$O501/'Infrastructure Benchmarks-ref'!$K501</f>
        <v>90.07507757716057</v>
      </c>
      <c r="Q501" s="29">
        <f>'Infrastructure Benchmarks-ref'!$O501/'Infrastructure Benchmarks-ref'!$L501</f>
        <v>30.977638791438402</v>
      </c>
      <c r="R501" s="29">
        <f>'Infrastructure Benchmarks-ref'!$O501/'Infrastructure Benchmarks-ref'!$M501</f>
        <v>64.309922377923684</v>
      </c>
      <c r="S501" s="32">
        <v>2016</v>
      </c>
    </row>
    <row r="502" spans="1:19" x14ac:dyDescent="0.2">
      <c r="A502" s="25" t="s">
        <v>70</v>
      </c>
      <c r="B502" s="26" t="s">
        <v>2</v>
      </c>
      <c r="C502" s="26" t="s">
        <v>3</v>
      </c>
      <c r="D502" s="26" t="s">
        <v>76</v>
      </c>
      <c r="E502" s="26" t="s">
        <v>96</v>
      </c>
      <c r="F502" s="26" t="s">
        <v>76</v>
      </c>
      <c r="G502" s="26" t="s">
        <v>29</v>
      </c>
      <c r="H502" s="26" t="s">
        <v>38</v>
      </c>
      <c r="I502" s="27" t="s">
        <v>16</v>
      </c>
      <c r="J502" s="27" t="s">
        <v>18</v>
      </c>
      <c r="K502" s="28">
        <v>222037</v>
      </c>
      <c r="L502" s="28">
        <v>645627</v>
      </c>
      <c r="M502" s="28">
        <v>310994</v>
      </c>
      <c r="N502" s="27" t="s">
        <v>59</v>
      </c>
      <c r="O502" s="31">
        <v>4500000</v>
      </c>
      <c r="P502" s="29">
        <f>'Infrastructure Benchmarks-ref'!$O502/'Infrastructure Benchmarks-ref'!$K502</f>
        <v>20.266892454861125</v>
      </c>
      <c r="Q502" s="29">
        <f>'Infrastructure Benchmarks-ref'!$O502/'Infrastructure Benchmarks-ref'!$L502</f>
        <v>6.9699687280736402</v>
      </c>
      <c r="R502" s="29">
        <f>'Infrastructure Benchmarks-ref'!$O502/'Infrastructure Benchmarks-ref'!$M502</f>
        <v>14.469732535032831</v>
      </c>
      <c r="S502" s="32">
        <v>2016</v>
      </c>
    </row>
    <row r="503" spans="1:19" x14ac:dyDescent="0.2">
      <c r="A503" s="25" t="s">
        <v>70</v>
      </c>
      <c r="B503" s="26" t="s">
        <v>2</v>
      </c>
      <c r="C503" s="26" t="s">
        <v>3</v>
      </c>
      <c r="D503" s="26" t="s">
        <v>76</v>
      </c>
      <c r="E503" s="26" t="s">
        <v>96</v>
      </c>
      <c r="F503" s="26" t="s">
        <v>76</v>
      </c>
      <c r="G503" s="26" t="s">
        <v>29</v>
      </c>
      <c r="H503" s="26" t="s">
        <v>38</v>
      </c>
      <c r="I503" s="27" t="s">
        <v>16</v>
      </c>
      <c r="J503" s="27" t="s">
        <v>18</v>
      </c>
      <c r="K503" s="28">
        <v>222037</v>
      </c>
      <c r="L503" s="28">
        <v>645627</v>
      </c>
      <c r="M503" s="28">
        <v>310994</v>
      </c>
      <c r="N503" s="27" t="s">
        <v>60</v>
      </c>
      <c r="O503" s="28">
        <v>0</v>
      </c>
      <c r="P503" s="29">
        <v>0</v>
      </c>
      <c r="Q503" s="29">
        <v>0</v>
      </c>
      <c r="R503" s="29">
        <v>0</v>
      </c>
      <c r="S503" s="32">
        <v>2016</v>
      </c>
    </row>
    <row r="504" spans="1:19" ht="16" thickBot="1" x14ac:dyDescent="0.25">
      <c r="A504" s="25" t="s">
        <v>70</v>
      </c>
      <c r="B504" s="26" t="s">
        <v>2</v>
      </c>
      <c r="C504" s="26" t="s">
        <v>3</v>
      </c>
      <c r="D504" s="26" t="s">
        <v>76</v>
      </c>
      <c r="E504" s="26" t="s">
        <v>96</v>
      </c>
      <c r="F504" s="26" t="s">
        <v>76</v>
      </c>
      <c r="G504" s="26" t="s">
        <v>29</v>
      </c>
      <c r="H504" s="26" t="s">
        <v>38</v>
      </c>
      <c r="I504" s="27" t="s">
        <v>16</v>
      </c>
      <c r="J504" s="27" t="s">
        <v>18</v>
      </c>
      <c r="K504" s="28">
        <v>222037</v>
      </c>
      <c r="L504" s="28">
        <v>645627</v>
      </c>
      <c r="M504" s="28">
        <v>310994</v>
      </c>
      <c r="N504" s="27" t="s">
        <v>61</v>
      </c>
      <c r="O504" s="28">
        <v>0</v>
      </c>
      <c r="P504" s="29">
        <v>0</v>
      </c>
      <c r="Q504" s="29">
        <v>0</v>
      </c>
      <c r="R504" s="29">
        <v>0</v>
      </c>
      <c r="S504" s="32">
        <v>2016</v>
      </c>
    </row>
    <row r="505" spans="1:19" ht="17" thickTop="1" thickBot="1" x14ac:dyDescent="0.25">
      <c r="A505" s="54"/>
      <c r="B505" s="55"/>
      <c r="C505" s="55"/>
      <c r="D505" s="55"/>
      <c r="E505" s="55"/>
      <c r="F505" s="55"/>
      <c r="G505" s="55"/>
      <c r="H505" s="55"/>
      <c r="I505" s="56"/>
      <c r="J505" s="56"/>
      <c r="K505" s="57"/>
      <c r="L505" s="57"/>
      <c r="M505" s="57"/>
      <c r="N505" s="56"/>
      <c r="O505" s="57"/>
      <c r="P505" s="58"/>
      <c r="Q505" s="58"/>
      <c r="R505" s="58"/>
      <c r="S505" s="61"/>
    </row>
    <row r="506" spans="1:19" ht="16" thickTop="1" x14ac:dyDescent="0.2">
      <c r="A506" s="33" t="s">
        <v>70</v>
      </c>
      <c r="B506" s="1" t="s">
        <v>2</v>
      </c>
      <c r="C506" s="1" t="s">
        <v>3</v>
      </c>
      <c r="D506" s="1" t="s">
        <v>32</v>
      </c>
      <c r="E506" s="1" t="s">
        <v>93</v>
      </c>
      <c r="F506" s="1" t="s">
        <v>33</v>
      </c>
      <c r="G506" s="1" t="s">
        <v>29</v>
      </c>
      <c r="H506" s="1" t="s">
        <v>78</v>
      </c>
      <c r="I506" s="4" t="s">
        <v>16</v>
      </c>
      <c r="J506" s="4" t="s">
        <v>18</v>
      </c>
      <c r="K506" s="7">
        <v>100434</v>
      </c>
      <c r="L506" s="7">
        <v>223475</v>
      </c>
      <c r="M506" s="7">
        <v>150223</v>
      </c>
      <c r="N506" s="4" t="s">
        <v>24</v>
      </c>
      <c r="O506" s="7">
        <v>3229230</v>
      </c>
      <c r="P506" s="2">
        <f>'Infrastructure Benchmarks-ref'!$O506/'Infrastructure Benchmarks-ref'!$K506</f>
        <v>32.152757034470397</v>
      </c>
      <c r="Q506" s="2">
        <f>'Infrastructure Benchmarks-ref'!$O506/'Infrastructure Benchmarks-ref'!$L506</f>
        <v>14.450072715068799</v>
      </c>
      <c r="R506" s="2">
        <f>'Infrastructure Benchmarks-ref'!$O506/'Infrastructure Benchmarks-ref'!$M506</f>
        <v>21.496242253183599</v>
      </c>
      <c r="S506" s="34">
        <v>2016</v>
      </c>
    </row>
    <row r="507" spans="1:19" x14ac:dyDescent="0.2">
      <c r="A507" s="25" t="s">
        <v>70</v>
      </c>
      <c r="B507" s="26" t="s">
        <v>2</v>
      </c>
      <c r="C507" s="26" t="s">
        <v>3</v>
      </c>
      <c r="D507" s="26" t="s">
        <v>32</v>
      </c>
      <c r="E507" s="26" t="s">
        <v>93</v>
      </c>
      <c r="F507" s="26" t="s">
        <v>33</v>
      </c>
      <c r="G507" s="26" t="s">
        <v>29</v>
      </c>
      <c r="H507" s="26" t="s">
        <v>78</v>
      </c>
      <c r="I507" s="27" t="s">
        <v>16</v>
      </c>
      <c r="J507" s="27" t="s">
        <v>18</v>
      </c>
      <c r="K507" s="28">
        <v>100434</v>
      </c>
      <c r="L507" s="28">
        <v>223475</v>
      </c>
      <c r="M507" s="28">
        <v>150223</v>
      </c>
      <c r="N507" s="27" t="s">
        <v>44</v>
      </c>
      <c r="O507" s="28">
        <v>0</v>
      </c>
      <c r="P507" s="29">
        <v>0</v>
      </c>
      <c r="Q507" s="29">
        <v>0</v>
      </c>
      <c r="R507" s="29">
        <v>0</v>
      </c>
      <c r="S507" s="30">
        <v>2016</v>
      </c>
    </row>
    <row r="508" spans="1:19" x14ac:dyDescent="0.2">
      <c r="A508" s="25" t="s">
        <v>70</v>
      </c>
      <c r="B508" s="26" t="s">
        <v>2</v>
      </c>
      <c r="C508" s="26" t="s">
        <v>3</v>
      </c>
      <c r="D508" s="26" t="s">
        <v>32</v>
      </c>
      <c r="E508" s="26" t="s">
        <v>93</v>
      </c>
      <c r="F508" s="26" t="s">
        <v>33</v>
      </c>
      <c r="G508" s="26" t="s">
        <v>29</v>
      </c>
      <c r="H508" s="26" t="s">
        <v>78</v>
      </c>
      <c r="I508" s="27" t="s">
        <v>16</v>
      </c>
      <c r="J508" s="27" t="s">
        <v>18</v>
      </c>
      <c r="K508" s="28">
        <v>100434</v>
      </c>
      <c r="L508" s="28">
        <v>223475</v>
      </c>
      <c r="M508" s="28">
        <v>150223</v>
      </c>
      <c r="N508" s="27" t="s">
        <v>45</v>
      </c>
      <c r="O508" s="28">
        <v>0</v>
      </c>
      <c r="P508" s="29">
        <v>0</v>
      </c>
      <c r="Q508" s="29">
        <v>0</v>
      </c>
      <c r="R508" s="29">
        <v>0</v>
      </c>
      <c r="S508" s="30">
        <v>2016</v>
      </c>
    </row>
    <row r="509" spans="1:19" x14ac:dyDescent="0.2">
      <c r="A509" s="25" t="s">
        <v>70</v>
      </c>
      <c r="B509" s="26" t="s">
        <v>2</v>
      </c>
      <c r="C509" s="26" t="s">
        <v>3</v>
      </c>
      <c r="D509" s="26" t="s">
        <v>32</v>
      </c>
      <c r="E509" s="26" t="s">
        <v>93</v>
      </c>
      <c r="F509" s="26" t="s">
        <v>33</v>
      </c>
      <c r="G509" s="26" t="s">
        <v>29</v>
      </c>
      <c r="H509" s="26" t="s">
        <v>78</v>
      </c>
      <c r="I509" s="27" t="s">
        <v>16</v>
      </c>
      <c r="J509" s="27" t="s">
        <v>18</v>
      </c>
      <c r="K509" s="28">
        <v>100434</v>
      </c>
      <c r="L509" s="28">
        <v>223475</v>
      </c>
      <c r="M509" s="28">
        <v>150223</v>
      </c>
      <c r="N509" s="27" t="s">
        <v>14</v>
      </c>
      <c r="O509" s="31">
        <v>1306500</v>
      </c>
      <c r="P509" s="29">
        <f>'Infrastructure Benchmarks-ref'!$O509/'Infrastructure Benchmarks-ref'!$K509</f>
        <v>13.008542923711094</v>
      </c>
      <c r="Q509" s="29">
        <f>'Infrastructure Benchmarks-ref'!$O509/'Infrastructure Benchmarks-ref'!$L509</f>
        <v>5.8462915314912181</v>
      </c>
      <c r="R509" s="29">
        <f>'Infrastructure Benchmarks-ref'!$O509/'Infrastructure Benchmarks-ref'!$M509</f>
        <v>8.6970703554049642</v>
      </c>
      <c r="S509" s="30">
        <v>2016</v>
      </c>
    </row>
    <row r="510" spans="1:19" x14ac:dyDescent="0.2">
      <c r="A510" s="25" t="s">
        <v>70</v>
      </c>
      <c r="B510" s="26" t="s">
        <v>2</v>
      </c>
      <c r="C510" s="26" t="s">
        <v>3</v>
      </c>
      <c r="D510" s="26" t="s">
        <v>32</v>
      </c>
      <c r="E510" s="26" t="s">
        <v>93</v>
      </c>
      <c r="F510" s="26" t="s">
        <v>33</v>
      </c>
      <c r="G510" s="26" t="s">
        <v>29</v>
      </c>
      <c r="H510" s="26" t="s">
        <v>78</v>
      </c>
      <c r="I510" s="27" t="s">
        <v>16</v>
      </c>
      <c r="J510" s="27" t="s">
        <v>18</v>
      </c>
      <c r="K510" s="28">
        <v>100434</v>
      </c>
      <c r="L510" s="28">
        <v>223475</v>
      </c>
      <c r="M510" s="28">
        <v>150223</v>
      </c>
      <c r="N510" s="27" t="s">
        <v>22</v>
      </c>
      <c r="O510" s="28">
        <v>6087803</v>
      </c>
      <c r="P510" s="29">
        <f>'Infrastructure Benchmarks-ref'!$O510/'Infrastructure Benchmarks-ref'!$K510</f>
        <v>60.61496106896071</v>
      </c>
      <c r="Q510" s="29">
        <f>'Infrastructure Benchmarks-ref'!$O510/'Infrastructure Benchmarks-ref'!$L510</f>
        <v>27.241539322071819</v>
      </c>
      <c r="R510" s="29">
        <f>'Infrastructure Benchmarks-ref'!$O510/'Infrastructure Benchmarks-ref'!$M510</f>
        <v>40.525106009066519</v>
      </c>
      <c r="S510" s="30">
        <v>2016</v>
      </c>
    </row>
    <row r="511" spans="1:19" x14ac:dyDescent="0.2">
      <c r="A511" s="25" t="s">
        <v>70</v>
      </c>
      <c r="B511" s="26" t="s">
        <v>2</v>
      </c>
      <c r="C511" s="26" t="s">
        <v>3</v>
      </c>
      <c r="D511" s="26" t="s">
        <v>32</v>
      </c>
      <c r="E511" s="26" t="s">
        <v>93</v>
      </c>
      <c r="F511" s="26" t="s">
        <v>33</v>
      </c>
      <c r="G511" s="26" t="s">
        <v>29</v>
      </c>
      <c r="H511" s="26" t="s">
        <v>78</v>
      </c>
      <c r="I511" s="27" t="s">
        <v>16</v>
      </c>
      <c r="J511" s="27" t="s">
        <v>18</v>
      </c>
      <c r="K511" s="28">
        <v>100434</v>
      </c>
      <c r="L511" s="28">
        <v>223475</v>
      </c>
      <c r="M511" s="28">
        <v>150223</v>
      </c>
      <c r="N511" s="27" t="s">
        <v>20</v>
      </c>
      <c r="O511" s="28">
        <v>4303883</v>
      </c>
      <c r="P511" s="29">
        <f>'Infrastructure Benchmarks-ref'!$O511/'Infrastructure Benchmarks-ref'!$K511</f>
        <v>42.852848636915787</v>
      </c>
      <c r="Q511" s="29">
        <f>'Infrastructure Benchmarks-ref'!$O511/'Infrastructure Benchmarks-ref'!$L511</f>
        <v>19.258901443114443</v>
      </c>
      <c r="R511" s="29">
        <f>'Infrastructure Benchmarks-ref'!$O511/'Infrastructure Benchmarks-ref'!$M511</f>
        <v>28.649960392216904</v>
      </c>
      <c r="S511" s="30">
        <v>2016</v>
      </c>
    </row>
    <row r="512" spans="1:19" x14ac:dyDescent="0.2">
      <c r="A512" s="25" t="s">
        <v>70</v>
      </c>
      <c r="B512" s="26" t="s">
        <v>2</v>
      </c>
      <c r="C512" s="26" t="s">
        <v>3</v>
      </c>
      <c r="D512" s="26" t="s">
        <v>32</v>
      </c>
      <c r="E512" s="26" t="s">
        <v>93</v>
      </c>
      <c r="F512" s="26" t="s">
        <v>33</v>
      </c>
      <c r="G512" s="26" t="s">
        <v>29</v>
      </c>
      <c r="H512" s="26" t="s">
        <v>78</v>
      </c>
      <c r="I512" s="27" t="s">
        <v>16</v>
      </c>
      <c r="J512" s="27" t="s">
        <v>18</v>
      </c>
      <c r="K512" s="28">
        <v>100434</v>
      </c>
      <c r="L512" s="28">
        <v>223475</v>
      </c>
      <c r="M512" s="28">
        <v>150223</v>
      </c>
      <c r="N512" s="27" t="s">
        <v>23</v>
      </c>
      <c r="O512" s="31">
        <v>6258278</v>
      </c>
      <c r="P512" s="29">
        <f>'Infrastructure Benchmarks-ref'!$O512/'Infrastructure Benchmarks-ref'!$K512</f>
        <v>62.312344425194652</v>
      </c>
      <c r="Q512" s="29">
        <f>'Infrastructure Benchmarks-ref'!$O512/'Infrastructure Benchmarks-ref'!$L512</f>
        <v>28.004376328448373</v>
      </c>
      <c r="R512" s="29">
        <f>'Infrastructure Benchmarks-ref'!$O512/'Infrastructure Benchmarks-ref'!$M512</f>
        <v>41.659918920538132</v>
      </c>
      <c r="S512" s="32">
        <v>2016</v>
      </c>
    </row>
    <row r="513" spans="1:19" x14ac:dyDescent="0.2">
      <c r="A513" s="25" t="s">
        <v>70</v>
      </c>
      <c r="B513" s="26" t="s">
        <v>2</v>
      </c>
      <c r="C513" s="26" t="s">
        <v>3</v>
      </c>
      <c r="D513" s="26" t="s">
        <v>32</v>
      </c>
      <c r="E513" s="26" t="s">
        <v>93</v>
      </c>
      <c r="F513" s="26" t="s">
        <v>33</v>
      </c>
      <c r="G513" s="26" t="s">
        <v>29</v>
      </c>
      <c r="H513" s="26" t="s">
        <v>78</v>
      </c>
      <c r="I513" s="27" t="s">
        <v>16</v>
      </c>
      <c r="J513" s="27" t="s">
        <v>18</v>
      </c>
      <c r="K513" s="28">
        <v>100434</v>
      </c>
      <c r="L513" s="28">
        <v>223475</v>
      </c>
      <c r="M513" s="28">
        <v>150223</v>
      </c>
      <c r="N513" s="27" t="s">
        <v>43</v>
      </c>
      <c r="O513" s="31">
        <v>1776461</v>
      </c>
      <c r="P513" s="29">
        <f>'Infrastructure Benchmarks-ref'!$O513/'Infrastructure Benchmarks-ref'!$K513</f>
        <v>17.687844753768644</v>
      </c>
      <c r="Q513" s="29">
        <f>'Infrastructure Benchmarks-ref'!$O513/'Infrastructure Benchmarks-ref'!$L513</f>
        <v>7.9492605436849759</v>
      </c>
      <c r="R513" s="29">
        <f>'Infrastructure Benchmarks-ref'!$O513/'Infrastructure Benchmarks-ref'!$M513</f>
        <v>11.825492767419103</v>
      </c>
      <c r="S513" s="32">
        <v>2016</v>
      </c>
    </row>
    <row r="514" spans="1:19" x14ac:dyDescent="0.2">
      <c r="A514" s="25" t="s">
        <v>70</v>
      </c>
      <c r="B514" s="26" t="s">
        <v>2</v>
      </c>
      <c r="C514" s="26" t="s">
        <v>3</v>
      </c>
      <c r="D514" s="26" t="s">
        <v>32</v>
      </c>
      <c r="E514" s="26" t="s">
        <v>93</v>
      </c>
      <c r="F514" s="26" t="s">
        <v>33</v>
      </c>
      <c r="G514" s="26" t="s">
        <v>29</v>
      </c>
      <c r="H514" s="26" t="s">
        <v>78</v>
      </c>
      <c r="I514" s="27" t="s">
        <v>16</v>
      </c>
      <c r="J514" s="27" t="s">
        <v>18</v>
      </c>
      <c r="K514" s="28">
        <v>100434</v>
      </c>
      <c r="L514" s="28">
        <v>223475</v>
      </c>
      <c r="M514" s="28">
        <v>150223</v>
      </c>
      <c r="N514" s="27" t="s">
        <v>46</v>
      </c>
      <c r="O514" s="28">
        <v>0</v>
      </c>
      <c r="P514" s="29">
        <v>0</v>
      </c>
      <c r="Q514" s="29">
        <v>0</v>
      </c>
      <c r="R514" s="29">
        <v>0</v>
      </c>
      <c r="S514" s="32">
        <v>2016</v>
      </c>
    </row>
    <row r="515" spans="1:19" x14ac:dyDescent="0.2">
      <c r="A515" s="25" t="s">
        <v>70</v>
      </c>
      <c r="B515" s="26" t="s">
        <v>2</v>
      </c>
      <c r="C515" s="26" t="s">
        <v>3</v>
      </c>
      <c r="D515" s="26" t="s">
        <v>32</v>
      </c>
      <c r="E515" s="26" t="s">
        <v>93</v>
      </c>
      <c r="F515" s="26" t="s">
        <v>33</v>
      </c>
      <c r="G515" s="26" t="s">
        <v>29</v>
      </c>
      <c r="H515" s="26" t="s">
        <v>78</v>
      </c>
      <c r="I515" s="27" t="s">
        <v>16</v>
      </c>
      <c r="J515" s="27" t="s">
        <v>18</v>
      </c>
      <c r="K515" s="28">
        <v>100434</v>
      </c>
      <c r="L515" s="28">
        <v>223475</v>
      </c>
      <c r="M515" s="28">
        <v>150223</v>
      </c>
      <c r="N515" s="27" t="s">
        <v>34</v>
      </c>
      <c r="O515" s="31">
        <v>1189404</v>
      </c>
      <c r="P515" s="29">
        <f>'Infrastructure Benchmarks-ref'!$O515/'Infrastructure Benchmarks-ref'!$K515</f>
        <v>11.842642929685166</v>
      </c>
      <c r="Q515" s="29">
        <f>'Infrastructure Benchmarks-ref'!$O515/'Infrastructure Benchmarks-ref'!$L515</f>
        <v>5.3223134578811946</v>
      </c>
      <c r="R515" s="29">
        <f>'Infrastructure Benchmarks-ref'!$O515/'Infrastructure Benchmarks-ref'!$M515</f>
        <v>7.9175891840796684</v>
      </c>
      <c r="S515" s="32">
        <v>2016</v>
      </c>
    </row>
    <row r="516" spans="1:19" x14ac:dyDescent="0.2">
      <c r="A516" s="25" t="s">
        <v>70</v>
      </c>
      <c r="B516" s="26" t="s">
        <v>2</v>
      </c>
      <c r="C516" s="26" t="s">
        <v>3</v>
      </c>
      <c r="D516" s="26" t="s">
        <v>32</v>
      </c>
      <c r="E516" s="26" t="s">
        <v>93</v>
      </c>
      <c r="F516" s="26" t="s">
        <v>33</v>
      </c>
      <c r="G516" s="26" t="s">
        <v>29</v>
      </c>
      <c r="H516" s="26" t="s">
        <v>78</v>
      </c>
      <c r="I516" s="27" t="s">
        <v>16</v>
      </c>
      <c r="J516" s="27" t="s">
        <v>18</v>
      </c>
      <c r="K516" s="28">
        <v>100434</v>
      </c>
      <c r="L516" s="28">
        <v>223475</v>
      </c>
      <c r="M516" s="28">
        <v>150223</v>
      </c>
      <c r="N516" s="27" t="s">
        <v>26</v>
      </c>
      <c r="O516" s="31">
        <v>12406293</v>
      </c>
      <c r="P516" s="29">
        <f>'Infrastructure Benchmarks-ref'!$O516/'Infrastructure Benchmarks-ref'!$K516</f>
        <v>123.52682358563833</v>
      </c>
      <c r="Q516" s="29">
        <f>'Infrastructure Benchmarks-ref'!$O516/'Infrastructure Benchmarks-ref'!$L516</f>
        <v>55.515350710370285</v>
      </c>
      <c r="R516" s="29">
        <f>'Infrastructure Benchmarks-ref'!$O516/'Infrastructure Benchmarks-ref'!$M516</f>
        <v>82.585842380993583</v>
      </c>
      <c r="S516" s="32">
        <v>2016</v>
      </c>
    </row>
    <row r="517" spans="1:19" x14ac:dyDescent="0.2">
      <c r="A517" s="25" t="s">
        <v>70</v>
      </c>
      <c r="B517" s="26" t="s">
        <v>2</v>
      </c>
      <c r="C517" s="26" t="s">
        <v>3</v>
      </c>
      <c r="D517" s="26" t="s">
        <v>32</v>
      </c>
      <c r="E517" s="26" t="s">
        <v>93</v>
      </c>
      <c r="F517" s="26" t="s">
        <v>33</v>
      </c>
      <c r="G517" s="26" t="s">
        <v>29</v>
      </c>
      <c r="H517" s="26" t="s">
        <v>78</v>
      </c>
      <c r="I517" s="27" t="s">
        <v>16</v>
      </c>
      <c r="J517" s="27" t="s">
        <v>18</v>
      </c>
      <c r="K517" s="28">
        <v>100434</v>
      </c>
      <c r="L517" s="28">
        <v>223475</v>
      </c>
      <c r="M517" s="28">
        <v>150223</v>
      </c>
      <c r="N517" s="27" t="s">
        <v>28</v>
      </c>
      <c r="O517" s="31">
        <v>3548838</v>
      </c>
      <c r="P517" s="29">
        <f>'Infrastructure Benchmarks-ref'!$O517/'Infrastructure Benchmarks-ref'!$K517</f>
        <v>35.335025987215488</v>
      </c>
      <c r="Q517" s="29">
        <f>'Infrastructure Benchmarks-ref'!$O517/'Infrastructure Benchmarks-ref'!$L517</f>
        <v>15.880246112540553</v>
      </c>
      <c r="R517" s="29">
        <f>'Infrastructure Benchmarks-ref'!$O517/'Infrastructure Benchmarks-ref'!$M517</f>
        <v>23.623799285062873</v>
      </c>
      <c r="S517" s="32">
        <v>2016</v>
      </c>
    </row>
    <row r="518" spans="1:19" x14ac:dyDescent="0.2">
      <c r="A518" s="25" t="s">
        <v>70</v>
      </c>
      <c r="B518" s="26" t="s">
        <v>2</v>
      </c>
      <c r="C518" s="26" t="s">
        <v>3</v>
      </c>
      <c r="D518" s="26" t="s">
        <v>32</v>
      </c>
      <c r="E518" s="26" t="s">
        <v>93</v>
      </c>
      <c r="F518" s="26" t="s">
        <v>33</v>
      </c>
      <c r="G518" s="26" t="s">
        <v>29</v>
      </c>
      <c r="H518" s="26" t="s">
        <v>78</v>
      </c>
      <c r="I518" s="27" t="s">
        <v>16</v>
      </c>
      <c r="J518" s="27" t="s">
        <v>18</v>
      </c>
      <c r="K518" s="28">
        <v>100434</v>
      </c>
      <c r="L518" s="28">
        <v>223475</v>
      </c>
      <c r="M518" s="28">
        <v>150223</v>
      </c>
      <c r="N518" s="27" t="s">
        <v>47</v>
      </c>
      <c r="O518" s="28">
        <v>0</v>
      </c>
      <c r="P518" s="29">
        <v>0</v>
      </c>
      <c r="Q518" s="29">
        <v>0</v>
      </c>
      <c r="R518" s="29">
        <v>0</v>
      </c>
      <c r="S518" s="30">
        <v>2016</v>
      </c>
    </row>
    <row r="519" spans="1:19" x14ac:dyDescent="0.2">
      <c r="A519" s="25" t="s">
        <v>70</v>
      </c>
      <c r="B519" s="26" t="s">
        <v>2</v>
      </c>
      <c r="C519" s="26" t="s">
        <v>3</v>
      </c>
      <c r="D519" s="26" t="s">
        <v>32</v>
      </c>
      <c r="E519" s="26" t="s">
        <v>93</v>
      </c>
      <c r="F519" s="26" t="s">
        <v>33</v>
      </c>
      <c r="G519" s="26" t="s">
        <v>29</v>
      </c>
      <c r="H519" s="26" t="s">
        <v>78</v>
      </c>
      <c r="I519" s="27" t="s">
        <v>16</v>
      </c>
      <c r="J519" s="27" t="s">
        <v>18</v>
      </c>
      <c r="K519" s="28">
        <v>100434</v>
      </c>
      <c r="L519" s="28">
        <v>223475</v>
      </c>
      <c r="M519" s="28">
        <v>150223</v>
      </c>
      <c r="N519" s="27" t="s">
        <v>27</v>
      </c>
      <c r="O519" s="31">
        <v>1612634</v>
      </c>
      <c r="P519" s="29">
        <f>'Infrastructure Benchmarks-ref'!$O519/'Infrastructure Benchmarks-ref'!$K519</f>
        <v>16.056654121114363</v>
      </c>
      <c r="Q519" s="29">
        <f>'Infrastructure Benchmarks-ref'!$O519/'Infrastructure Benchmarks-ref'!$L519</f>
        <v>7.2161718313010406</v>
      </c>
      <c r="R519" s="29">
        <f>'Infrastructure Benchmarks-ref'!$O519/'Infrastructure Benchmarks-ref'!$M519</f>
        <v>10.734934064690494</v>
      </c>
      <c r="S519" s="32">
        <v>2016</v>
      </c>
    </row>
    <row r="520" spans="1:19" x14ac:dyDescent="0.2">
      <c r="A520" s="25" t="s">
        <v>70</v>
      </c>
      <c r="B520" s="26" t="s">
        <v>2</v>
      </c>
      <c r="C520" s="26" t="s">
        <v>3</v>
      </c>
      <c r="D520" s="26" t="s">
        <v>32</v>
      </c>
      <c r="E520" s="26" t="s">
        <v>93</v>
      </c>
      <c r="F520" s="26" t="s">
        <v>33</v>
      </c>
      <c r="G520" s="26" t="s">
        <v>29</v>
      </c>
      <c r="H520" s="26" t="s">
        <v>78</v>
      </c>
      <c r="I520" s="27" t="s">
        <v>16</v>
      </c>
      <c r="J520" s="27" t="s">
        <v>18</v>
      </c>
      <c r="K520" s="28">
        <v>100434</v>
      </c>
      <c r="L520" s="28">
        <v>223475</v>
      </c>
      <c r="M520" s="28">
        <v>150223</v>
      </c>
      <c r="N520" s="27" t="s">
        <v>48</v>
      </c>
      <c r="O520" s="28">
        <v>0</v>
      </c>
      <c r="P520" s="29">
        <v>0</v>
      </c>
      <c r="Q520" s="29">
        <v>0</v>
      </c>
      <c r="R520" s="29">
        <v>0</v>
      </c>
      <c r="S520" s="32">
        <v>2016</v>
      </c>
    </row>
    <row r="521" spans="1:19" x14ac:dyDescent="0.2">
      <c r="A521" s="25" t="s">
        <v>70</v>
      </c>
      <c r="B521" s="26" t="s">
        <v>2</v>
      </c>
      <c r="C521" s="26" t="s">
        <v>3</v>
      </c>
      <c r="D521" s="26" t="s">
        <v>32</v>
      </c>
      <c r="E521" s="26" t="s">
        <v>93</v>
      </c>
      <c r="F521" s="26" t="s">
        <v>33</v>
      </c>
      <c r="G521" s="26" t="s">
        <v>29</v>
      </c>
      <c r="H521" s="26" t="s">
        <v>78</v>
      </c>
      <c r="I521" s="27" t="s">
        <v>16</v>
      </c>
      <c r="J521" s="27" t="s">
        <v>18</v>
      </c>
      <c r="K521" s="28">
        <v>100434</v>
      </c>
      <c r="L521" s="28">
        <v>223475</v>
      </c>
      <c r="M521" s="28">
        <v>150223</v>
      </c>
      <c r="N521" s="27" t="s">
        <v>49</v>
      </c>
      <c r="O521" s="28">
        <v>0</v>
      </c>
      <c r="P521" s="29">
        <v>0</v>
      </c>
      <c r="Q521" s="29">
        <v>0</v>
      </c>
      <c r="R521" s="29">
        <v>0</v>
      </c>
      <c r="S521" s="32">
        <v>2016</v>
      </c>
    </row>
    <row r="522" spans="1:19" x14ac:dyDescent="0.2">
      <c r="A522" s="25" t="s">
        <v>70</v>
      </c>
      <c r="B522" s="26" t="s">
        <v>2</v>
      </c>
      <c r="C522" s="26" t="s">
        <v>3</v>
      </c>
      <c r="D522" s="26" t="s">
        <v>32</v>
      </c>
      <c r="E522" s="26" t="s">
        <v>93</v>
      </c>
      <c r="F522" s="26" t="s">
        <v>33</v>
      </c>
      <c r="G522" s="26" t="s">
        <v>29</v>
      </c>
      <c r="H522" s="26" t="s">
        <v>78</v>
      </c>
      <c r="I522" s="27" t="s">
        <v>16</v>
      </c>
      <c r="J522" s="27" t="s">
        <v>18</v>
      </c>
      <c r="K522" s="28">
        <v>100434</v>
      </c>
      <c r="L522" s="28">
        <v>223475</v>
      </c>
      <c r="M522" s="28">
        <v>150223</v>
      </c>
      <c r="N522" s="27" t="s">
        <v>50</v>
      </c>
      <c r="O522" s="28">
        <v>0</v>
      </c>
      <c r="P522" s="29">
        <v>0</v>
      </c>
      <c r="Q522" s="29">
        <v>0</v>
      </c>
      <c r="R522" s="29">
        <v>0</v>
      </c>
      <c r="S522" s="32">
        <v>2016</v>
      </c>
    </row>
    <row r="523" spans="1:19" x14ac:dyDescent="0.2">
      <c r="A523" s="25" t="s">
        <v>70</v>
      </c>
      <c r="B523" s="26" t="s">
        <v>2</v>
      </c>
      <c r="C523" s="26" t="s">
        <v>3</v>
      </c>
      <c r="D523" s="26" t="s">
        <v>32</v>
      </c>
      <c r="E523" s="26" t="s">
        <v>93</v>
      </c>
      <c r="F523" s="26" t="s">
        <v>33</v>
      </c>
      <c r="G523" s="26" t="s">
        <v>29</v>
      </c>
      <c r="H523" s="26" t="s">
        <v>78</v>
      </c>
      <c r="I523" s="27" t="s">
        <v>16</v>
      </c>
      <c r="J523" s="27" t="s">
        <v>18</v>
      </c>
      <c r="K523" s="28">
        <v>100434</v>
      </c>
      <c r="L523" s="28">
        <v>223475</v>
      </c>
      <c r="M523" s="28">
        <v>150223</v>
      </c>
      <c r="N523" s="27" t="s">
        <v>51</v>
      </c>
      <c r="O523" s="28">
        <v>0</v>
      </c>
      <c r="P523" s="29">
        <v>0</v>
      </c>
      <c r="Q523" s="29">
        <v>0</v>
      </c>
      <c r="R523" s="29">
        <v>0</v>
      </c>
      <c r="S523" s="32">
        <v>2016</v>
      </c>
    </row>
    <row r="524" spans="1:19" x14ac:dyDescent="0.2">
      <c r="A524" s="25" t="s">
        <v>70</v>
      </c>
      <c r="B524" s="26" t="s">
        <v>2</v>
      </c>
      <c r="C524" s="26" t="s">
        <v>3</v>
      </c>
      <c r="D524" s="26" t="s">
        <v>32</v>
      </c>
      <c r="E524" s="26" t="s">
        <v>93</v>
      </c>
      <c r="F524" s="26" t="s">
        <v>33</v>
      </c>
      <c r="G524" s="26" t="s">
        <v>29</v>
      </c>
      <c r="H524" s="26" t="s">
        <v>78</v>
      </c>
      <c r="I524" s="27" t="s">
        <v>16</v>
      </c>
      <c r="J524" s="27" t="s">
        <v>18</v>
      </c>
      <c r="K524" s="28">
        <v>100434</v>
      </c>
      <c r="L524" s="28">
        <v>223475</v>
      </c>
      <c r="M524" s="28">
        <v>150223</v>
      </c>
      <c r="N524" s="27" t="s">
        <v>52</v>
      </c>
      <c r="O524" s="28">
        <v>0</v>
      </c>
      <c r="P524" s="29">
        <v>0</v>
      </c>
      <c r="Q524" s="29">
        <v>0</v>
      </c>
      <c r="R524" s="29">
        <v>0</v>
      </c>
      <c r="S524" s="32">
        <v>2016</v>
      </c>
    </row>
    <row r="525" spans="1:19" x14ac:dyDescent="0.2">
      <c r="A525" s="25" t="s">
        <v>70</v>
      </c>
      <c r="B525" s="26" t="s">
        <v>2</v>
      </c>
      <c r="C525" s="26" t="s">
        <v>3</v>
      </c>
      <c r="D525" s="26" t="s">
        <v>32</v>
      </c>
      <c r="E525" s="26" t="s">
        <v>93</v>
      </c>
      <c r="F525" s="26" t="s">
        <v>33</v>
      </c>
      <c r="G525" s="26" t="s">
        <v>29</v>
      </c>
      <c r="H525" s="26" t="s">
        <v>78</v>
      </c>
      <c r="I525" s="27" t="s">
        <v>16</v>
      </c>
      <c r="J525" s="27" t="s">
        <v>18</v>
      </c>
      <c r="K525" s="28">
        <v>100434</v>
      </c>
      <c r="L525" s="28">
        <v>223475</v>
      </c>
      <c r="M525" s="28">
        <v>150223</v>
      </c>
      <c r="N525" s="27" t="s">
        <v>53</v>
      </c>
      <c r="O525" s="28">
        <v>0</v>
      </c>
      <c r="P525" s="29">
        <v>0</v>
      </c>
      <c r="Q525" s="29">
        <v>0</v>
      </c>
      <c r="R525" s="29">
        <v>0</v>
      </c>
      <c r="S525" s="32">
        <v>2016</v>
      </c>
    </row>
    <row r="526" spans="1:19" x14ac:dyDescent="0.2">
      <c r="A526" s="25" t="s">
        <v>70</v>
      </c>
      <c r="B526" s="26" t="s">
        <v>2</v>
      </c>
      <c r="C526" s="26" t="s">
        <v>3</v>
      </c>
      <c r="D526" s="26" t="s">
        <v>32</v>
      </c>
      <c r="E526" s="26" t="s">
        <v>93</v>
      </c>
      <c r="F526" s="26" t="s">
        <v>33</v>
      </c>
      <c r="G526" s="26" t="s">
        <v>29</v>
      </c>
      <c r="H526" s="26" t="s">
        <v>78</v>
      </c>
      <c r="I526" s="27" t="s">
        <v>16</v>
      </c>
      <c r="J526" s="27" t="s">
        <v>18</v>
      </c>
      <c r="K526" s="28">
        <v>100434</v>
      </c>
      <c r="L526" s="28">
        <v>223475</v>
      </c>
      <c r="M526" s="28">
        <v>150223</v>
      </c>
      <c r="N526" s="27" t="s">
        <v>54</v>
      </c>
      <c r="O526" s="28">
        <v>0</v>
      </c>
      <c r="P526" s="29">
        <v>0</v>
      </c>
      <c r="Q526" s="29">
        <v>0</v>
      </c>
      <c r="R526" s="29">
        <v>0</v>
      </c>
      <c r="S526" s="32">
        <v>2016</v>
      </c>
    </row>
    <row r="527" spans="1:19" x14ac:dyDescent="0.2">
      <c r="A527" s="25" t="s">
        <v>70</v>
      </c>
      <c r="B527" s="26" t="s">
        <v>2</v>
      </c>
      <c r="C527" s="26" t="s">
        <v>3</v>
      </c>
      <c r="D527" s="26" t="s">
        <v>32</v>
      </c>
      <c r="E527" s="26" t="s">
        <v>93</v>
      </c>
      <c r="F527" s="26" t="s">
        <v>33</v>
      </c>
      <c r="G527" s="26" t="s">
        <v>29</v>
      </c>
      <c r="H527" s="26" t="s">
        <v>78</v>
      </c>
      <c r="I527" s="27" t="s">
        <v>16</v>
      </c>
      <c r="J527" s="27" t="s">
        <v>18</v>
      </c>
      <c r="K527" s="28">
        <v>100434</v>
      </c>
      <c r="L527" s="28">
        <v>223475</v>
      </c>
      <c r="M527" s="28">
        <v>150223</v>
      </c>
      <c r="N527" s="27" t="s">
        <v>55</v>
      </c>
      <c r="O527" s="28">
        <v>0</v>
      </c>
      <c r="P527" s="29">
        <v>0</v>
      </c>
      <c r="Q527" s="29">
        <v>0</v>
      </c>
      <c r="R527" s="29">
        <v>0</v>
      </c>
      <c r="S527" s="32">
        <v>2016</v>
      </c>
    </row>
    <row r="528" spans="1:19" x14ac:dyDescent="0.2">
      <c r="A528" s="25" t="s">
        <v>70</v>
      </c>
      <c r="B528" s="26" t="s">
        <v>2</v>
      </c>
      <c r="C528" s="26" t="s">
        <v>3</v>
      </c>
      <c r="D528" s="26" t="s">
        <v>32</v>
      </c>
      <c r="E528" s="26" t="s">
        <v>93</v>
      </c>
      <c r="F528" s="26" t="s">
        <v>33</v>
      </c>
      <c r="G528" s="26" t="s">
        <v>29</v>
      </c>
      <c r="H528" s="26" t="s">
        <v>78</v>
      </c>
      <c r="I528" s="27" t="s">
        <v>16</v>
      </c>
      <c r="J528" s="27" t="s">
        <v>18</v>
      </c>
      <c r="K528" s="28">
        <v>100434</v>
      </c>
      <c r="L528" s="28">
        <v>223475</v>
      </c>
      <c r="M528" s="28">
        <v>150223</v>
      </c>
      <c r="N528" s="27" t="s">
        <v>56</v>
      </c>
      <c r="O528" s="28">
        <v>0</v>
      </c>
      <c r="P528" s="29">
        <v>0</v>
      </c>
      <c r="Q528" s="29">
        <v>0</v>
      </c>
      <c r="R528" s="29">
        <v>0</v>
      </c>
      <c r="S528" s="32">
        <v>2016</v>
      </c>
    </row>
    <row r="529" spans="1:19" x14ac:dyDescent="0.2">
      <c r="A529" s="25" t="s">
        <v>70</v>
      </c>
      <c r="B529" s="26" t="s">
        <v>2</v>
      </c>
      <c r="C529" s="26" t="s">
        <v>3</v>
      </c>
      <c r="D529" s="26" t="s">
        <v>32</v>
      </c>
      <c r="E529" s="26" t="s">
        <v>93</v>
      </c>
      <c r="F529" s="26" t="s">
        <v>33</v>
      </c>
      <c r="G529" s="26" t="s">
        <v>29</v>
      </c>
      <c r="H529" s="26" t="s">
        <v>78</v>
      </c>
      <c r="I529" s="27" t="s">
        <v>16</v>
      </c>
      <c r="J529" s="27" t="s">
        <v>18</v>
      </c>
      <c r="K529" s="28">
        <v>100434</v>
      </c>
      <c r="L529" s="28">
        <v>223475</v>
      </c>
      <c r="M529" s="28">
        <v>150223</v>
      </c>
      <c r="N529" s="27" t="s">
        <v>73</v>
      </c>
      <c r="O529" s="31">
        <v>7170863</v>
      </c>
      <c r="P529" s="29">
        <f>'Infrastructure Benchmarks-ref'!$O529/'Infrastructure Benchmarks-ref'!$K529</f>
        <v>71.398759384272253</v>
      </c>
      <c r="Q529" s="29">
        <f>'Infrastructure Benchmarks-ref'!$O529/'Infrastructure Benchmarks-ref'!$L529</f>
        <v>32.087987470634296</v>
      </c>
      <c r="R529" s="29">
        <f>'Infrastructure Benchmarks-ref'!$O529/'Infrastructure Benchmarks-ref'!$M529</f>
        <v>47.734787615744594</v>
      </c>
      <c r="S529" s="32">
        <v>2016</v>
      </c>
    </row>
    <row r="530" spans="1:19" x14ac:dyDescent="0.2">
      <c r="A530" s="25" t="s">
        <v>70</v>
      </c>
      <c r="B530" s="26" t="s">
        <v>2</v>
      </c>
      <c r="C530" s="26" t="s">
        <v>3</v>
      </c>
      <c r="D530" s="26" t="s">
        <v>32</v>
      </c>
      <c r="E530" s="26" t="s">
        <v>93</v>
      </c>
      <c r="F530" s="26" t="s">
        <v>33</v>
      </c>
      <c r="G530" s="26" t="s">
        <v>29</v>
      </c>
      <c r="H530" s="26" t="s">
        <v>78</v>
      </c>
      <c r="I530" s="27" t="s">
        <v>16</v>
      </c>
      <c r="J530" s="27" t="s">
        <v>18</v>
      </c>
      <c r="K530" s="28">
        <v>100434</v>
      </c>
      <c r="L530" s="28">
        <v>223475</v>
      </c>
      <c r="M530" s="28">
        <v>150223</v>
      </c>
      <c r="N530" s="27" t="s">
        <v>57</v>
      </c>
      <c r="O530" s="31">
        <v>6000000</v>
      </c>
      <c r="P530" s="29">
        <f>'Infrastructure Benchmarks-ref'!$O530/'Infrastructure Benchmarks-ref'!$K530</f>
        <v>59.740725252404566</v>
      </c>
      <c r="Q530" s="29">
        <f>'Infrastructure Benchmarks-ref'!$O530/'Infrastructure Benchmarks-ref'!$L530</f>
        <v>26.848640787560129</v>
      </c>
      <c r="R530" s="29">
        <f>'Infrastructure Benchmarks-ref'!$O530/'Infrastructure Benchmarks-ref'!$M530</f>
        <v>39.940621609207646</v>
      </c>
      <c r="S530" s="32">
        <v>2016</v>
      </c>
    </row>
    <row r="531" spans="1:19" x14ac:dyDescent="0.2">
      <c r="A531" s="25" t="s">
        <v>70</v>
      </c>
      <c r="B531" s="26" t="s">
        <v>2</v>
      </c>
      <c r="C531" s="26" t="s">
        <v>3</v>
      </c>
      <c r="D531" s="26" t="s">
        <v>32</v>
      </c>
      <c r="E531" s="26" t="s">
        <v>93</v>
      </c>
      <c r="F531" s="26" t="s">
        <v>33</v>
      </c>
      <c r="G531" s="26" t="s">
        <v>29</v>
      </c>
      <c r="H531" s="26" t="s">
        <v>78</v>
      </c>
      <c r="I531" s="27" t="s">
        <v>16</v>
      </c>
      <c r="J531" s="27" t="s">
        <v>18</v>
      </c>
      <c r="K531" s="28">
        <v>100434</v>
      </c>
      <c r="L531" s="28">
        <v>223475</v>
      </c>
      <c r="M531" s="28">
        <v>150223</v>
      </c>
      <c r="N531" s="27" t="s">
        <v>58</v>
      </c>
      <c r="O531" s="31">
        <v>3000000</v>
      </c>
      <c r="P531" s="29">
        <f>'Infrastructure Benchmarks-ref'!$O531/'Infrastructure Benchmarks-ref'!$K531</f>
        <v>29.870362626202283</v>
      </c>
      <c r="Q531" s="29">
        <f>'Infrastructure Benchmarks-ref'!$O531/'Infrastructure Benchmarks-ref'!$L531</f>
        <v>13.424320393780064</v>
      </c>
      <c r="R531" s="29">
        <f>'Infrastructure Benchmarks-ref'!$O531/'Infrastructure Benchmarks-ref'!$M531</f>
        <v>19.970310804603823</v>
      </c>
      <c r="S531" s="32">
        <v>2016</v>
      </c>
    </row>
    <row r="532" spans="1:19" x14ac:dyDescent="0.2">
      <c r="A532" s="25" t="s">
        <v>70</v>
      </c>
      <c r="B532" s="26" t="s">
        <v>2</v>
      </c>
      <c r="C532" s="26" t="s">
        <v>3</v>
      </c>
      <c r="D532" s="26" t="s">
        <v>32</v>
      </c>
      <c r="E532" s="26" t="s">
        <v>93</v>
      </c>
      <c r="F532" s="26" t="s">
        <v>33</v>
      </c>
      <c r="G532" s="26" t="s">
        <v>29</v>
      </c>
      <c r="H532" s="26" t="s">
        <v>78</v>
      </c>
      <c r="I532" s="27" t="s">
        <v>16</v>
      </c>
      <c r="J532" s="27" t="s">
        <v>18</v>
      </c>
      <c r="K532" s="28">
        <v>100434</v>
      </c>
      <c r="L532" s="28">
        <v>223475</v>
      </c>
      <c r="M532" s="28">
        <v>150223</v>
      </c>
      <c r="N532" s="27" t="s">
        <v>59</v>
      </c>
      <c r="O532" s="31">
        <v>992195</v>
      </c>
      <c r="P532" s="29">
        <f>'Infrastructure Benchmarks-ref'!$O532/'Infrastructure Benchmarks-ref'!$K532</f>
        <v>9.8790748153015908</v>
      </c>
      <c r="Q532" s="29">
        <f>'Infrastructure Benchmarks-ref'!$O532/'Infrastructure Benchmarks-ref'!$L532</f>
        <v>4.4398478577022038</v>
      </c>
      <c r="R532" s="29">
        <f>'Infrastructure Benchmarks-ref'!$O532/'Infrastructure Benchmarks-ref'!$M532</f>
        <v>6.6048141762579631</v>
      </c>
      <c r="S532" s="32">
        <v>2016</v>
      </c>
    </row>
    <row r="533" spans="1:19" x14ac:dyDescent="0.2">
      <c r="A533" s="25" t="s">
        <v>70</v>
      </c>
      <c r="B533" s="26" t="s">
        <v>2</v>
      </c>
      <c r="C533" s="26" t="s">
        <v>3</v>
      </c>
      <c r="D533" s="26" t="s">
        <v>32</v>
      </c>
      <c r="E533" s="26" t="s">
        <v>93</v>
      </c>
      <c r="F533" s="26" t="s">
        <v>33</v>
      </c>
      <c r="G533" s="26" t="s">
        <v>29</v>
      </c>
      <c r="H533" s="26" t="s">
        <v>78</v>
      </c>
      <c r="I533" s="27" t="s">
        <v>16</v>
      </c>
      <c r="J533" s="27" t="s">
        <v>18</v>
      </c>
      <c r="K533" s="28">
        <v>100434</v>
      </c>
      <c r="L533" s="28">
        <v>223475</v>
      </c>
      <c r="M533" s="28">
        <v>150223</v>
      </c>
      <c r="N533" s="27" t="s">
        <v>60</v>
      </c>
      <c r="O533" s="28">
        <v>0</v>
      </c>
      <c r="P533" s="29">
        <v>0</v>
      </c>
      <c r="Q533" s="29">
        <v>0</v>
      </c>
      <c r="R533" s="29">
        <v>0</v>
      </c>
      <c r="S533" s="32">
        <v>2016</v>
      </c>
    </row>
    <row r="534" spans="1:19" ht="16" thickBot="1" x14ac:dyDescent="0.25">
      <c r="A534" s="25" t="s">
        <v>70</v>
      </c>
      <c r="B534" s="26" t="s">
        <v>2</v>
      </c>
      <c r="C534" s="26" t="s">
        <v>3</v>
      </c>
      <c r="D534" s="26" t="s">
        <v>32</v>
      </c>
      <c r="E534" s="26" t="s">
        <v>93</v>
      </c>
      <c r="F534" s="26" t="s">
        <v>33</v>
      </c>
      <c r="G534" s="26" t="s">
        <v>29</v>
      </c>
      <c r="H534" s="26" t="s">
        <v>78</v>
      </c>
      <c r="I534" s="27" t="s">
        <v>16</v>
      </c>
      <c r="J534" s="27" t="s">
        <v>18</v>
      </c>
      <c r="K534" s="28">
        <v>100434</v>
      </c>
      <c r="L534" s="28">
        <v>223475</v>
      </c>
      <c r="M534" s="28">
        <v>150223</v>
      </c>
      <c r="N534" s="27" t="s">
        <v>61</v>
      </c>
      <c r="O534" s="28">
        <v>0</v>
      </c>
      <c r="P534" s="29">
        <v>0</v>
      </c>
      <c r="Q534" s="29">
        <v>0</v>
      </c>
      <c r="R534" s="29">
        <v>0</v>
      </c>
      <c r="S534" s="32">
        <v>2016</v>
      </c>
    </row>
    <row r="535" spans="1:19" ht="17" thickTop="1" thickBot="1" x14ac:dyDescent="0.25">
      <c r="A535" s="54"/>
      <c r="B535" s="55"/>
      <c r="C535" s="55"/>
      <c r="D535" s="55"/>
      <c r="E535" s="55"/>
      <c r="F535" s="55"/>
      <c r="G535" s="55"/>
      <c r="H535" s="55"/>
      <c r="I535" s="56"/>
      <c r="J535" s="56"/>
      <c r="K535" s="57"/>
      <c r="L535" s="57"/>
      <c r="M535" s="57"/>
      <c r="N535" s="56"/>
      <c r="O535" s="60"/>
      <c r="P535" s="58"/>
      <c r="Q535" s="58"/>
      <c r="R535" s="58"/>
      <c r="S535" s="62"/>
    </row>
    <row r="536" spans="1:19" ht="16" thickTop="1" x14ac:dyDescent="0.2">
      <c r="A536" s="33" t="s">
        <v>70</v>
      </c>
      <c r="B536" s="1" t="s">
        <v>2</v>
      </c>
      <c r="C536" s="1" t="s">
        <v>39</v>
      </c>
      <c r="D536" s="1" t="s">
        <v>41</v>
      </c>
      <c r="E536" s="1" t="s">
        <v>95</v>
      </c>
      <c r="F536" s="1" t="s">
        <v>40</v>
      </c>
      <c r="G536" s="1" t="s">
        <v>42</v>
      </c>
      <c r="H536" s="1" t="s">
        <v>77</v>
      </c>
      <c r="I536" s="4" t="s">
        <v>16</v>
      </c>
      <c r="J536" s="4" t="s">
        <v>18</v>
      </c>
      <c r="K536" s="7">
        <v>3395667</v>
      </c>
      <c r="L536" s="7">
        <v>10869286</v>
      </c>
      <c r="M536" s="7">
        <v>5627796</v>
      </c>
      <c r="N536" s="4" t="s">
        <v>24</v>
      </c>
      <c r="O536" s="7">
        <v>540843545</v>
      </c>
      <c r="P536" s="2">
        <f>'Infrastructure Benchmarks-ref'!$O536/'Infrastructure Benchmarks-ref'!$K536</f>
        <v>159.27461232211522</v>
      </c>
      <c r="Q536" s="2">
        <f>'Infrastructure Benchmarks-ref'!$O536/'Infrastructure Benchmarks-ref'!$L536</f>
        <v>49.758884346221087</v>
      </c>
      <c r="R536" s="2">
        <f>'Infrastructure Benchmarks-ref'!$O536/'Infrastructure Benchmarks-ref'!$M536</f>
        <v>96.102194358146605</v>
      </c>
      <c r="S536" s="34">
        <v>2017</v>
      </c>
    </row>
    <row r="537" spans="1:19" x14ac:dyDescent="0.2">
      <c r="A537" s="25" t="s">
        <v>70</v>
      </c>
      <c r="B537" s="26" t="s">
        <v>2</v>
      </c>
      <c r="C537" s="26" t="s">
        <v>39</v>
      </c>
      <c r="D537" s="26" t="s">
        <v>41</v>
      </c>
      <c r="E537" s="26" t="s">
        <v>95</v>
      </c>
      <c r="F537" s="26" t="s">
        <v>40</v>
      </c>
      <c r="G537" s="26" t="s">
        <v>42</v>
      </c>
      <c r="H537" s="26" t="s">
        <v>77</v>
      </c>
      <c r="I537" s="27" t="s">
        <v>16</v>
      </c>
      <c r="J537" s="27" t="s">
        <v>18</v>
      </c>
      <c r="K537" s="28">
        <v>3395667</v>
      </c>
      <c r="L537" s="28">
        <v>10869286</v>
      </c>
      <c r="M537" s="28">
        <v>5627796</v>
      </c>
      <c r="N537" s="27" t="s">
        <v>44</v>
      </c>
      <c r="O537" s="28">
        <v>0</v>
      </c>
      <c r="P537" s="29">
        <v>0</v>
      </c>
      <c r="Q537" s="29">
        <v>0</v>
      </c>
      <c r="R537" s="29">
        <v>0</v>
      </c>
      <c r="S537" s="30">
        <v>2017</v>
      </c>
    </row>
    <row r="538" spans="1:19" x14ac:dyDescent="0.2">
      <c r="A538" s="25" t="s">
        <v>70</v>
      </c>
      <c r="B538" s="26" t="s">
        <v>2</v>
      </c>
      <c r="C538" s="26" t="s">
        <v>39</v>
      </c>
      <c r="D538" s="26" t="s">
        <v>41</v>
      </c>
      <c r="E538" s="26" t="s">
        <v>95</v>
      </c>
      <c r="F538" s="26" t="s">
        <v>40</v>
      </c>
      <c r="G538" s="26" t="s">
        <v>42</v>
      </c>
      <c r="H538" s="26" t="s">
        <v>77</v>
      </c>
      <c r="I538" s="27" t="s">
        <v>16</v>
      </c>
      <c r="J538" s="27" t="s">
        <v>18</v>
      </c>
      <c r="K538" s="28">
        <v>3395667</v>
      </c>
      <c r="L538" s="28">
        <v>10869286</v>
      </c>
      <c r="M538" s="28">
        <v>5627796</v>
      </c>
      <c r="N538" s="27" t="s">
        <v>45</v>
      </c>
      <c r="O538" s="28">
        <v>0</v>
      </c>
      <c r="P538" s="29">
        <v>0</v>
      </c>
      <c r="Q538" s="29">
        <v>0</v>
      </c>
      <c r="R538" s="29">
        <v>0</v>
      </c>
      <c r="S538" s="30">
        <v>2017</v>
      </c>
    </row>
    <row r="539" spans="1:19" x14ac:dyDescent="0.2">
      <c r="A539" s="25" t="s">
        <v>70</v>
      </c>
      <c r="B539" s="26" t="s">
        <v>2</v>
      </c>
      <c r="C539" s="26" t="s">
        <v>39</v>
      </c>
      <c r="D539" s="26" t="s">
        <v>41</v>
      </c>
      <c r="E539" s="26" t="s">
        <v>95</v>
      </c>
      <c r="F539" s="26" t="s">
        <v>40</v>
      </c>
      <c r="G539" s="26" t="s">
        <v>42</v>
      </c>
      <c r="H539" s="26" t="s">
        <v>77</v>
      </c>
      <c r="I539" s="27" t="s">
        <v>16</v>
      </c>
      <c r="J539" s="27" t="s">
        <v>18</v>
      </c>
      <c r="K539" s="28">
        <v>3395667</v>
      </c>
      <c r="L539" s="28">
        <v>10869286</v>
      </c>
      <c r="M539" s="28">
        <v>5627796</v>
      </c>
      <c r="N539" s="27" t="s">
        <v>14</v>
      </c>
      <c r="O539" s="28">
        <v>0</v>
      </c>
      <c r="P539" s="29">
        <v>0</v>
      </c>
      <c r="Q539" s="29">
        <v>0</v>
      </c>
      <c r="R539" s="29">
        <v>0</v>
      </c>
      <c r="S539" s="30">
        <v>2017</v>
      </c>
    </row>
    <row r="540" spans="1:19" x14ac:dyDescent="0.2">
      <c r="A540" s="25" t="s">
        <v>70</v>
      </c>
      <c r="B540" s="26" t="s">
        <v>2</v>
      </c>
      <c r="C540" s="26" t="s">
        <v>39</v>
      </c>
      <c r="D540" s="26" t="s">
        <v>41</v>
      </c>
      <c r="E540" s="26" t="s">
        <v>95</v>
      </c>
      <c r="F540" s="26" t="s">
        <v>40</v>
      </c>
      <c r="G540" s="26" t="s">
        <v>42</v>
      </c>
      <c r="H540" s="26" t="s">
        <v>77</v>
      </c>
      <c r="I540" s="27" t="s">
        <v>16</v>
      </c>
      <c r="J540" s="27" t="s">
        <v>18</v>
      </c>
      <c r="K540" s="28">
        <v>3395667</v>
      </c>
      <c r="L540" s="28">
        <v>10869286</v>
      </c>
      <c r="M540" s="28">
        <v>5627796</v>
      </c>
      <c r="N540" s="27" t="s">
        <v>22</v>
      </c>
      <c r="O540" s="28">
        <v>178228000</v>
      </c>
      <c r="P540" s="29">
        <f>'Infrastructure Benchmarks-ref'!$O540/'Infrastructure Benchmarks-ref'!$K540</f>
        <v>52.486889909994119</v>
      </c>
      <c r="Q540" s="29">
        <f>'Infrastructure Benchmarks-ref'!$O540/'Infrastructure Benchmarks-ref'!$L540</f>
        <v>16.397397216339694</v>
      </c>
      <c r="R540" s="29">
        <f>'Infrastructure Benchmarks-ref'!$O540/'Infrastructure Benchmarks-ref'!$M540</f>
        <v>31.669236056175453</v>
      </c>
      <c r="S540" s="30">
        <v>2017</v>
      </c>
    </row>
    <row r="541" spans="1:19" x14ac:dyDescent="0.2">
      <c r="A541" s="25" t="s">
        <v>70</v>
      </c>
      <c r="B541" s="26" t="s">
        <v>2</v>
      </c>
      <c r="C541" s="26" t="s">
        <v>39</v>
      </c>
      <c r="D541" s="26" t="s">
        <v>41</v>
      </c>
      <c r="E541" s="26" t="s">
        <v>95</v>
      </c>
      <c r="F541" s="26" t="s">
        <v>40</v>
      </c>
      <c r="G541" s="26" t="s">
        <v>42</v>
      </c>
      <c r="H541" s="26" t="s">
        <v>77</v>
      </c>
      <c r="I541" s="27" t="s">
        <v>16</v>
      </c>
      <c r="J541" s="27" t="s">
        <v>18</v>
      </c>
      <c r="K541" s="28">
        <v>3395667</v>
      </c>
      <c r="L541" s="28">
        <v>10869286</v>
      </c>
      <c r="M541" s="28">
        <v>5627796</v>
      </c>
      <c r="N541" s="27" t="s">
        <v>20</v>
      </c>
      <c r="O541" s="28">
        <v>422459810</v>
      </c>
      <c r="P541" s="29">
        <f>'Infrastructure Benchmarks-ref'!$O541/'Infrastructure Benchmarks-ref'!$K541</f>
        <v>124.41143669270279</v>
      </c>
      <c r="Q541" s="29">
        <f>'Infrastructure Benchmarks-ref'!$O541/'Infrastructure Benchmarks-ref'!$L541</f>
        <v>38.867300943226631</v>
      </c>
      <c r="R541" s="29">
        <f>'Infrastructure Benchmarks-ref'!$O541/'Infrastructure Benchmarks-ref'!$M541</f>
        <v>75.066653091192364</v>
      </c>
      <c r="S541" s="30">
        <v>2017</v>
      </c>
    </row>
    <row r="542" spans="1:19" x14ac:dyDescent="0.2">
      <c r="A542" s="25" t="s">
        <v>70</v>
      </c>
      <c r="B542" s="26" t="s">
        <v>2</v>
      </c>
      <c r="C542" s="26" t="s">
        <v>39</v>
      </c>
      <c r="D542" s="26" t="s">
        <v>41</v>
      </c>
      <c r="E542" s="26" t="s">
        <v>95</v>
      </c>
      <c r="F542" s="26" t="s">
        <v>40</v>
      </c>
      <c r="G542" s="26" t="s">
        <v>42</v>
      </c>
      <c r="H542" s="26" t="s">
        <v>77</v>
      </c>
      <c r="I542" s="27" t="s">
        <v>16</v>
      </c>
      <c r="J542" s="27" t="s">
        <v>18</v>
      </c>
      <c r="K542" s="28">
        <v>3395667</v>
      </c>
      <c r="L542" s="28">
        <v>10869286</v>
      </c>
      <c r="M542" s="28">
        <v>5627796</v>
      </c>
      <c r="N542" s="27" t="s">
        <v>23</v>
      </c>
      <c r="O542" s="28">
        <v>199636000</v>
      </c>
      <c r="P542" s="29">
        <f>'Infrastructure Benchmarks-ref'!$O542/'Infrastructure Benchmarks-ref'!$K542</f>
        <v>58.791395033729749</v>
      </c>
      <c r="Q542" s="29">
        <f>'Infrastructure Benchmarks-ref'!$O542/'Infrastructure Benchmarks-ref'!$L542</f>
        <v>18.366983811080139</v>
      </c>
      <c r="R542" s="29">
        <f>'Infrastructure Benchmarks-ref'!$O542/'Infrastructure Benchmarks-ref'!$M542</f>
        <v>35.473211893252703</v>
      </c>
      <c r="S542" s="30">
        <v>2017</v>
      </c>
    </row>
    <row r="543" spans="1:19" x14ac:dyDescent="0.2">
      <c r="A543" s="25" t="s">
        <v>70</v>
      </c>
      <c r="B543" s="26" t="s">
        <v>2</v>
      </c>
      <c r="C543" s="26" t="s">
        <v>39</v>
      </c>
      <c r="D543" s="26" t="s">
        <v>41</v>
      </c>
      <c r="E543" s="26" t="s">
        <v>95</v>
      </c>
      <c r="F543" s="26" t="s">
        <v>40</v>
      </c>
      <c r="G543" s="26" t="s">
        <v>42</v>
      </c>
      <c r="H543" s="26" t="s">
        <v>77</v>
      </c>
      <c r="I543" s="27" t="s">
        <v>16</v>
      </c>
      <c r="J543" s="27" t="s">
        <v>18</v>
      </c>
      <c r="K543" s="28">
        <v>3395667</v>
      </c>
      <c r="L543" s="28">
        <v>10869286</v>
      </c>
      <c r="M543" s="28">
        <v>5627796</v>
      </c>
      <c r="N543" s="27" t="s">
        <v>43</v>
      </c>
      <c r="O543" s="28">
        <v>150561000</v>
      </c>
      <c r="P543" s="29">
        <f>'Infrastructure Benchmarks-ref'!$O543/'Infrastructure Benchmarks-ref'!$K543</f>
        <v>44.339153397550469</v>
      </c>
      <c r="Q543" s="29">
        <f>'Infrastructure Benchmarks-ref'!$O543/'Infrastructure Benchmarks-ref'!$L543</f>
        <v>13.851967829349601</v>
      </c>
      <c r="R543" s="29">
        <f>'Infrastructure Benchmarks-ref'!$O543/'Infrastructure Benchmarks-ref'!$M543</f>
        <v>26.753101924803243</v>
      </c>
      <c r="S543" s="30">
        <v>2017</v>
      </c>
    </row>
    <row r="544" spans="1:19" x14ac:dyDescent="0.2">
      <c r="A544" s="25" t="s">
        <v>70</v>
      </c>
      <c r="B544" s="26" t="s">
        <v>2</v>
      </c>
      <c r="C544" s="26" t="s">
        <v>39</v>
      </c>
      <c r="D544" s="26" t="s">
        <v>41</v>
      </c>
      <c r="E544" s="26" t="s">
        <v>95</v>
      </c>
      <c r="F544" s="26" t="s">
        <v>40</v>
      </c>
      <c r="G544" s="26" t="s">
        <v>42</v>
      </c>
      <c r="H544" s="26" t="s">
        <v>77</v>
      </c>
      <c r="I544" s="27" t="s">
        <v>16</v>
      </c>
      <c r="J544" s="27" t="s">
        <v>18</v>
      </c>
      <c r="K544" s="28">
        <v>3395667</v>
      </c>
      <c r="L544" s="28">
        <v>10869286</v>
      </c>
      <c r="M544" s="28">
        <v>5627796</v>
      </c>
      <c r="N544" s="27" t="s">
        <v>46</v>
      </c>
      <c r="O544" s="28">
        <v>0</v>
      </c>
      <c r="P544" s="29">
        <v>0</v>
      </c>
      <c r="Q544" s="29">
        <v>0</v>
      </c>
      <c r="R544" s="29">
        <v>0</v>
      </c>
      <c r="S544" s="30">
        <v>2017</v>
      </c>
    </row>
    <row r="545" spans="1:19" x14ac:dyDescent="0.2">
      <c r="A545" s="25" t="s">
        <v>70</v>
      </c>
      <c r="B545" s="26" t="s">
        <v>2</v>
      </c>
      <c r="C545" s="26" t="s">
        <v>39</v>
      </c>
      <c r="D545" s="26" t="s">
        <v>41</v>
      </c>
      <c r="E545" s="26" t="s">
        <v>95</v>
      </c>
      <c r="F545" s="26" t="s">
        <v>40</v>
      </c>
      <c r="G545" s="26" t="s">
        <v>42</v>
      </c>
      <c r="H545" s="26" t="s">
        <v>77</v>
      </c>
      <c r="I545" s="27" t="s">
        <v>16</v>
      </c>
      <c r="J545" s="27" t="s">
        <v>18</v>
      </c>
      <c r="K545" s="28">
        <v>3395667</v>
      </c>
      <c r="L545" s="28">
        <v>10869286</v>
      </c>
      <c r="M545" s="28">
        <v>5627796</v>
      </c>
      <c r="N545" s="27" t="s">
        <v>34</v>
      </c>
      <c r="O545" s="31">
        <v>47654324</v>
      </c>
      <c r="P545" s="29">
        <f>'Infrastructure Benchmarks-ref'!$O545/'Infrastructure Benchmarks-ref'!$K545</f>
        <v>14.033862566617987</v>
      </c>
      <c r="Q545" s="29">
        <f>'Infrastructure Benchmarks-ref'!$O545/'Infrastructure Benchmarks-ref'!$L545</f>
        <v>4.3843104321663811</v>
      </c>
      <c r="R545" s="29">
        <f>'Infrastructure Benchmarks-ref'!$O545/'Infrastructure Benchmarks-ref'!$M545</f>
        <v>8.4676708253106536</v>
      </c>
      <c r="S545" s="30">
        <v>2017</v>
      </c>
    </row>
    <row r="546" spans="1:19" x14ac:dyDescent="0.2">
      <c r="A546" s="25" t="s">
        <v>70</v>
      </c>
      <c r="B546" s="26" t="s">
        <v>2</v>
      </c>
      <c r="C546" s="26" t="s">
        <v>39</v>
      </c>
      <c r="D546" s="26" t="s">
        <v>41</v>
      </c>
      <c r="E546" s="26" t="s">
        <v>95</v>
      </c>
      <c r="F546" s="26" t="s">
        <v>40</v>
      </c>
      <c r="G546" s="26" t="s">
        <v>42</v>
      </c>
      <c r="H546" s="26" t="s">
        <v>77</v>
      </c>
      <c r="I546" s="27" t="s">
        <v>16</v>
      </c>
      <c r="J546" s="27" t="s">
        <v>18</v>
      </c>
      <c r="K546" s="28">
        <v>3395667</v>
      </c>
      <c r="L546" s="28">
        <v>10869286</v>
      </c>
      <c r="M546" s="28">
        <v>5627796</v>
      </c>
      <c r="N546" s="27" t="s">
        <v>26</v>
      </c>
      <c r="O546" s="31">
        <v>1162201000</v>
      </c>
      <c r="P546" s="29">
        <f>'Infrastructure Benchmarks-ref'!$O546/'Infrastructure Benchmarks-ref'!$K546</f>
        <v>342.26000370472133</v>
      </c>
      <c r="Q546" s="29">
        <f>'Infrastructure Benchmarks-ref'!$O546/'Infrastructure Benchmarks-ref'!$L546</f>
        <v>106.9252386955316</v>
      </c>
      <c r="R546" s="29">
        <f>'Infrastructure Benchmarks-ref'!$O546/'Infrastructure Benchmarks-ref'!$M546</f>
        <v>206.5108614455819</v>
      </c>
      <c r="S546" s="30">
        <v>2017</v>
      </c>
    </row>
    <row r="547" spans="1:19" x14ac:dyDescent="0.2">
      <c r="A547" s="25" t="s">
        <v>70</v>
      </c>
      <c r="B547" s="26" t="s">
        <v>2</v>
      </c>
      <c r="C547" s="26" t="s">
        <v>39</v>
      </c>
      <c r="D547" s="26" t="s">
        <v>41</v>
      </c>
      <c r="E547" s="26" t="s">
        <v>95</v>
      </c>
      <c r="F547" s="26" t="s">
        <v>40</v>
      </c>
      <c r="G547" s="26" t="s">
        <v>42</v>
      </c>
      <c r="H547" s="26" t="s">
        <v>77</v>
      </c>
      <c r="I547" s="27" t="s">
        <v>16</v>
      </c>
      <c r="J547" s="27" t="s">
        <v>18</v>
      </c>
      <c r="K547" s="28">
        <v>3395667</v>
      </c>
      <c r="L547" s="28">
        <v>10869286</v>
      </c>
      <c r="M547" s="28">
        <v>5627796</v>
      </c>
      <c r="N547" s="27" t="s">
        <v>28</v>
      </c>
      <c r="O547" s="31">
        <v>84604000</v>
      </c>
      <c r="P547" s="29">
        <f>'Infrastructure Benchmarks-ref'!$O547/'Infrastructure Benchmarks-ref'!$K547</f>
        <v>24.91528173993504</v>
      </c>
      <c r="Q547" s="29">
        <f>'Infrastructure Benchmarks-ref'!$O547/'Infrastructure Benchmarks-ref'!$L547</f>
        <v>7.783767949431085</v>
      </c>
      <c r="R547" s="29">
        <f>'Infrastructure Benchmarks-ref'!$O547/'Infrastructure Benchmarks-ref'!$M547</f>
        <v>15.033238589316316</v>
      </c>
      <c r="S547" s="30">
        <v>2017</v>
      </c>
    </row>
    <row r="548" spans="1:19" x14ac:dyDescent="0.2">
      <c r="A548" s="25" t="s">
        <v>70</v>
      </c>
      <c r="B548" s="26" t="s">
        <v>2</v>
      </c>
      <c r="C548" s="26" t="s">
        <v>39</v>
      </c>
      <c r="D548" s="26" t="s">
        <v>41</v>
      </c>
      <c r="E548" s="26" t="s">
        <v>95</v>
      </c>
      <c r="F548" s="26" t="s">
        <v>40</v>
      </c>
      <c r="G548" s="26" t="s">
        <v>42</v>
      </c>
      <c r="H548" s="26" t="s">
        <v>77</v>
      </c>
      <c r="I548" s="27" t="s">
        <v>16</v>
      </c>
      <c r="J548" s="27" t="s">
        <v>18</v>
      </c>
      <c r="K548" s="28">
        <v>3395667</v>
      </c>
      <c r="L548" s="28">
        <v>10869286</v>
      </c>
      <c r="M548" s="28">
        <v>5627796</v>
      </c>
      <c r="N548" s="27" t="s">
        <v>47</v>
      </c>
      <c r="O548" s="28">
        <v>0</v>
      </c>
      <c r="P548" s="29">
        <v>0</v>
      </c>
      <c r="Q548" s="29">
        <v>0</v>
      </c>
      <c r="R548" s="29">
        <v>0</v>
      </c>
      <c r="S548" s="30">
        <v>2017</v>
      </c>
    </row>
    <row r="549" spans="1:19" x14ac:dyDescent="0.2">
      <c r="A549" s="25" t="s">
        <v>70</v>
      </c>
      <c r="B549" s="26" t="s">
        <v>2</v>
      </c>
      <c r="C549" s="26" t="s">
        <v>39</v>
      </c>
      <c r="D549" s="26" t="s">
        <v>41</v>
      </c>
      <c r="E549" s="26" t="s">
        <v>95</v>
      </c>
      <c r="F549" s="26" t="s">
        <v>40</v>
      </c>
      <c r="G549" s="26" t="s">
        <v>42</v>
      </c>
      <c r="H549" s="26" t="s">
        <v>77</v>
      </c>
      <c r="I549" s="27" t="s">
        <v>16</v>
      </c>
      <c r="J549" s="27" t="s">
        <v>18</v>
      </c>
      <c r="K549" s="28">
        <v>3395667</v>
      </c>
      <c r="L549" s="28">
        <v>10869286</v>
      </c>
      <c r="M549" s="28">
        <v>5627796</v>
      </c>
      <c r="N549" s="27" t="s">
        <v>27</v>
      </c>
      <c r="O549" s="31">
        <v>206658651</v>
      </c>
      <c r="P549" s="29">
        <f>'Infrastructure Benchmarks-ref'!$O549/'Infrastructure Benchmarks-ref'!$K549</f>
        <v>60.859516259986627</v>
      </c>
      <c r="Q549" s="29">
        <f>'Infrastructure Benchmarks-ref'!$O549/'Infrastructure Benchmarks-ref'!$L549</f>
        <v>19.013084300109501</v>
      </c>
      <c r="R549" s="29">
        <f>'Infrastructure Benchmarks-ref'!$O549/'Infrastructure Benchmarks-ref'!$M549</f>
        <v>36.721062916992729</v>
      </c>
      <c r="S549" s="30">
        <v>2017</v>
      </c>
    </row>
    <row r="550" spans="1:19" x14ac:dyDescent="0.2">
      <c r="A550" s="25" t="s">
        <v>70</v>
      </c>
      <c r="B550" s="26" t="s">
        <v>2</v>
      </c>
      <c r="C550" s="26" t="s">
        <v>39</v>
      </c>
      <c r="D550" s="26" t="s">
        <v>41</v>
      </c>
      <c r="E550" s="26" t="s">
        <v>95</v>
      </c>
      <c r="F550" s="26" t="s">
        <v>40</v>
      </c>
      <c r="G550" s="26" t="s">
        <v>42</v>
      </c>
      <c r="H550" s="26" t="s">
        <v>77</v>
      </c>
      <c r="I550" s="27" t="s">
        <v>16</v>
      </c>
      <c r="J550" s="27" t="s">
        <v>18</v>
      </c>
      <c r="K550" s="28">
        <v>3395667</v>
      </c>
      <c r="L550" s="28">
        <v>10869286</v>
      </c>
      <c r="M550" s="28">
        <v>5627796</v>
      </c>
      <c r="N550" s="27" t="s">
        <v>48</v>
      </c>
      <c r="O550" s="28">
        <v>0</v>
      </c>
      <c r="P550" s="29">
        <v>0</v>
      </c>
      <c r="Q550" s="29">
        <v>0</v>
      </c>
      <c r="R550" s="29">
        <v>0</v>
      </c>
      <c r="S550" s="30">
        <v>2017</v>
      </c>
    </row>
    <row r="551" spans="1:19" x14ac:dyDescent="0.2">
      <c r="A551" s="25" t="s">
        <v>70</v>
      </c>
      <c r="B551" s="26" t="s">
        <v>2</v>
      </c>
      <c r="C551" s="26" t="s">
        <v>39</v>
      </c>
      <c r="D551" s="26" t="s">
        <v>41</v>
      </c>
      <c r="E551" s="26" t="s">
        <v>95</v>
      </c>
      <c r="F551" s="26" t="s">
        <v>40</v>
      </c>
      <c r="G551" s="26" t="s">
        <v>42</v>
      </c>
      <c r="H551" s="26" t="s">
        <v>77</v>
      </c>
      <c r="I551" s="27" t="s">
        <v>16</v>
      </c>
      <c r="J551" s="27" t="s">
        <v>18</v>
      </c>
      <c r="K551" s="28">
        <v>3395667</v>
      </c>
      <c r="L551" s="28">
        <v>10869286</v>
      </c>
      <c r="M551" s="28">
        <v>5627796</v>
      </c>
      <c r="N551" s="27" t="s">
        <v>49</v>
      </c>
      <c r="O551" s="28">
        <v>0</v>
      </c>
      <c r="P551" s="29">
        <v>0</v>
      </c>
      <c r="Q551" s="29">
        <v>0</v>
      </c>
      <c r="R551" s="29">
        <v>0</v>
      </c>
      <c r="S551" s="30">
        <v>2017</v>
      </c>
    </row>
    <row r="552" spans="1:19" x14ac:dyDescent="0.2">
      <c r="A552" s="25" t="s">
        <v>70</v>
      </c>
      <c r="B552" s="26" t="s">
        <v>2</v>
      </c>
      <c r="C552" s="26" t="s">
        <v>39</v>
      </c>
      <c r="D552" s="26" t="s">
        <v>41</v>
      </c>
      <c r="E552" s="26" t="s">
        <v>95</v>
      </c>
      <c r="F552" s="26" t="s">
        <v>40</v>
      </c>
      <c r="G552" s="26" t="s">
        <v>42</v>
      </c>
      <c r="H552" s="26" t="s">
        <v>77</v>
      </c>
      <c r="I552" s="27" t="s">
        <v>16</v>
      </c>
      <c r="J552" s="27" t="s">
        <v>18</v>
      </c>
      <c r="K552" s="28">
        <v>3395667</v>
      </c>
      <c r="L552" s="28">
        <v>10869286</v>
      </c>
      <c r="M552" s="28">
        <v>5627796</v>
      </c>
      <c r="N552" s="27" t="s">
        <v>50</v>
      </c>
      <c r="O552" s="28">
        <v>0</v>
      </c>
      <c r="P552" s="29">
        <v>0</v>
      </c>
      <c r="Q552" s="29">
        <v>0</v>
      </c>
      <c r="R552" s="29">
        <v>0</v>
      </c>
      <c r="S552" s="30">
        <v>2017</v>
      </c>
    </row>
    <row r="553" spans="1:19" x14ac:dyDescent="0.2">
      <c r="A553" s="25" t="s">
        <v>70</v>
      </c>
      <c r="B553" s="26" t="s">
        <v>2</v>
      </c>
      <c r="C553" s="26" t="s">
        <v>39</v>
      </c>
      <c r="D553" s="26" t="s">
        <v>41</v>
      </c>
      <c r="E553" s="26" t="s">
        <v>95</v>
      </c>
      <c r="F553" s="26" t="s">
        <v>40</v>
      </c>
      <c r="G553" s="26" t="s">
        <v>42</v>
      </c>
      <c r="H553" s="26" t="s">
        <v>77</v>
      </c>
      <c r="I553" s="27" t="s">
        <v>16</v>
      </c>
      <c r="J553" s="27" t="s">
        <v>18</v>
      </c>
      <c r="K553" s="28">
        <v>3395667</v>
      </c>
      <c r="L553" s="28">
        <v>10869286</v>
      </c>
      <c r="M553" s="28">
        <v>5627796</v>
      </c>
      <c r="N553" s="27" t="s">
        <v>51</v>
      </c>
      <c r="O553" s="28">
        <v>67587000</v>
      </c>
      <c r="P553" s="29">
        <f>'Infrastructure Benchmarks-ref'!$O553/'Infrastructure Benchmarks-ref'!$K553</f>
        <v>19.903895169932742</v>
      </c>
      <c r="Q553" s="29">
        <f>'Infrastructure Benchmarks-ref'!$O553/'Infrastructure Benchmarks-ref'!$L553</f>
        <v>6.2181637321899528</v>
      </c>
      <c r="R553" s="29">
        <f>'Infrastructure Benchmarks-ref'!$O553/'Infrastructure Benchmarks-ref'!$M553</f>
        <v>12.009497145951986</v>
      </c>
      <c r="S553" s="30">
        <v>2017</v>
      </c>
    </row>
    <row r="554" spans="1:19" x14ac:dyDescent="0.2">
      <c r="A554" s="25" t="s">
        <v>70</v>
      </c>
      <c r="B554" s="26" t="s">
        <v>2</v>
      </c>
      <c r="C554" s="26" t="s">
        <v>39</v>
      </c>
      <c r="D554" s="26" t="s">
        <v>41</v>
      </c>
      <c r="E554" s="26" t="s">
        <v>95</v>
      </c>
      <c r="F554" s="26" t="s">
        <v>40</v>
      </c>
      <c r="G554" s="26" t="s">
        <v>42</v>
      </c>
      <c r="H554" s="26" t="s">
        <v>77</v>
      </c>
      <c r="I554" s="27" t="s">
        <v>16</v>
      </c>
      <c r="J554" s="27" t="s">
        <v>18</v>
      </c>
      <c r="K554" s="28">
        <v>3395667</v>
      </c>
      <c r="L554" s="28">
        <v>10869286</v>
      </c>
      <c r="M554" s="28">
        <v>5627796</v>
      </c>
      <c r="N554" s="27" t="s">
        <v>52</v>
      </c>
      <c r="O554" s="28">
        <v>0</v>
      </c>
      <c r="P554" s="29">
        <v>0</v>
      </c>
      <c r="Q554" s="29">
        <v>0</v>
      </c>
      <c r="R554" s="29">
        <v>0</v>
      </c>
      <c r="S554" s="30">
        <v>2017</v>
      </c>
    </row>
    <row r="555" spans="1:19" x14ac:dyDescent="0.2">
      <c r="A555" s="25" t="s">
        <v>70</v>
      </c>
      <c r="B555" s="26" t="s">
        <v>2</v>
      </c>
      <c r="C555" s="26" t="s">
        <v>39</v>
      </c>
      <c r="D555" s="26" t="s">
        <v>41</v>
      </c>
      <c r="E555" s="26" t="s">
        <v>95</v>
      </c>
      <c r="F555" s="26" t="s">
        <v>40</v>
      </c>
      <c r="G555" s="26" t="s">
        <v>42</v>
      </c>
      <c r="H555" s="26" t="s">
        <v>77</v>
      </c>
      <c r="I555" s="27" t="s">
        <v>16</v>
      </c>
      <c r="J555" s="27" t="s">
        <v>18</v>
      </c>
      <c r="K555" s="28">
        <v>3395667</v>
      </c>
      <c r="L555" s="28">
        <v>10869286</v>
      </c>
      <c r="M555" s="28">
        <v>5627796</v>
      </c>
      <c r="N555" s="27" t="s">
        <v>53</v>
      </c>
      <c r="O555" s="28">
        <v>0</v>
      </c>
      <c r="P555" s="29">
        <v>0</v>
      </c>
      <c r="Q555" s="29">
        <v>0</v>
      </c>
      <c r="R555" s="29">
        <v>0</v>
      </c>
      <c r="S555" s="30">
        <v>2017</v>
      </c>
    </row>
    <row r="556" spans="1:19" x14ac:dyDescent="0.2">
      <c r="A556" s="25" t="s">
        <v>70</v>
      </c>
      <c r="B556" s="26" t="s">
        <v>2</v>
      </c>
      <c r="C556" s="26" t="s">
        <v>39</v>
      </c>
      <c r="D556" s="26" t="s">
        <v>41</v>
      </c>
      <c r="E556" s="26" t="s">
        <v>95</v>
      </c>
      <c r="F556" s="26" t="s">
        <v>40</v>
      </c>
      <c r="G556" s="26" t="s">
        <v>42</v>
      </c>
      <c r="H556" s="26" t="s">
        <v>77</v>
      </c>
      <c r="I556" s="27" t="s">
        <v>16</v>
      </c>
      <c r="J556" s="27" t="s">
        <v>18</v>
      </c>
      <c r="K556" s="28">
        <v>3395667</v>
      </c>
      <c r="L556" s="28">
        <v>10869286</v>
      </c>
      <c r="M556" s="28">
        <v>5627796</v>
      </c>
      <c r="N556" s="27" t="s">
        <v>54</v>
      </c>
      <c r="O556" s="28">
        <v>0</v>
      </c>
      <c r="P556" s="29">
        <v>0</v>
      </c>
      <c r="Q556" s="29">
        <v>0</v>
      </c>
      <c r="R556" s="29">
        <v>0</v>
      </c>
      <c r="S556" s="30">
        <v>2017</v>
      </c>
    </row>
    <row r="557" spans="1:19" x14ac:dyDescent="0.2">
      <c r="A557" s="25" t="s">
        <v>70</v>
      </c>
      <c r="B557" s="26" t="s">
        <v>2</v>
      </c>
      <c r="C557" s="26" t="s">
        <v>39</v>
      </c>
      <c r="D557" s="26" t="s">
        <v>41</v>
      </c>
      <c r="E557" s="26" t="s">
        <v>95</v>
      </c>
      <c r="F557" s="26" t="s">
        <v>40</v>
      </c>
      <c r="G557" s="26" t="s">
        <v>42</v>
      </c>
      <c r="H557" s="26" t="s">
        <v>77</v>
      </c>
      <c r="I557" s="27" t="s">
        <v>16</v>
      </c>
      <c r="J557" s="27" t="s">
        <v>18</v>
      </c>
      <c r="K557" s="28">
        <v>3395667</v>
      </c>
      <c r="L557" s="28">
        <v>10869286</v>
      </c>
      <c r="M557" s="28">
        <v>5627796</v>
      </c>
      <c r="N557" s="27" t="s">
        <v>55</v>
      </c>
      <c r="O557" s="28">
        <v>0</v>
      </c>
      <c r="P557" s="29">
        <v>0</v>
      </c>
      <c r="Q557" s="29">
        <v>0</v>
      </c>
      <c r="R557" s="29">
        <v>0</v>
      </c>
      <c r="S557" s="30">
        <v>2017</v>
      </c>
    </row>
    <row r="558" spans="1:19" x14ac:dyDescent="0.2">
      <c r="A558" s="25" t="s">
        <v>70</v>
      </c>
      <c r="B558" s="26" t="s">
        <v>2</v>
      </c>
      <c r="C558" s="26" t="s">
        <v>39</v>
      </c>
      <c r="D558" s="26" t="s">
        <v>41</v>
      </c>
      <c r="E558" s="26" t="s">
        <v>95</v>
      </c>
      <c r="F558" s="26" t="s">
        <v>40</v>
      </c>
      <c r="G558" s="26" t="s">
        <v>42</v>
      </c>
      <c r="H558" s="26" t="s">
        <v>77</v>
      </c>
      <c r="I558" s="27" t="s">
        <v>16</v>
      </c>
      <c r="J558" s="27" t="s">
        <v>18</v>
      </c>
      <c r="K558" s="28">
        <v>3395667</v>
      </c>
      <c r="L558" s="28">
        <v>10869286</v>
      </c>
      <c r="M558" s="28">
        <v>5627796</v>
      </c>
      <c r="N558" s="27" t="s">
        <v>56</v>
      </c>
      <c r="O558" s="28">
        <v>0</v>
      </c>
      <c r="P558" s="29">
        <v>0</v>
      </c>
      <c r="Q558" s="29">
        <v>0</v>
      </c>
      <c r="R558" s="29">
        <v>0</v>
      </c>
      <c r="S558" s="30">
        <v>2017</v>
      </c>
    </row>
    <row r="559" spans="1:19" x14ac:dyDescent="0.2">
      <c r="A559" s="25" t="s">
        <v>70</v>
      </c>
      <c r="B559" s="26" t="s">
        <v>2</v>
      </c>
      <c r="C559" s="26" t="s">
        <v>39</v>
      </c>
      <c r="D559" s="26" t="s">
        <v>41</v>
      </c>
      <c r="E559" s="26" t="s">
        <v>95</v>
      </c>
      <c r="F559" s="26" t="s">
        <v>40</v>
      </c>
      <c r="G559" s="26" t="s">
        <v>42</v>
      </c>
      <c r="H559" s="26" t="s">
        <v>77</v>
      </c>
      <c r="I559" s="27" t="s">
        <v>16</v>
      </c>
      <c r="J559" s="27" t="s">
        <v>18</v>
      </c>
      <c r="K559" s="28">
        <v>3395667</v>
      </c>
      <c r="L559" s="28">
        <v>10869286</v>
      </c>
      <c r="M559" s="28">
        <v>5627796</v>
      </c>
      <c r="N559" s="27" t="s">
        <v>73</v>
      </c>
      <c r="O559" s="31">
        <f>271088000+44744762</f>
        <v>315832762</v>
      </c>
      <c r="P559" s="29">
        <f>'Infrastructure Benchmarks-ref'!$O559/'Infrastructure Benchmarks-ref'!$K559</f>
        <v>93.010522527680124</v>
      </c>
      <c r="Q559" s="29">
        <f>'Infrastructure Benchmarks-ref'!$O559/'Infrastructure Benchmarks-ref'!$L559</f>
        <v>29.057360529477283</v>
      </c>
      <c r="R559" s="29">
        <f>'Infrastructure Benchmarks-ref'!$O559/'Infrastructure Benchmarks-ref'!$M559</f>
        <v>56.120151121327069</v>
      </c>
      <c r="S559" s="30">
        <v>2017</v>
      </c>
    </row>
    <row r="560" spans="1:19" x14ac:dyDescent="0.2">
      <c r="A560" s="25" t="s">
        <v>70</v>
      </c>
      <c r="B560" s="26" t="s">
        <v>2</v>
      </c>
      <c r="C560" s="26" t="s">
        <v>39</v>
      </c>
      <c r="D560" s="26" t="s">
        <v>41</v>
      </c>
      <c r="E560" s="26" t="s">
        <v>95</v>
      </c>
      <c r="F560" s="26" t="s">
        <v>40</v>
      </c>
      <c r="G560" s="26" t="s">
        <v>42</v>
      </c>
      <c r="H560" s="26" t="s">
        <v>77</v>
      </c>
      <c r="I560" s="27" t="s">
        <v>16</v>
      </c>
      <c r="J560" s="27" t="s">
        <v>18</v>
      </c>
      <c r="K560" s="28">
        <v>3395667</v>
      </c>
      <c r="L560" s="28">
        <v>10869286</v>
      </c>
      <c r="M560" s="28">
        <v>5627796</v>
      </c>
      <c r="N560" s="27" t="s">
        <v>57</v>
      </c>
      <c r="O560" s="28">
        <v>0</v>
      </c>
      <c r="P560" s="29">
        <v>0</v>
      </c>
      <c r="Q560" s="29">
        <v>0</v>
      </c>
      <c r="R560" s="29">
        <v>0</v>
      </c>
      <c r="S560" s="30">
        <v>2017</v>
      </c>
    </row>
    <row r="561" spans="1:19" x14ac:dyDescent="0.2">
      <c r="A561" s="25" t="s">
        <v>70</v>
      </c>
      <c r="B561" s="26" t="s">
        <v>2</v>
      </c>
      <c r="C561" s="26" t="s">
        <v>39</v>
      </c>
      <c r="D561" s="26" t="s">
        <v>41</v>
      </c>
      <c r="E561" s="26" t="s">
        <v>95</v>
      </c>
      <c r="F561" s="26" t="s">
        <v>40</v>
      </c>
      <c r="G561" s="26" t="s">
        <v>42</v>
      </c>
      <c r="H561" s="26" t="s">
        <v>77</v>
      </c>
      <c r="I561" s="27" t="s">
        <v>16</v>
      </c>
      <c r="J561" s="27" t="s">
        <v>18</v>
      </c>
      <c r="K561" s="28">
        <v>3395667</v>
      </c>
      <c r="L561" s="28">
        <v>10869286</v>
      </c>
      <c r="M561" s="28">
        <v>5627796</v>
      </c>
      <c r="N561" s="27" t="s">
        <v>58</v>
      </c>
      <c r="O561" s="28">
        <v>0</v>
      </c>
      <c r="P561" s="29">
        <v>0</v>
      </c>
      <c r="Q561" s="29">
        <v>0</v>
      </c>
      <c r="R561" s="29">
        <v>0</v>
      </c>
      <c r="S561" s="30">
        <v>2017</v>
      </c>
    </row>
    <row r="562" spans="1:19" x14ac:dyDescent="0.2">
      <c r="A562" s="25" t="s">
        <v>70</v>
      </c>
      <c r="B562" s="26" t="s">
        <v>2</v>
      </c>
      <c r="C562" s="26" t="s">
        <v>39</v>
      </c>
      <c r="D562" s="26" t="s">
        <v>41</v>
      </c>
      <c r="E562" s="26" t="s">
        <v>95</v>
      </c>
      <c r="F562" s="26" t="s">
        <v>40</v>
      </c>
      <c r="G562" s="26" t="s">
        <v>42</v>
      </c>
      <c r="H562" s="26" t="s">
        <v>77</v>
      </c>
      <c r="I562" s="27" t="s">
        <v>16</v>
      </c>
      <c r="J562" s="27" t="s">
        <v>18</v>
      </c>
      <c r="K562" s="28">
        <v>3395667</v>
      </c>
      <c r="L562" s="28">
        <v>10869286</v>
      </c>
      <c r="M562" s="28">
        <v>5627796</v>
      </c>
      <c r="N562" s="27" t="s">
        <v>59</v>
      </c>
      <c r="O562" s="28">
        <v>0</v>
      </c>
      <c r="P562" s="29">
        <v>0</v>
      </c>
      <c r="Q562" s="29">
        <v>0</v>
      </c>
      <c r="R562" s="29">
        <v>0</v>
      </c>
      <c r="S562" s="30">
        <v>2017</v>
      </c>
    </row>
    <row r="563" spans="1:19" x14ac:dyDescent="0.2">
      <c r="A563" s="25" t="s">
        <v>70</v>
      </c>
      <c r="B563" s="26" t="s">
        <v>2</v>
      </c>
      <c r="C563" s="26" t="s">
        <v>39</v>
      </c>
      <c r="D563" s="26" t="s">
        <v>41</v>
      </c>
      <c r="E563" s="26" t="s">
        <v>95</v>
      </c>
      <c r="F563" s="26" t="s">
        <v>40</v>
      </c>
      <c r="G563" s="26" t="s">
        <v>42</v>
      </c>
      <c r="H563" s="26" t="s">
        <v>77</v>
      </c>
      <c r="I563" s="27" t="s">
        <v>16</v>
      </c>
      <c r="J563" s="27" t="s">
        <v>18</v>
      </c>
      <c r="K563" s="28">
        <v>3395667</v>
      </c>
      <c r="L563" s="28">
        <v>10869286</v>
      </c>
      <c r="M563" s="28">
        <v>5627796</v>
      </c>
      <c r="N563" s="27" t="s">
        <v>60</v>
      </c>
      <c r="O563" s="28">
        <v>0</v>
      </c>
      <c r="P563" s="29">
        <v>0</v>
      </c>
      <c r="Q563" s="29">
        <v>0</v>
      </c>
      <c r="R563" s="29">
        <v>0</v>
      </c>
      <c r="S563" s="30">
        <v>2017</v>
      </c>
    </row>
    <row r="564" spans="1:19" ht="16" thickBot="1" x14ac:dyDescent="0.25">
      <c r="A564" s="35" t="s">
        <v>70</v>
      </c>
      <c r="B564" s="36" t="s">
        <v>2</v>
      </c>
      <c r="C564" s="36" t="s">
        <v>39</v>
      </c>
      <c r="D564" s="36" t="s">
        <v>41</v>
      </c>
      <c r="E564" s="36" t="s">
        <v>95</v>
      </c>
      <c r="F564" s="36" t="s">
        <v>40</v>
      </c>
      <c r="G564" s="36" t="s">
        <v>42</v>
      </c>
      <c r="H564" s="36" t="s">
        <v>77</v>
      </c>
      <c r="I564" s="37" t="s">
        <v>16</v>
      </c>
      <c r="J564" s="37" t="s">
        <v>18</v>
      </c>
      <c r="K564" s="38">
        <v>3395667</v>
      </c>
      <c r="L564" s="38">
        <v>10869286</v>
      </c>
      <c r="M564" s="38">
        <v>5627796</v>
      </c>
      <c r="N564" s="37" t="s">
        <v>61</v>
      </c>
      <c r="O564" s="38">
        <v>0</v>
      </c>
      <c r="P564" s="39">
        <v>0</v>
      </c>
      <c r="Q564" s="39">
        <v>0</v>
      </c>
      <c r="R564" s="39">
        <v>0</v>
      </c>
      <c r="S564" s="40">
        <v>2017</v>
      </c>
    </row>
    <row r="565" spans="1:19" ht="16" thickTop="1" x14ac:dyDescent="0.2">
      <c r="O565" s="6"/>
      <c r="P565" s="2"/>
      <c r="Q565" s="2"/>
      <c r="R565" s="2"/>
      <c r="S565" s="9"/>
    </row>
    <row r="566" spans="1:19" x14ac:dyDescent="0.2">
      <c r="O566" s="6"/>
      <c r="P566" s="2"/>
      <c r="Q566" s="2"/>
      <c r="R566" s="2"/>
      <c r="S566" s="9"/>
    </row>
    <row r="567" spans="1:19" x14ac:dyDescent="0.2">
      <c r="O567" s="6"/>
      <c r="P567" s="2"/>
      <c r="Q567" s="2"/>
      <c r="R567" s="2"/>
      <c r="S567" s="9"/>
    </row>
    <row r="568" spans="1:19" x14ac:dyDescent="0.2">
      <c r="O568" s="6"/>
      <c r="P568" s="2"/>
      <c r="Q568" s="2"/>
      <c r="R568" s="2"/>
      <c r="S568" s="9"/>
    </row>
    <row r="569" spans="1:19" x14ac:dyDescent="0.2">
      <c r="O569" s="6"/>
      <c r="P569" s="2"/>
      <c r="Q569" s="2"/>
      <c r="R569" s="2"/>
      <c r="S569" s="9"/>
    </row>
    <row r="570" spans="1:19" x14ac:dyDescent="0.2">
      <c r="O570" s="6"/>
      <c r="P570" s="2"/>
      <c r="Q570" s="2"/>
      <c r="R570" s="2"/>
      <c r="S570" s="9"/>
    </row>
    <row r="571" spans="1:19" x14ac:dyDescent="0.2">
      <c r="O571" s="6"/>
      <c r="P571" s="2"/>
      <c r="Q571" s="2"/>
      <c r="R571" s="2"/>
      <c r="S571" s="9"/>
    </row>
    <row r="572" spans="1:19" x14ac:dyDescent="0.2">
      <c r="O572" s="6"/>
      <c r="P572" s="2"/>
      <c r="Q572" s="2"/>
      <c r="R572" s="2"/>
      <c r="S572" s="9"/>
    </row>
    <row r="573" spans="1:19" x14ac:dyDescent="0.2">
      <c r="O573" s="6"/>
      <c r="P573" s="2"/>
      <c r="Q573" s="2"/>
      <c r="R573" s="2"/>
      <c r="S573" s="9"/>
    </row>
    <row r="574" spans="1:19" x14ac:dyDescent="0.2">
      <c r="O574" s="6"/>
      <c r="P574" s="2"/>
      <c r="Q574" s="2"/>
      <c r="R574" s="2"/>
      <c r="S574" s="9"/>
    </row>
    <row r="575" spans="1:19" x14ac:dyDescent="0.2">
      <c r="O575" s="6"/>
      <c r="P575" s="2"/>
      <c r="Q575" s="2"/>
      <c r="R575" s="2"/>
      <c r="S575" s="9"/>
    </row>
    <row r="576" spans="1:19" x14ac:dyDescent="0.2">
      <c r="O576" s="6"/>
      <c r="P576" s="2"/>
      <c r="Q576" s="2"/>
      <c r="R576" s="2"/>
      <c r="S576" s="9"/>
    </row>
    <row r="577" spans="15:19" x14ac:dyDescent="0.2">
      <c r="O577" s="6"/>
      <c r="P577" s="2"/>
      <c r="Q577" s="2"/>
      <c r="R577" s="2"/>
      <c r="S577" s="9"/>
    </row>
    <row r="578" spans="15:19" x14ac:dyDescent="0.2">
      <c r="O578" s="6"/>
      <c r="P578" s="2"/>
      <c r="Q578" s="2"/>
      <c r="R578" s="2"/>
      <c r="S578" s="9"/>
    </row>
    <row r="579" spans="15:19" x14ac:dyDescent="0.2">
      <c r="O579" s="6"/>
      <c r="P579" s="2"/>
      <c r="Q579" s="2"/>
      <c r="R579" s="2"/>
      <c r="S579" s="9"/>
    </row>
    <row r="580" spans="15:19" x14ac:dyDescent="0.2">
      <c r="O580" s="6"/>
      <c r="P580" s="2"/>
      <c r="Q580" s="2"/>
      <c r="R580" s="2"/>
      <c r="S580" s="9"/>
    </row>
    <row r="581" spans="15:19" x14ac:dyDescent="0.2">
      <c r="O581" s="6"/>
      <c r="P581" s="2"/>
      <c r="Q581" s="2"/>
      <c r="R581" s="2"/>
      <c r="S581" s="9"/>
    </row>
    <row r="582" spans="15:19" x14ac:dyDescent="0.2">
      <c r="O582" s="6"/>
      <c r="P582" s="2"/>
      <c r="Q582" s="2"/>
      <c r="R582" s="2"/>
      <c r="S582" s="9"/>
    </row>
    <row r="583" spans="15:19" x14ac:dyDescent="0.2">
      <c r="O583" s="6"/>
      <c r="P583" s="2"/>
      <c r="Q583" s="2"/>
      <c r="R583" s="2"/>
      <c r="S583" s="9"/>
    </row>
    <row r="584" spans="15:19" x14ac:dyDescent="0.2">
      <c r="O584" s="6"/>
      <c r="P584" s="2"/>
      <c r="Q584" s="2"/>
      <c r="R584" s="2"/>
      <c r="S584" s="9"/>
    </row>
    <row r="585" spans="15:19" x14ac:dyDescent="0.2">
      <c r="O585" s="6"/>
      <c r="P585" s="2"/>
      <c r="Q585" s="2"/>
      <c r="R585" s="2"/>
      <c r="S585" s="9"/>
    </row>
    <row r="586" spans="15:19" x14ac:dyDescent="0.2">
      <c r="O586" s="6"/>
      <c r="P586" s="2"/>
      <c r="Q586" s="2"/>
      <c r="R586" s="2"/>
      <c r="S586" s="9"/>
    </row>
    <row r="587" spans="15:19" x14ac:dyDescent="0.2">
      <c r="O587" s="6"/>
      <c r="P587" s="2"/>
      <c r="Q587" s="2"/>
      <c r="R587" s="2"/>
      <c r="S587" s="9"/>
    </row>
    <row r="588" spans="15:19" x14ac:dyDescent="0.2">
      <c r="O588" s="6"/>
      <c r="P588" s="2"/>
      <c r="Q588" s="2"/>
      <c r="R588" s="2"/>
      <c r="S588" s="9"/>
    </row>
    <row r="589" spans="15:19" x14ac:dyDescent="0.2">
      <c r="O589" s="6"/>
      <c r="P589" s="2"/>
      <c r="Q589" s="2"/>
      <c r="R589" s="2"/>
      <c r="S589" s="9"/>
    </row>
    <row r="590" spans="15:19" x14ac:dyDescent="0.2">
      <c r="O590" s="6"/>
      <c r="P590" s="2"/>
      <c r="Q590" s="2"/>
      <c r="R590" s="2"/>
      <c r="S590" s="9"/>
    </row>
    <row r="591" spans="15:19" x14ac:dyDescent="0.2">
      <c r="O591" s="6"/>
      <c r="P591" s="2"/>
      <c r="Q591" s="2"/>
      <c r="R591" s="2"/>
      <c r="S591" s="9"/>
    </row>
    <row r="592" spans="15:19" x14ac:dyDescent="0.2">
      <c r="O592" s="6"/>
      <c r="P592" s="2"/>
      <c r="Q592" s="2"/>
      <c r="R592" s="2"/>
      <c r="S592" s="9"/>
    </row>
    <row r="593" spans="15:19" x14ac:dyDescent="0.2">
      <c r="O593" s="6"/>
      <c r="P593" s="2"/>
      <c r="Q593" s="2"/>
      <c r="R593" s="2"/>
      <c r="S593" s="9"/>
    </row>
    <row r="594" spans="15:19" x14ac:dyDescent="0.2">
      <c r="O594" s="6"/>
      <c r="P594" s="2"/>
      <c r="Q594" s="2"/>
      <c r="R594" s="2"/>
      <c r="S594" s="9"/>
    </row>
    <row r="595" spans="15:19" x14ac:dyDescent="0.2">
      <c r="O595" s="6"/>
      <c r="P595" s="2"/>
      <c r="Q595" s="2"/>
      <c r="R595" s="2"/>
      <c r="S595" s="9"/>
    </row>
    <row r="596" spans="15:19" x14ac:dyDescent="0.2">
      <c r="O596" s="6"/>
      <c r="P596" s="2"/>
      <c r="Q596" s="2"/>
      <c r="R596" s="2"/>
      <c r="S596" s="9"/>
    </row>
    <row r="597" spans="15:19" x14ac:dyDescent="0.2">
      <c r="O597" s="6"/>
      <c r="P597" s="2"/>
      <c r="Q597" s="2"/>
      <c r="R597" s="2"/>
      <c r="S597" s="9"/>
    </row>
    <row r="598" spans="15:19" x14ac:dyDescent="0.2">
      <c r="O598" s="6"/>
      <c r="P598" s="2"/>
      <c r="Q598" s="2"/>
      <c r="R598" s="2"/>
      <c r="S598" s="9"/>
    </row>
    <row r="599" spans="15:19" x14ac:dyDescent="0.2">
      <c r="O599" s="6"/>
      <c r="P599" s="2"/>
      <c r="Q599" s="2"/>
      <c r="R599" s="2"/>
      <c r="S599" s="9"/>
    </row>
    <row r="600" spans="15:19" x14ac:dyDescent="0.2">
      <c r="O600" s="6"/>
      <c r="P600" s="2"/>
      <c r="Q600" s="2"/>
      <c r="R600" s="2"/>
      <c r="S600" s="9"/>
    </row>
    <row r="601" spans="15:19" x14ac:dyDescent="0.2">
      <c r="O601" s="6"/>
      <c r="P601" s="2"/>
      <c r="Q601" s="2"/>
      <c r="R601" s="2"/>
      <c r="S601" s="9"/>
    </row>
    <row r="602" spans="15:19" x14ac:dyDescent="0.2">
      <c r="O602" s="6"/>
      <c r="P602" s="2"/>
      <c r="Q602" s="2"/>
      <c r="R602" s="2"/>
      <c r="S602" s="9"/>
    </row>
    <row r="603" spans="15:19" x14ac:dyDescent="0.2">
      <c r="O603" s="6"/>
      <c r="P603" s="2"/>
      <c r="Q603" s="2"/>
      <c r="R603" s="2"/>
      <c r="S603" s="9"/>
    </row>
    <row r="604" spans="15:19" x14ac:dyDescent="0.2">
      <c r="O604" s="6"/>
      <c r="P604" s="2"/>
      <c r="Q604" s="2"/>
      <c r="R604" s="2"/>
      <c r="S604" s="9"/>
    </row>
    <row r="605" spans="15:19" x14ac:dyDescent="0.2">
      <c r="O605" s="6"/>
      <c r="P605" s="2"/>
      <c r="Q605" s="2"/>
      <c r="R605" s="2"/>
      <c r="S605" s="9"/>
    </row>
    <row r="606" spans="15:19" x14ac:dyDescent="0.2">
      <c r="O606" s="6"/>
      <c r="P606" s="2"/>
      <c r="Q606" s="2"/>
      <c r="R606" s="2"/>
      <c r="S606" s="9"/>
    </row>
    <row r="607" spans="15:19" x14ac:dyDescent="0.2">
      <c r="O607" s="6"/>
      <c r="P607" s="2"/>
      <c r="Q607" s="2"/>
      <c r="R607" s="2"/>
      <c r="S607" s="9"/>
    </row>
    <row r="608" spans="15:19" x14ac:dyDescent="0.2">
      <c r="O608" s="6"/>
      <c r="P608" s="2"/>
      <c r="Q608" s="2"/>
      <c r="R608" s="2"/>
      <c r="S608" s="9"/>
    </row>
    <row r="609" spans="15:19" x14ac:dyDescent="0.2">
      <c r="O609" s="6"/>
      <c r="P609" s="2"/>
      <c r="Q609" s="2"/>
      <c r="R609" s="2"/>
      <c r="S609" s="9"/>
    </row>
    <row r="610" spans="15:19" x14ac:dyDescent="0.2">
      <c r="O610" s="6"/>
      <c r="P610" s="2"/>
      <c r="Q610" s="2"/>
      <c r="R610" s="2"/>
      <c r="S610" s="9"/>
    </row>
    <row r="611" spans="15:19" x14ac:dyDescent="0.2">
      <c r="O611" s="6"/>
      <c r="P611" s="2"/>
      <c r="Q611" s="2"/>
      <c r="R611" s="2"/>
      <c r="S611" s="9"/>
    </row>
    <row r="612" spans="15:19" x14ac:dyDescent="0.2">
      <c r="O612" s="6"/>
      <c r="P612" s="2"/>
      <c r="Q612" s="2"/>
      <c r="R612" s="2"/>
      <c r="S612" s="9"/>
    </row>
    <row r="613" spans="15:19" x14ac:dyDescent="0.2">
      <c r="O613" s="6"/>
      <c r="P613" s="2"/>
      <c r="Q613" s="2"/>
      <c r="R613" s="2"/>
      <c r="S613" s="9"/>
    </row>
    <row r="614" spans="15:19" x14ac:dyDescent="0.2">
      <c r="O614" s="6"/>
      <c r="P614" s="2"/>
      <c r="Q614" s="2"/>
      <c r="R614" s="2"/>
      <c r="S614" s="9"/>
    </row>
    <row r="615" spans="15:19" x14ac:dyDescent="0.2">
      <c r="O615" s="6"/>
      <c r="P615" s="2"/>
      <c r="Q615" s="2"/>
      <c r="R615" s="2"/>
      <c r="S615" s="9"/>
    </row>
    <row r="616" spans="15:19" x14ac:dyDescent="0.2">
      <c r="O616" s="6"/>
      <c r="P616" s="2"/>
      <c r="Q616" s="2"/>
      <c r="R616" s="2"/>
      <c r="S616" s="9"/>
    </row>
    <row r="617" spans="15:19" x14ac:dyDescent="0.2">
      <c r="O617" s="6"/>
      <c r="P617" s="2"/>
      <c r="Q617" s="2"/>
      <c r="R617" s="2"/>
      <c r="S617" s="9"/>
    </row>
    <row r="618" spans="15:19" x14ac:dyDescent="0.2">
      <c r="O618" s="6"/>
      <c r="P618" s="2"/>
      <c r="Q618" s="2"/>
      <c r="R618" s="2"/>
      <c r="S618" s="9"/>
    </row>
    <row r="619" spans="15:19" x14ac:dyDescent="0.2">
      <c r="O619" s="6"/>
      <c r="P619" s="2"/>
      <c r="Q619" s="2"/>
      <c r="R619" s="2"/>
      <c r="S619" s="9"/>
    </row>
    <row r="620" spans="15:19" x14ac:dyDescent="0.2">
      <c r="O620" s="6"/>
      <c r="P620" s="2"/>
      <c r="Q620" s="2"/>
      <c r="R620" s="2"/>
      <c r="S620" s="9"/>
    </row>
    <row r="621" spans="15:19" x14ac:dyDescent="0.2">
      <c r="O621" s="6"/>
      <c r="P621" s="2"/>
      <c r="Q621" s="2"/>
      <c r="R621" s="2"/>
      <c r="S621" s="9"/>
    </row>
    <row r="622" spans="15:19" x14ac:dyDescent="0.2">
      <c r="O622" s="6"/>
      <c r="P622" s="2"/>
      <c r="Q622" s="2"/>
      <c r="R622" s="2"/>
      <c r="S622" s="9"/>
    </row>
    <row r="623" spans="15:19" x14ac:dyDescent="0.2">
      <c r="O623" s="6"/>
      <c r="P623" s="2"/>
      <c r="Q623" s="2"/>
      <c r="R623" s="2"/>
      <c r="S623" s="9"/>
    </row>
    <row r="624" spans="15:19" x14ac:dyDescent="0.2">
      <c r="O624" s="6"/>
      <c r="P624" s="2"/>
      <c r="Q624" s="2"/>
      <c r="R624" s="2"/>
      <c r="S624" s="9"/>
    </row>
    <row r="625" spans="15:19" x14ac:dyDescent="0.2">
      <c r="O625" s="6"/>
      <c r="P625" s="2"/>
      <c r="Q625" s="2"/>
      <c r="R625" s="2"/>
      <c r="S625" s="9"/>
    </row>
    <row r="626" spans="15:19" x14ac:dyDescent="0.2">
      <c r="O626" s="6"/>
      <c r="P626" s="2"/>
      <c r="Q626" s="2"/>
      <c r="R626" s="2"/>
      <c r="S626" s="9"/>
    </row>
    <row r="627" spans="15:19" x14ac:dyDescent="0.2">
      <c r="O627" s="6"/>
      <c r="P627" s="2"/>
      <c r="Q627" s="2"/>
      <c r="R627" s="2"/>
      <c r="S627" s="9"/>
    </row>
    <row r="628" spans="15:19" x14ac:dyDescent="0.2">
      <c r="O628" s="6"/>
      <c r="P628" s="2"/>
      <c r="Q628" s="2"/>
      <c r="R628" s="2"/>
      <c r="S628" s="9"/>
    </row>
    <row r="629" spans="15:19" x14ac:dyDescent="0.2">
      <c r="O629" s="6"/>
      <c r="P629" s="2"/>
      <c r="Q629" s="2"/>
      <c r="R629" s="2"/>
      <c r="S629" s="9"/>
    </row>
    <row r="630" spans="15:19" x14ac:dyDescent="0.2">
      <c r="O630" s="6"/>
      <c r="P630" s="2"/>
      <c r="Q630" s="2"/>
      <c r="R630" s="2"/>
      <c r="S630" s="9"/>
    </row>
    <row r="631" spans="15:19" x14ac:dyDescent="0.2">
      <c r="O631" s="6"/>
      <c r="P631" s="2"/>
      <c r="Q631" s="2"/>
      <c r="R631" s="2"/>
      <c r="S631" s="9"/>
    </row>
    <row r="632" spans="15:19" x14ac:dyDescent="0.2">
      <c r="O632" s="6"/>
      <c r="P632" s="2"/>
      <c r="Q632" s="2"/>
      <c r="R632" s="2"/>
      <c r="S632" s="9"/>
    </row>
    <row r="633" spans="15:19" x14ac:dyDescent="0.2">
      <c r="O633" s="6"/>
      <c r="P633" s="2"/>
      <c r="Q633" s="2"/>
      <c r="R633" s="2"/>
      <c r="S633" s="9"/>
    </row>
    <row r="634" spans="15:19" x14ac:dyDescent="0.2">
      <c r="O634" s="6"/>
      <c r="P634" s="2"/>
      <c r="Q634" s="2"/>
      <c r="R634" s="2"/>
      <c r="S634" s="9"/>
    </row>
    <row r="635" spans="15:19" x14ac:dyDescent="0.2">
      <c r="O635" s="6"/>
      <c r="P635" s="2"/>
      <c r="Q635" s="2"/>
      <c r="R635" s="2"/>
      <c r="S635" s="9"/>
    </row>
    <row r="636" spans="15:19" x14ac:dyDescent="0.2">
      <c r="O636" s="6"/>
      <c r="P636" s="2"/>
      <c r="Q636" s="2"/>
      <c r="R636" s="2"/>
      <c r="S636" s="9"/>
    </row>
    <row r="637" spans="15:19" x14ac:dyDescent="0.2">
      <c r="O637" s="6"/>
      <c r="P637" s="2"/>
      <c r="Q637" s="2"/>
      <c r="R637" s="2"/>
      <c r="S637" s="9"/>
    </row>
    <row r="638" spans="15:19" x14ac:dyDescent="0.2">
      <c r="O638" s="6"/>
      <c r="P638" s="2"/>
      <c r="Q638" s="2"/>
      <c r="R638" s="2"/>
      <c r="S638" s="9"/>
    </row>
    <row r="639" spans="15:19" x14ac:dyDescent="0.2">
      <c r="O639" s="6"/>
      <c r="P639" s="2"/>
      <c r="Q639" s="2"/>
      <c r="R639" s="2"/>
      <c r="S639" s="9"/>
    </row>
    <row r="640" spans="15:19" x14ac:dyDescent="0.2">
      <c r="O640" s="6"/>
      <c r="P640" s="2"/>
      <c r="Q640" s="2"/>
      <c r="R640" s="2"/>
      <c r="S640" s="9"/>
    </row>
    <row r="641" spans="15:19" x14ac:dyDescent="0.2">
      <c r="O641" s="6"/>
      <c r="P641" s="2"/>
      <c r="Q641" s="2"/>
      <c r="R641" s="2"/>
      <c r="S641" s="9"/>
    </row>
    <row r="642" spans="15:19" x14ac:dyDescent="0.2">
      <c r="O642" s="6"/>
      <c r="P642" s="2"/>
      <c r="Q642" s="2"/>
      <c r="R642" s="2"/>
      <c r="S642" s="9"/>
    </row>
    <row r="643" spans="15:19" x14ac:dyDescent="0.2">
      <c r="O643" s="6"/>
      <c r="P643" s="2"/>
      <c r="Q643" s="2"/>
      <c r="R643" s="2"/>
      <c r="S643" s="9"/>
    </row>
    <row r="644" spans="15:19" x14ac:dyDescent="0.2">
      <c r="O644" s="6"/>
      <c r="P644" s="2"/>
      <c r="Q644" s="2"/>
      <c r="R644" s="2"/>
      <c r="S644" s="9"/>
    </row>
    <row r="645" spans="15:19" x14ac:dyDescent="0.2">
      <c r="O645" s="6"/>
      <c r="P645" s="2"/>
      <c r="Q645" s="2"/>
      <c r="R645" s="2"/>
      <c r="S645" s="9"/>
    </row>
    <row r="646" spans="15:19" x14ac:dyDescent="0.2">
      <c r="O646" s="6"/>
      <c r="P646" s="2"/>
      <c r="Q646" s="2"/>
      <c r="R646" s="2"/>
      <c r="S646" s="9"/>
    </row>
    <row r="647" spans="15:19" x14ac:dyDescent="0.2">
      <c r="O647" s="6"/>
      <c r="P647" s="2"/>
      <c r="Q647" s="2"/>
      <c r="R647" s="2"/>
      <c r="S647" s="9"/>
    </row>
    <row r="648" spans="15:19" x14ac:dyDescent="0.2">
      <c r="O648" s="6"/>
      <c r="P648" s="2"/>
      <c r="Q648" s="2"/>
      <c r="R648" s="2"/>
      <c r="S648" s="9"/>
    </row>
    <row r="649" spans="15:19" x14ac:dyDescent="0.2">
      <c r="O649" s="6"/>
      <c r="P649" s="2"/>
      <c r="Q649" s="2"/>
      <c r="R649" s="2"/>
      <c r="S649" s="9"/>
    </row>
    <row r="650" spans="15:19" x14ac:dyDescent="0.2">
      <c r="O650" s="6"/>
      <c r="P650" s="2"/>
      <c r="Q650" s="2"/>
      <c r="R650" s="2"/>
      <c r="S650" s="9"/>
    </row>
    <row r="651" spans="15:19" x14ac:dyDescent="0.2">
      <c r="O651" s="6"/>
      <c r="P651" s="2"/>
      <c r="Q651" s="2"/>
      <c r="R651" s="2"/>
      <c r="S651" s="9"/>
    </row>
    <row r="652" spans="15:19" x14ac:dyDescent="0.2">
      <c r="O652" s="6"/>
      <c r="P652" s="2"/>
      <c r="Q652" s="2"/>
      <c r="R652" s="2"/>
      <c r="S652" s="9"/>
    </row>
    <row r="653" spans="15:19" x14ac:dyDescent="0.2">
      <c r="O653" s="6"/>
      <c r="P653" s="2"/>
      <c r="Q653" s="2"/>
      <c r="R653" s="2"/>
      <c r="S653" s="9"/>
    </row>
    <row r="654" spans="15:19" x14ac:dyDescent="0.2">
      <c r="O654" s="6"/>
      <c r="P654" s="2"/>
      <c r="Q654" s="2"/>
      <c r="R654" s="2"/>
      <c r="S654" s="9"/>
    </row>
    <row r="655" spans="15:19" x14ac:dyDescent="0.2">
      <c r="O655" s="6"/>
      <c r="P655" s="2"/>
      <c r="Q655" s="2"/>
      <c r="R655" s="2"/>
      <c r="S655" s="9"/>
    </row>
    <row r="656" spans="15:19" x14ac:dyDescent="0.2">
      <c r="O656" s="6"/>
      <c r="P656" s="2"/>
      <c r="Q656" s="2"/>
      <c r="R656" s="2"/>
      <c r="S656" s="9"/>
    </row>
    <row r="657" spans="15:19" x14ac:dyDescent="0.2">
      <c r="O657" s="6"/>
      <c r="P657" s="2"/>
      <c r="Q657" s="2"/>
      <c r="R657" s="2"/>
      <c r="S657" s="9"/>
    </row>
    <row r="658" spans="15:19" x14ac:dyDescent="0.2">
      <c r="O658" s="6"/>
      <c r="P658" s="2"/>
      <c r="Q658" s="2"/>
      <c r="R658" s="2"/>
      <c r="S658" s="9"/>
    </row>
    <row r="659" spans="15:19" x14ac:dyDescent="0.2">
      <c r="O659" s="6"/>
      <c r="P659" s="2"/>
      <c r="Q659" s="2"/>
      <c r="R659" s="2"/>
      <c r="S659" s="9"/>
    </row>
    <row r="660" spans="15:19" x14ac:dyDescent="0.2">
      <c r="O660" s="6"/>
      <c r="P660" s="2"/>
      <c r="Q660" s="2"/>
      <c r="R660" s="2"/>
      <c r="S660" s="9"/>
    </row>
    <row r="661" spans="15:19" x14ac:dyDescent="0.2">
      <c r="O661" s="6"/>
      <c r="P661" s="2"/>
      <c r="Q661" s="2"/>
      <c r="R661" s="2"/>
      <c r="S661" s="9"/>
    </row>
    <row r="662" spans="15:19" x14ac:dyDescent="0.2">
      <c r="O662" s="6"/>
      <c r="P662" s="2"/>
      <c r="Q662" s="2"/>
      <c r="R662" s="2"/>
      <c r="S662" s="9"/>
    </row>
    <row r="663" spans="15:19" x14ac:dyDescent="0.2">
      <c r="O663" s="6"/>
      <c r="P663" s="2"/>
      <c r="Q663" s="2"/>
      <c r="R663" s="2"/>
      <c r="S663" s="9"/>
    </row>
    <row r="664" spans="15:19" x14ac:dyDescent="0.2">
      <c r="O664" s="6"/>
      <c r="P664" s="2"/>
      <c r="Q664" s="2"/>
      <c r="R664" s="2"/>
      <c r="S664" s="9"/>
    </row>
    <row r="665" spans="15:19" x14ac:dyDescent="0.2">
      <c r="O665" s="6"/>
      <c r="P665" s="2"/>
      <c r="Q665" s="2"/>
      <c r="R665" s="2"/>
      <c r="S665" s="9"/>
    </row>
    <row r="666" spans="15:19" x14ac:dyDescent="0.2">
      <c r="O666" s="6"/>
      <c r="P666" s="2"/>
      <c r="Q666" s="2"/>
      <c r="R666" s="2"/>
      <c r="S666" s="9"/>
    </row>
    <row r="667" spans="15:19" x14ac:dyDescent="0.2">
      <c r="O667" s="6"/>
      <c r="P667" s="2"/>
      <c r="Q667" s="2"/>
      <c r="R667" s="2"/>
      <c r="S667" s="9"/>
    </row>
    <row r="668" spans="15:19" x14ac:dyDescent="0.2">
      <c r="O668" s="6"/>
      <c r="P668" s="2"/>
      <c r="Q668" s="2"/>
      <c r="R668" s="2"/>
      <c r="S668" s="8"/>
    </row>
    <row r="669" spans="15:19" x14ac:dyDescent="0.2">
      <c r="O669" s="6"/>
      <c r="P669" s="2"/>
      <c r="Q669" s="2"/>
      <c r="R669" s="2"/>
      <c r="S669" s="8"/>
    </row>
    <row r="670" spans="15:19" x14ac:dyDescent="0.2">
      <c r="O670" s="6"/>
      <c r="P670" s="2"/>
      <c r="Q670" s="2"/>
      <c r="R670" s="2"/>
      <c r="S670" s="8"/>
    </row>
    <row r="671" spans="15:19" x14ac:dyDescent="0.2">
      <c r="O671" s="6"/>
      <c r="P671" s="2"/>
      <c r="Q671" s="2"/>
      <c r="R671" s="2"/>
      <c r="S671" s="8"/>
    </row>
    <row r="672" spans="15:19" x14ac:dyDescent="0.2">
      <c r="O672" s="6"/>
      <c r="P672" s="2"/>
      <c r="Q672" s="2"/>
      <c r="R672" s="2"/>
      <c r="S672" s="8"/>
    </row>
    <row r="673" spans="15:19" x14ac:dyDescent="0.2">
      <c r="O673" s="6"/>
      <c r="P673" s="2"/>
      <c r="Q673" s="2"/>
      <c r="R673" s="2"/>
      <c r="S673" s="8"/>
    </row>
    <row r="674" spans="15:19" x14ac:dyDescent="0.2">
      <c r="O674" s="6"/>
      <c r="P674" s="2"/>
      <c r="Q674" s="2"/>
      <c r="R674" s="2"/>
      <c r="S674" s="8"/>
    </row>
    <row r="675" spans="15:19" x14ac:dyDescent="0.2">
      <c r="O675" s="6"/>
      <c r="P675" s="2"/>
      <c r="Q675" s="2"/>
      <c r="R675" s="2"/>
      <c r="S675" s="8"/>
    </row>
    <row r="676" spans="15:19" x14ac:dyDescent="0.2">
      <c r="O676" s="6"/>
      <c r="P676" s="2"/>
      <c r="Q676" s="2"/>
      <c r="R676" s="2"/>
      <c r="S676" s="8"/>
    </row>
    <row r="677" spans="15:19" x14ac:dyDescent="0.2">
      <c r="O677" s="6"/>
      <c r="P677" s="2"/>
      <c r="Q677" s="2"/>
      <c r="R677" s="2"/>
      <c r="S677" s="8"/>
    </row>
    <row r="678" spans="15:19" x14ac:dyDescent="0.2">
      <c r="O678" s="6"/>
      <c r="P678" s="2"/>
      <c r="Q678" s="2"/>
      <c r="R678" s="2"/>
      <c r="S678" s="8"/>
    </row>
    <row r="679" spans="15:19" x14ac:dyDescent="0.2">
      <c r="O679" s="6"/>
      <c r="P679" s="2"/>
      <c r="Q679" s="2"/>
      <c r="R679" s="2"/>
      <c r="S679" s="8"/>
    </row>
    <row r="680" spans="15:19" x14ac:dyDescent="0.2">
      <c r="O680" s="6"/>
      <c r="P680" s="2"/>
      <c r="Q680" s="2"/>
      <c r="R680" s="2"/>
      <c r="S680" s="8"/>
    </row>
    <row r="681" spans="15:19" x14ac:dyDescent="0.2">
      <c r="O681" s="6"/>
      <c r="P681" s="2"/>
      <c r="Q681" s="2"/>
      <c r="R681" s="2"/>
      <c r="S681" s="8"/>
    </row>
    <row r="682" spans="15:19" x14ac:dyDescent="0.2">
      <c r="O682" s="6"/>
      <c r="P682" s="2"/>
      <c r="Q682" s="2"/>
      <c r="R682" s="2"/>
      <c r="S682" s="8"/>
    </row>
    <row r="683" spans="15:19" x14ac:dyDescent="0.2">
      <c r="O683" s="6"/>
      <c r="P683" s="2"/>
      <c r="Q683" s="2"/>
      <c r="R683" s="2"/>
      <c r="S683" s="8"/>
    </row>
    <row r="684" spans="15:19" x14ac:dyDescent="0.2">
      <c r="O684" s="6"/>
      <c r="P684" s="2"/>
      <c r="Q684" s="2"/>
      <c r="R684" s="2"/>
      <c r="S684" s="8"/>
    </row>
    <row r="685" spans="15:19" x14ac:dyDescent="0.2">
      <c r="O685" s="6"/>
      <c r="P685" s="2"/>
      <c r="Q685" s="2"/>
      <c r="R685" s="2"/>
      <c r="S685" s="8"/>
    </row>
    <row r="686" spans="15:19" x14ac:dyDescent="0.2">
      <c r="O686" s="6"/>
      <c r="P686" s="2"/>
      <c r="Q686" s="2"/>
      <c r="R686" s="2"/>
      <c r="S686" s="8"/>
    </row>
    <row r="687" spans="15:19" x14ac:dyDescent="0.2">
      <c r="O687" s="6"/>
      <c r="P687" s="2"/>
      <c r="Q687" s="2"/>
      <c r="R687" s="2"/>
      <c r="S687" s="8"/>
    </row>
    <row r="688" spans="15:19" x14ac:dyDescent="0.2">
      <c r="O688" s="6"/>
      <c r="P688" s="2"/>
      <c r="Q688" s="2"/>
      <c r="R688" s="2"/>
      <c r="S688" s="8"/>
    </row>
    <row r="689" spans="15:19" x14ac:dyDescent="0.2">
      <c r="O689" s="6"/>
      <c r="P689" s="2"/>
      <c r="Q689" s="2"/>
      <c r="R689" s="2"/>
      <c r="S689" s="8"/>
    </row>
    <row r="690" spans="15:19" x14ac:dyDescent="0.2">
      <c r="O690" s="6"/>
      <c r="P690" s="2"/>
      <c r="Q690" s="2"/>
      <c r="R690" s="2"/>
      <c r="S690" s="8"/>
    </row>
    <row r="691" spans="15:19" x14ac:dyDescent="0.2">
      <c r="O691" s="6"/>
      <c r="P691" s="2"/>
      <c r="Q691" s="2"/>
      <c r="R691" s="2"/>
      <c r="S691" s="8"/>
    </row>
    <row r="692" spans="15:19" x14ac:dyDescent="0.2">
      <c r="O692" s="6"/>
      <c r="P692" s="2"/>
      <c r="Q692" s="2"/>
      <c r="R692" s="2"/>
      <c r="S692" s="8"/>
    </row>
    <row r="693" spans="15:19" x14ac:dyDescent="0.2">
      <c r="O693" s="6"/>
      <c r="P693" s="2"/>
      <c r="Q693" s="2"/>
      <c r="R693" s="2"/>
      <c r="S693" s="8"/>
    </row>
    <row r="694" spans="15:19" x14ac:dyDescent="0.2">
      <c r="O694" s="6"/>
      <c r="P694" s="2"/>
      <c r="Q694" s="2"/>
      <c r="R694" s="2"/>
      <c r="S694" s="8"/>
    </row>
    <row r="695" spans="15:19" x14ac:dyDescent="0.2">
      <c r="O695" s="6"/>
      <c r="P695" s="2"/>
      <c r="Q695" s="2"/>
      <c r="R695" s="2"/>
      <c r="S695" s="8"/>
    </row>
    <row r="696" spans="15:19" x14ac:dyDescent="0.2">
      <c r="O696" s="6"/>
      <c r="P696" s="2"/>
      <c r="Q696" s="2"/>
      <c r="R696" s="2"/>
      <c r="S696" s="8"/>
    </row>
    <row r="697" spans="15:19" x14ac:dyDescent="0.2">
      <c r="O697" s="6"/>
      <c r="P697" s="2"/>
      <c r="Q697" s="2"/>
      <c r="R697" s="2"/>
      <c r="S697" s="8"/>
    </row>
    <row r="698" spans="15:19" x14ac:dyDescent="0.2">
      <c r="O698" s="6"/>
      <c r="P698" s="2"/>
      <c r="Q698" s="2"/>
      <c r="R698" s="2"/>
      <c r="S698" s="8"/>
    </row>
    <row r="699" spans="15:19" x14ac:dyDescent="0.2">
      <c r="O699" s="6"/>
      <c r="P699" s="2"/>
      <c r="Q699" s="2"/>
      <c r="R699" s="2"/>
      <c r="S699" s="8"/>
    </row>
    <row r="700" spans="15:19" x14ac:dyDescent="0.2">
      <c r="O700" s="6"/>
      <c r="P700" s="2"/>
      <c r="Q700" s="2"/>
      <c r="R700" s="2"/>
      <c r="S700" s="8"/>
    </row>
    <row r="701" spans="15:19" x14ac:dyDescent="0.2">
      <c r="O701" s="6"/>
      <c r="P701" s="2"/>
      <c r="Q701" s="2"/>
      <c r="R701" s="2"/>
      <c r="S701" s="8"/>
    </row>
    <row r="702" spans="15:19" x14ac:dyDescent="0.2">
      <c r="O702" s="6"/>
      <c r="P702" s="2"/>
      <c r="Q702" s="2"/>
      <c r="R702" s="2"/>
      <c r="S702" s="8"/>
    </row>
    <row r="703" spans="15:19" x14ac:dyDescent="0.2">
      <c r="O703" s="6"/>
      <c r="P703" s="2"/>
      <c r="Q703" s="2"/>
      <c r="R703" s="2"/>
      <c r="S703" s="8"/>
    </row>
    <row r="704" spans="15:19" x14ac:dyDescent="0.2">
      <c r="O704" s="6"/>
      <c r="P704" s="2"/>
      <c r="Q704" s="2"/>
      <c r="R704" s="2"/>
      <c r="S704" s="8"/>
    </row>
    <row r="705" spans="15:19" x14ac:dyDescent="0.2">
      <c r="O705" s="6"/>
      <c r="P705" s="2"/>
      <c r="Q705" s="2"/>
      <c r="R705" s="2"/>
      <c r="S705" s="8"/>
    </row>
    <row r="706" spans="15:19" x14ac:dyDescent="0.2">
      <c r="O706" s="6"/>
      <c r="P706" s="2"/>
      <c r="Q706" s="2"/>
      <c r="R706" s="2"/>
      <c r="S706" s="8"/>
    </row>
    <row r="707" spans="15:19" x14ac:dyDescent="0.2">
      <c r="O707" s="6"/>
      <c r="P707" s="2"/>
      <c r="Q707" s="2"/>
      <c r="R707" s="2"/>
      <c r="S707" s="8"/>
    </row>
    <row r="708" spans="15:19" x14ac:dyDescent="0.2">
      <c r="O708" s="6"/>
      <c r="P708" s="2"/>
      <c r="Q708" s="2"/>
      <c r="R708" s="2"/>
      <c r="S708" s="8"/>
    </row>
    <row r="709" spans="15:19" x14ac:dyDescent="0.2">
      <c r="O709" s="6"/>
      <c r="P709" s="2"/>
      <c r="Q709" s="2"/>
      <c r="R709" s="2"/>
      <c r="S709" s="8"/>
    </row>
    <row r="710" spans="15:19" x14ac:dyDescent="0.2">
      <c r="O710" s="6"/>
      <c r="P710" s="2"/>
      <c r="Q710" s="2"/>
      <c r="R710" s="2"/>
      <c r="S710" s="8"/>
    </row>
    <row r="711" spans="15:19" x14ac:dyDescent="0.2">
      <c r="O711" s="6"/>
      <c r="P711" s="2"/>
      <c r="Q711" s="2"/>
      <c r="R711" s="2"/>
      <c r="S711" s="8"/>
    </row>
    <row r="712" spans="15:19" x14ac:dyDescent="0.2">
      <c r="O712" s="6"/>
      <c r="P712" s="2"/>
      <c r="Q712" s="2"/>
      <c r="R712" s="2"/>
      <c r="S712" s="8"/>
    </row>
    <row r="713" spans="15:19" x14ac:dyDescent="0.2">
      <c r="O713" s="6"/>
      <c r="P713" s="2"/>
      <c r="Q713" s="2"/>
      <c r="R713" s="2"/>
      <c r="S713" s="8"/>
    </row>
    <row r="714" spans="15:19" x14ac:dyDescent="0.2">
      <c r="O714" s="6"/>
      <c r="P714" s="2"/>
      <c r="Q714" s="2"/>
      <c r="R714" s="2"/>
      <c r="S714" s="8"/>
    </row>
    <row r="715" spans="15:19" x14ac:dyDescent="0.2">
      <c r="O715" s="6"/>
      <c r="P715" s="2"/>
      <c r="Q715" s="2"/>
      <c r="R715" s="2"/>
      <c r="S715" s="8"/>
    </row>
    <row r="716" spans="15:19" x14ac:dyDescent="0.2">
      <c r="O716" s="6"/>
      <c r="P716" s="2"/>
      <c r="Q716" s="2"/>
      <c r="R716" s="2"/>
      <c r="S716" s="8"/>
    </row>
    <row r="717" spans="15:19" x14ac:dyDescent="0.2">
      <c r="O717" s="6"/>
      <c r="P717" s="2"/>
      <c r="Q717" s="2"/>
      <c r="R717" s="2"/>
      <c r="S717" s="8"/>
    </row>
    <row r="718" spans="15:19" x14ac:dyDescent="0.2">
      <c r="O718" s="6"/>
      <c r="P718" s="2"/>
      <c r="Q718" s="2"/>
      <c r="R718" s="2"/>
      <c r="S718" s="8"/>
    </row>
    <row r="719" spans="15:19" x14ac:dyDescent="0.2">
      <c r="O719" s="6"/>
      <c r="P719" s="2"/>
      <c r="Q719" s="2"/>
      <c r="R719" s="2"/>
      <c r="S719" s="8"/>
    </row>
    <row r="720" spans="15:19" x14ac:dyDescent="0.2">
      <c r="O720" s="6"/>
      <c r="P720" s="2"/>
      <c r="Q720" s="2"/>
      <c r="R720" s="2"/>
      <c r="S720" s="8"/>
    </row>
    <row r="721" spans="15:19" x14ac:dyDescent="0.2">
      <c r="O721" s="6"/>
      <c r="P721" s="2"/>
      <c r="Q721" s="2"/>
      <c r="R721" s="2"/>
      <c r="S721" s="8"/>
    </row>
    <row r="722" spans="15:19" x14ac:dyDescent="0.2">
      <c r="O722" s="6"/>
      <c r="P722" s="2"/>
      <c r="Q722" s="2"/>
      <c r="R722" s="2"/>
      <c r="S722" s="8"/>
    </row>
    <row r="723" spans="15:19" x14ac:dyDescent="0.2">
      <c r="O723" s="6"/>
      <c r="P723" s="2"/>
      <c r="Q723" s="2"/>
      <c r="R723" s="2"/>
      <c r="S723" s="8"/>
    </row>
    <row r="724" spans="15:19" x14ac:dyDescent="0.2">
      <c r="O724" s="6"/>
      <c r="P724" s="2"/>
      <c r="Q724" s="2"/>
      <c r="R724" s="2"/>
      <c r="S724" s="8"/>
    </row>
    <row r="725" spans="15:19" x14ac:dyDescent="0.2">
      <c r="O725" s="6"/>
      <c r="P725" s="2"/>
      <c r="Q725" s="2"/>
      <c r="R725" s="2"/>
      <c r="S725" s="8"/>
    </row>
    <row r="726" spans="15:19" x14ac:dyDescent="0.2">
      <c r="O726" s="6"/>
      <c r="P726" s="2"/>
      <c r="Q726" s="2"/>
      <c r="R726" s="2"/>
      <c r="S726" s="8"/>
    </row>
    <row r="727" spans="15:19" x14ac:dyDescent="0.2">
      <c r="O727" s="6"/>
      <c r="P727" s="2"/>
      <c r="Q727" s="2"/>
      <c r="R727" s="2"/>
      <c r="S727" s="8"/>
    </row>
    <row r="728" spans="15:19" x14ac:dyDescent="0.2">
      <c r="O728" s="6"/>
      <c r="P728" s="2"/>
      <c r="Q728" s="2"/>
      <c r="R728" s="2"/>
      <c r="S728" s="8"/>
    </row>
    <row r="729" spans="15:19" x14ac:dyDescent="0.2">
      <c r="O729" s="6"/>
      <c r="P729" s="2"/>
      <c r="Q729" s="2"/>
      <c r="R729" s="2"/>
      <c r="S729" s="8"/>
    </row>
    <row r="730" spans="15:19" x14ac:dyDescent="0.2">
      <c r="O730" s="6"/>
      <c r="P730" s="2"/>
      <c r="Q730" s="2"/>
      <c r="R730" s="2"/>
      <c r="S730" s="8"/>
    </row>
    <row r="731" spans="15:19" x14ac:dyDescent="0.2">
      <c r="O731" s="6"/>
      <c r="P731" s="2"/>
      <c r="Q731" s="2"/>
      <c r="R731" s="2"/>
      <c r="S731" s="8"/>
    </row>
    <row r="732" spans="15:19" x14ac:dyDescent="0.2">
      <c r="O732" s="6"/>
      <c r="P732" s="2"/>
      <c r="Q732" s="2"/>
      <c r="R732" s="2"/>
      <c r="S732" s="8"/>
    </row>
    <row r="733" spans="15:19" x14ac:dyDescent="0.2">
      <c r="O733" s="6"/>
      <c r="P733" s="2"/>
      <c r="Q733" s="2"/>
      <c r="R733" s="2"/>
      <c r="S733" s="8"/>
    </row>
    <row r="734" spans="15:19" x14ac:dyDescent="0.2">
      <c r="O734" s="6"/>
      <c r="P734" s="2"/>
      <c r="Q734" s="2"/>
      <c r="R734" s="2"/>
      <c r="S734" s="8"/>
    </row>
    <row r="735" spans="15:19" x14ac:dyDescent="0.2">
      <c r="O735" s="6"/>
      <c r="P735" s="2"/>
      <c r="Q735" s="2"/>
      <c r="R735" s="2"/>
      <c r="S735" s="8"/>
    </row>
    <row r="736" spans="15:19" x14ac:dyDescent="0.2">
      <c r="O736" s="6"/>
      <c r="P736" s="2"/>
      <c r="Q736" s="2"/>
      <c r="R736" s="2"/>
      <c r="S736" s="8"/>
    </row>
    <row r="737" spans="15:19" x14ac:dyDescent="0.2">
      <c r="O737" s="6"/>
      <c r="P737" s="2"/>
      <c r="Q737" s="2"/>
      <c r="R737" s="2"/>
      <c r="S737" s="8"/>
    </row>
    <row r="738" spans="15:19" x14ac:dyDescent="0.2">
      <c r="O738" s="6"/>
      <c r="P738" s="2"/>
      <c r="Q738" s="2"/>
      <c r="R738" s="2"/>
      <c r="S738" s="8"/>
    </row>
    <row r="739" spans="15:19" x14ac:dyDescent="0.2">
      <c r="O739" s="6"/>
      <c r="P739" s="2"/>
      <c r="Q739" s="2"/>
      <c r="R739" s="2"/>
      <c r="S739" s="8"/>
    </row>
    <row r="740" spans="15:19" x14ac:dyDescent="0.2">
      <c r="O740" s="6"/>
      <c r="P740" s="2"/>
      <c r="Q740" s="2"/>
      <c r="R740" s="2"/>
      <c r="S740" s="8"/>
    </row>
    <row r="741" spans="15:19" x14ac:dyDescent="0.2">
      <c r="O741" s="6"/>
      <c r="P741" s="2"/>
      <c r="Q741" s="2"/>
      <c r="R741" s="2"/>
      <c r="S741" s="8"/>
    </row>
    <row r="742" spans="15:19" x14ac:dyDescent="0.2">
      <c r="O742" s="6"/>
      <c r="P742" s="2"/>
      <c r="Q742" s="2"/>
      <c r="R742" s="2"/>
      <c r="S742" s="8"/>
    </row>
    <row r="743" spans="15:19" x14ac:dyDescent="0.2">
      <c r="O743" s="6"/>
      <c r="P743" s="2"/>
      <c r="Q743" s="2"/>
      <c r="R743" s="2"/>
      <c r="S743" s="8"/>
    </row>
    <row r="744" spans="15:19" x14ac:dyDescent="0.2">
      <c r="O744" s="6"/>
      <c r="P744" s="2"/>
      <c r="Q744" s="2"/>
      <c r="R744" s="2"/>
      <c r="S744" s="8"/>
    </row>
    <row r="745" spans="15:19" x14ac:dyDescent="0.2">
      <c r="O745" s="6"/>
      <c r="P745" s="2"/>
      <c r="Q745" s="2"/>
      <c r="R745" s="2"/>
      <c r="S745" s="8"/>
    </row>
    <row r="746" spans="15:19" x14ac:dyDescent="0.2">
      <c r="O746" s="6"/>
      <c r="P746" s="2"/>
      <c r="Q746" s="2"/>
      <c r="R746" s="2"/>
      <c r="S746" s="8"/>
    </row>
    <row r="747" spans="15:19" x14ac:dyDescent="0.2">
      <c r="O747" s="6"/>
      <c r="P747" s="2"/>
      <c r="Q747" s="2"/>
      <c r="R747" s="2"/>
      <c r="S747" s="8"/>
    </row>
    <row r="748" spans="15:19" x14ac:dyDescent="0.2">
      <c r="O748" s="6"/>
      <c r="P748" s="2"/>
      <c r="Q748" s="2"/>
      <c r="R748" s="2"/>
      <c r="S748" s="8"/>
    </row>
    <row r="749" spans="15:19" x14ac:dyDescent="0.2">
      <c r="O749" s="6"/>
      <c r="P749" s="2"/>
      <c r="Q749" s="2"/>
      <c r="R749" s="2"/>
      <c r="S749" s="8"/>
    </row>
    <row r="750" spans="15:19" x14ac:dyDescent="0.2">
      <c r="O750" s="6"/>
      <c r="P750" s="2"/>
      <c r="Q750" s="2"/>
      <c r="R750" s="2"/>
      <c r="S750" s="8"/>
    </row>
    <row r="751" spans="15:19" x14ac:dyDescent="0.2">
      <c r="O751" s="6"/>
      <c r="P751" s="2"/>
      <c r="Q751" s="2"/>
      <c r="R751" s="2"/>
      <c r="S751" s="8"/>
    </row>
    <row r="752" spans="15:19" x14ac:dyDescent="0.2">
      <c r="O752" s="6"/>
      <c r="P752" s="2"/>
      <c r="Q752" s="2"/>
      <c r="R752" s="2"/>
      <c r="S752" s="8"/>
    </row>
    <row r="753" spans="15:19" x14ac:dyDescent="0.2">
      <c r="O753" s="6"/>
      <c r="P753" s="2"/>
      <c r="Q753" s="2"/>
      <c r="R753" s="2"/>
      <c r="S753" s="8"/>
    </row>
    <row r="754" spans="15:19" x14ac:dyDescent="0.2">
      <c r="O754" s="6"/>
      <c r="P754" s="2"/>
      <c r="Q754" s="2"/>
      <c r="R754" s="2"/>
      <c r="S754" s="8"/>
    </row>
    <row r="755" spans="15:19" x14ac:dyDescent="0.2">
      <c r="O755" s="6"/>
      <c r="P755" s="2"/>
      <c r="Q755" s="2"/>
      <c r="R755" s="2"/>
      <c r="S755" s="8"/>
    </row>
    <row r="756" spans="15:19" x14ac:dyDescent="0.2">
      <c r="O756" s="6"/>
      <c r="P756" s="2"/>
      <c r="Q756" s="2"/>
      <c r="R756" s="2"/>
      <c r="S756" s="8"/>
    </row>
    <row r="757" spans="15:19" x14ac:dyDescent="0.2">
      <c r="O757" s="6"/>
      <c r="P757" s="2"/>
      <c r="Q757" s="2"/>
      <c r="R757" s="2"/>
      <c r="S757" s="8"/>
    </row>
    <row r="758" spans="15:19" x14ac:dyDescent="0.2">
      <c r="O758" s="6"/>
      <c r="P758" s="2"/>
      <c r="Q758" s="2"/>
      <c r="R758" s="2"/>
      <c r="S758" s="8"/>
    </row>
    <row r="759" spans="15:19" x14ac:dyDescent="0.2">
      <c r="O759" s="6"/>
      <c r="P759" s="2"/>
      <c r="Q759" s="2"/>
      <c r="R759" s="2"/>
      <c r="S759" s="8"/>
    </row>
    <row r="760" spans="15:19" x14ac:dyDescent="0.2">
      <c r="O760" s="6"/>
      <c r="P760" s="2"/>
      <c r="Q760" s="2"/>
      <c r="R760" s="2"/>
      <c r="S760" s="8"/>
    </row>
    <row r="761" spans="15:19" x14ac:dyDescent="0.2">
      <c r="O761" s="6"/>
      <c r="P761" s="2"/>
      <c r="Q761" s="2"/>
      <c r="R761" s="2"/>
      <c r="S761" s="8"/>
    </row>
    <row r="762" spans="15:19" x14ac:dyDescent="0.2">
      <c r="O762" s="6"/>
      <c r="P762" s="2"/>
      <c r="Q762" s="2"/>
      <c r="R762" s="2"/>
      <c r="S762" s="8"/>
    </row>
    <row r="763" spans="15:19" x14ac:dyDescent="0.2">
      <c r="O763" s="6"/>
      <c r="P763" s="2"/>
      <c r="Q763" s="2"/>
      <c r="R763" s="2"/>
      <c r="S763" s="8"/>
    </row>
    <row r="764" spans="15:19" x14ac:dyDescent="0.2">
      <c r="O764" s="6"/>
      <c r="P764" s="2"/>
      <c r="Q764" s="2"/>
      <c r="R764" s="2"/>
      <c r="S764" s="8"/>
    </row>
    <row r="765" spans="15:19" x14ac:dyDescent="0.2">
      <c r="O765" s="6"/>
      <c r="P765" s="2"/>
      <c r="Q765" s="2"/>
      <c r="R765" s="2"/>
      <c r="S765" s="8"/>
    </row>
    <row r="766" spans="15:19" x14ac:dyDescent="0.2">
      <c r="O766" s="6"/>
      <c r="P766" s="2"/>
      <c r="Q766" s="2"/>
      <c r="R766" s="2"/>
      <c r="S766" s="8"/>
    </row>
    <row r="767" spans="15:19" x14ac:dyDescent="0.2">
      <c r="O767" s="6"/>
      <c r="P767" s="2"/>
      <c r="Q767" s="2"/>
      <c r="R767" s="2"/>
      <c r="S767" s="8"/>
    </row>
    <row r="768" spans="15:19" x14ac:dyDescent="0.2">
      <c r="O768" s="6"/>
      <c r="P768" s="2"/>
      <c r="Q768" s="2"/>
      <c r="R768" s="2"/>
      <c r="S768" s="8"/>
    </row>
    <row r="769" spans="15:19" x14ac:dyDescent="0.2">
      <c r="O769" s="6"/>
      <c r="P769" s="2"/>
      <c r="Q769" s="2"/>
      <c r="R769" s="2"/>
      <c r="S769" s="8"/>
    </row>
    <row r="770" spans="15:19" x14ac:dyDescent="0.2">
      <c r="O770" s="6"/>
      <c r="P770" s="2"/>
      <c r="Q770" s="2"/>
      <c r="R770" s="2"/>
      <c r="S770" s="8"/>
    </row>
    <row r="771" spans="15:19" x14ac:dyDescent="0.2">
      <c r="O771" s="6"/>
      <c r="P771" s="2"/>
      <c r="Q771" s="2"/>
      <c r="R771" s="2"/>
      <c r="S771" s="8"/>
    </row>
    <row r="772" spans="15:19" x14ac:dyDescent="0.2">
      <c r="O772" s="6"/>
      <c r="P772" s="2"/>
      <c r="Q772" s="2"/>
      <c r="R772" s="2"/>
      <c r="S772" s="8"/>
    </row>
    <row r="773" spans="15:19" x14ac:dyDescent="0.2">
      <c r="O773" s="6"/>
      <c r="P773" s="2"/>
      <c r="Q773" s="2"/>
      <c r="R773" s="2"/>
      <c r="S773" s="8"/>
    </row>
    <row r="774" spans="15:19" x14ac:dyDescent="0.2">
      <c r="O774" s="6"/>
      <c r="P774" s="2"/>
      <c r="Q774" s="2"/>
      <c r="R774" s="2"/>
      <c r="S774" s="8"/>
    </row>
    <row r="775" spans="15:19" x14ac:dyDescent="0.2">
      <c r="O775" s="6"/>
      <c r="P775" s="2"/>
      <c r="Q775" s="2"/>
      <c r="R775" s="2"/>
      <c r="S775" s="8"/>
    </row>
    <row r="776" spans="15:19" x14ac:dyDescent="0.2">
      <c r="O776" s="6"/>
      <c r="P776" s="2"/>
      <c r="Q776" s="2"/>
      <c r="R776" s="2"/>
      <c r="S776" s="8"/>
    </row>
    <row r="777" spans="15:19" x14ac:dyDescent="0.2">
      <c r="O777" s="6"/>
      <c r="P777" s="2"/>
      <c r="Q777" s="2"/>
      <c r="R777" s="2"/>
      <c r="S777" s="8"/>
    </row>
    <row r="778" spans="15:19" x14ac:dyDescent="0.2">
      <c r="O778" s="6"/>
      <c r="P778" s="2"/>
      <c r="Q778" s="2"/>
      <c r="R778" s="2"/>
      <c r="S778" s="8"/>
    </row>
    <row r="779" spans="15:19" x14ac:dyDescent="0.2">
      <c r="O779" s="6"/>
      <c r="P779" s="2"/>
      <c r="Q779" s="2"/>
      <c r="R779" s="2"/>
      <c r="S779" s="8"/>
    </row>
    <row r="780" spans="15:19" x14ac:dyDescent="0.2">
      <c r="O780" s="6"/>
      <c r="P780" s="2"/>
      <c r="Q780" s="2"/>
      <c r="R780" s="2"/>
      <c r="S780" s="8"/>
    </row>
    <row r="781" spans="15:19" x14ac:dyDescent="0.2">
      <c r="O781" s="6"/>
      <c r="P781" s="2"/>
      <c r="Q781" s="2"/>
      <c r="R781" s="2"/>
      <c r="S781" s="8"/>
    </row>
    <row r="782" spans="15:19" x14ac:dyDescent="0.2">
      <c r="O782" s="6"/>
      <c r="P782" s="2"/>
      <c r="Q782" s="2"/>
      <c r="R782" s="2"/>
      <c r="S782" s="8"/>
    </row>
    <row r="783" spans="15:19" x14ac:dyDescent="0.2">
      <c r="O783" s="6"/>
      <c r="P783" s="2"/>
      <c r="Q783" s="2"/>
      <c r="R783" s="2"/>
      <c r="S783" s="8"/>
    </row>
    <row r="784" spans="15:19" x14ac:dyDescent="0.2">
      <c r="O784" s="6"/>
      <c r="P784" s="2"/>
      <c r="Q784" s="2"/>
      <c r="R784" s="2"/>
      <c r="S784" s="8"/>
    </row>
    <row r="785" spans="15:19" x14ac:dyDescent="0.2">
      <c r="O785" s="6"/>
      <c r="P785" s="2"/>
      <c r="Q785" s="2"/>
      <c r="R785" s="2"/>
      <c r="S785" s="8"/>
    </row>
    <row r="786" spans="15:19" x14ac:dyDescent="0.2">
      <c r="O786" s="6"/>
      <c r="P786" s="2"/>
      <c r="Q786" s="2"/>
      <c r="R786" s="2"/>
      <c r="S786" s="8"/>
    </row>
    <row r="787" spans="15:19" x14ac:dyDescent="0.2">
      <c r="O787" s="6"/>
      <c r="P787" s="2"/>
      <c r="Q787" s="2"/>
      <c r="R787" s="2"/>
      <c r="S787" s="8"/>
    </row>
    <row r="788" spans="15:19" x14ac:dyDescent="0.2">
      <c r="O788" s="6"/>
      <c r="P788" s="2"/>
      <c r="Q788" s="2"/>
      <c r="R788" s="2"/>
      <c r="S788" s="8"/>
    </row>
    <row r="789" spans="15:19" x14ac:dyDescent="0.2">
      <c r="O789" s="6"/>
      <c r="P789" s="2"/>
      <c r="Q789" s="2"/>
      <c r="R789" s="2"/>
      <c r="S789" s="8"/>
    </row>
    <row r="790" spans="15:19" x14ac:dyDescent="0.2">
      <c r="O790" s="6"/>
      <c r="P790" s="2"/>
      <c r="Q790" s="2"/>
      <c r="R790" s="2"/>
      <c r="S790" s="8"/>
    </row>
    <row r="791" spans="15:19" x14ac:dyDescent="0.2">
      <c r="O791" s="6"/>
      <c r="P791" s="2"/>
      <c r="Q791" s="2"/>
      <c r="R791" s="2"/>
      <c r="S791" s="8"/>
    </row>
    <row r="792" spans="15:19" x14ac:dyDescent="0.2">
      <c r="O792" s="6"/>
      <c r="P792" s="2"/>
      <c r="Q792" s="2"/>
      <c r="R792" s="2"/>
      <c r="S792" s="8"/>
    </row>
    <row r="793" spans="15:19" x14ac:dyDescent="0.2">
      <c r="O793" s="6"/>
      <c r="P793" s="2"/>
      <c r="Q793" s="2"/>
      <c r="R793" s="2"/>
      <c r="S793" s="8"/>
    </row>
    <row r="794" spans="15:19" x14ac:dyDescent="0.2">
      <c r="O794" s="6"/>
      <c r="P794" s="2"/>
      <c r="Q794" s="2"/>
      <c r="R794" s="2"/>
      <c r="S794" s="8"/>
    </row>
    <row r="795" spans="15:19" x14ac:dyDescent="0.2">
      <c r="O795" s="6"/>
      <c r="P795" s="2"/>
      <c r="Q795" s="2"/>
      <c r="R795" s="2"/>
      <c r="S795" s="8"/>
    </row>
    <row r="796" spans="15:19" x14ac:dyDescent="0.2">
      <c r="O796" s="6"/>
      <c r="P796" s="2"/>
      <c r="Q796" s="2"/>
      <c r="R796" s="2"/>
      <c r="S796" s="8"/>
    </row>
    <row r="797" spans="15:19" x14ac:dyDescent="0.2">
      <c r="O797" s="6"/>
      <c r="P797" s="2"/>
      <c r="Q797" s="2"/>
      <c r="R797" s="2"/>
      <c r="S797" s="8"/>
    </row>
    <row r="798" spans="15:19" x14ac:dyDescent="0.2">
      <c r="O798" s="6"/>
      <c r="P798" s="2"/>
      <c r="Q798" s="2"/>
      <c r="R798" s="2"/>
      <c r="S798" s="8"/>
    </row>
    <row r="799" spans="15:19" x14ac:dyDescent="0.2">
      <c r="O799" s="6"/>
      <c r="P799" s="2"/>
      <c r="Q799" s="2"/>
      <c r="R799" s="2"/>
      <c r="S799" s="8"/>
    </row>
    <row r="800" spans="15:19" x14ac:dyDescent="0.2">
      <c r="O800" s="6"/>
      <c r="P800" s="2"/>
      <c r="Q800" s="2"/>
      <c r="R800" s="2"/>
      <c r="S800" s="8"/>
    </row>
    <row r="801" spans="15:19" x14ac:dyDescent="0.2">
      <c r="O801" s="6"/>
      <c r="P801" s="2"/>
      <c r="Q801" s="2"/>
      <c r="R801" s="2"/>
      <c r="S801" s="8"/>
    </row>
    <row r="802" spans="15:19" x14ac:dyDescent="0.2">
      <c r="O802" s="6"/>
      <c r="P802" s="2"/>
      <c r="Q802" s="2"/>
      <c r="R802" s="2"/>
      <c r="S802" s="8"/>
    </row>
    <row r="803" spans="15:19" x14ac:dyDescent="0.2">
      <c r="O803" s="6"/>
      <c r="P803" s="2"/>
      <c r="Q803" s="2"/>
      <c r="R803" s="2"/>
      <c r="S803" s="8"/>
    </row>
    <row r="804" spans="15:19" x14ac:dyDescent="0.2">
      <c r="O804" s="6"/>
      <c r="P804" s="2"/>
      <c r="Q804" s="2"/>
      <c r="R804" s="2"/>
      <c r="S804" s="8"/>
    </row>
    <row r="805" spans="15:19" x14ac:dyDescent="0.2">
      <c r="O805" s="6"/>
      <c r="P805" s="2"/>
      <c r="Q805" s="2"/>
      <c r="R805" s="2"/>
      <c r="S805" s="8"/>
    </row>
    <row r="806" spans="15:19" x14ac:dyDescent="0.2">
      <c r="O806" s="6"/>
      <c r="P806" s="2"/>
      <c r="Q806" s="2"/>
      <c r="R806" s="2"/>
      <c r="S806" s="8"/>
    </row>
    <row r="807" spans="15:19" x14ac:dyDescent="0.2">
      <c r="O807" s="6"/>
      <c r="P807" s="2"/>
      <c r="Q807" s="2"/>
      <c r="R807" s="2"/>
      <c r="S807" s="8"/>
    </row>
    <row r="808" spans="15:19" x14ac:dyDescent="0.2">
      <c r="O808" s="6"/>
      <c r="P808" s="2"/>
      <c r="Q808" s="2"/>
      <c r="R808" s="2"/>
      <c r="S808" s="8"/>
    </row>
    <row r="809" spans="15:19" x14ac:dyDescent="0.2">
      <c r="O809" s="6"/>
      <c r="P809" s="2"/>
      <c r="Q809" s="2"/>
      <c r="R809" s="2"/>
      <c r="S809" s="8"/>
    </row>
    <row r="810" spans="15:19" x14ac:dyDescent="0.2">
      <c r="O810" s="6"/>
      <c r="P810" s="2"/>
      <c r="Q810" s="2"/>
      <c r="R810" s="2"/>
      <c r="S810" s="8"/>
    </row>
    <row r="811" spans="15:19" x14ac:dyDescent="0.2">
      <c r="O811" s="6"/>
      <c r="P811" s="2"/>
      <c r="Q811" s="2"/>
      <c r="R811" s="2"/>
      <c r="S811" s="8"/>
    </row>
    <row r="812" spans="15:19" x14ac:dyDescent="0.2">
      <c r="O812" s="6"/>
      <c r="P812" s="2"/>
      <c r="Q812" s="2"/>
      <c r="R812" s="2"/>
      <c r="S812" s="8"/>
    </row>
    <row r="813" spans="15:19" x14ac:dyDescent="0.2">
      <c r="O813" s="6"/>
      <c r="P813" s="2"/>
      <c r="Q813" s="2"/>
      <c r="R813" s="2"/>
      <c r="S813" s="8"/>
    </row>
    <row r="814" spans="15:19" x14ac:dyDescent="0.2">
      <c r="O814" s="6"/>
      <c r="P814" s="2"/>
      <c r="Q814" s="2"/>
      <c r="R814" s="2"/>
      <c r="S814" s="8"/>
    </row>
    <row r="815" spans="15:19" x14ac:dyDescent="0.2">
      <c r="O815" s="6"/>
      <c r="P815" s="2"/>
      <c r="Q815" s="2"/>
      <c r="R815" s="2"/>
      <c r="S815" s="8"/>
    </row>
    <row r="816" spans="15:19" x14ac:dyDescent="0.2">
      <c r="O816" s="6"/>
      <c r="P816" s="2"/>
      <c r="Q816" s="2"/>
      <c r="R816" s="2"/>
      <c r="S816" s="8"/>
    </row>
    <row r="817" spans="15:19" x14ac:dyDescent="0.2">
      <c r="O817" s="6"/>
      <c r="P817" s="2"/>
      <c r="Q817" s="2"/>
      <c r="R817" s="2"/>
      <c r="S817" s="8"/>
    </row>
    <row r="818" spans="15:19" x14ac:dyDescent="0.2">
      <c r="O818" s="6"/>
      <c r="P818" s="2"/>
      <c r="Q818" s="2"/>
      <c r="R818" s="2"/>
      <c r="S818" s="8"/>
    </row>
    <row r="819" spans="15:19" x14ac:dyDescent="0.2">
      <c r="O819" s="6"/>
      <c r="P819" s="2"/>
      <c r="Q819" s="2"/>
      <c r="R819" s="2"/>
      <c r="S819" s="8"/>
    </row>
    <row r="820" spans="15:19" x14ac:dyDescent="0.2">
      <c r="O820" s="6"/>
      <c r="P820" s="2"/>
      <c r="Q820" s="2"/>
      <c r="R820" s="2"/>
      <c r="S820" s="8"/>
    </row>
    <row r="821" spans="15:19" x14ac:dyDescent="0.2">
      <c r="O821" s="6"/>
      <c r="P821" s="2"/>
      <c r="Q821" s="2"/>
      <c r="R821" s="2"/>
      <c r="S821" s="8"/>
    </row>
    <row r="822" spans="15:19" x14ac:dyDescent="0.2">
      <c r="O822" s="6"/>
      <c r="P822" s="2"/>
      <c r="Q822" s="2"/>
      <c r="R822" s="2"/>
      <c r="S822" s="8"/>
    </row>
    <row r="823" spans="15:19" x14ac:dyDescent="0.2">
      <c r="O823" s="6"/>
      <c r="P823" s="2"/>
      <c r="Q823" s="2"/>
      <c r="R823" s="2"/>
      <c r="S823" s="8"/>
    </row>
    <row r="824" spans="15:19" x14ac:dyDescent="0.2">
      <c r="O824" s="6"/>
      <c r="P824" s="2"/>
      <c r="Q824" s="2"/>
      <c r="R824" s="2"/>
      <c r="S824" s="8"/>
    </row>
    <row r="825" spans="15:19" x14ac:dyDescent="0.2">
      <c r="O825" s="6"/>
      <c r="P825" s="2"/>
      <c r="Q825" s="2"/>
      <c r="R825" s="2"/>
      <c r="S825" s="8"/>
    </row>
    <row r="826" spans="15:19" x14ac:dyDescent="0.2">
      <c r="O826" s="6"/>
      <c r="P826" s="2"/>
      <c r="Q826" s="2"/>
      <c r="R826" s="2"/>
      <c r="S826" s="8"/>
    </row>
    <row r="827" spans="15:19" x14ac:dyDescent="0.2">
      <c r="O827" s="6"/>
      <c r="P827" s="2"/>
      <c r="Q827" s="2"/>
      <c r="R827" s="2"/>
      <c r="S827" s="8"/>
    </row>
    <row r="828" spans="15:19" x14ac:dyDescent="0.2">
      <c r="O828" s="6"/>
      <c r="P828" s="2"/>
      <c r="Q828" s="2"/>
      <c r="R828" s="2"/>
      <c r="S828" s="8"/>
    </row>
    <row r="829" spans="15:19" x14ac:dyDescent="0.2">
      <c r="O829" s="6"/>
      <c r="P829" s="2"/>
      <c r="Q829" s="2"/>
      <c r="R829" s="2"/>
      <c r="S829" s="8"/>
    </row>
    <row r="830" spans="15:19" x14ac:dyDescent="0.2">
      <c r="O830" s="6"/>
      <c r="P830" s="2"/>
      <c r="Q830" s="2"/>
      <c r="R830" s="2"/>
      <c r="S830" s="8"/>
    </row>
    <row r="831" spans="15:19" x14ac:dyDescent="0.2">
      <c r="O831" s="6"/>
      <c r="P831" s="2"/>
      <c r="Q831" s="2"/>
      <c r="R831" s="2"/>
      <c r="S831" s="8"/>
    </row>
    <row r="832" spans="15:19" x14ac:dyDescent="0.2">
      <c r="O832" s="6"/>
      <c r="P832" s="2"/>
      <c r="Q832" s="2"/>
      <c r="R832" s="2"/>
      <c r="S832" s="8"/>
    </row>
    <row r="833" spans="15:19" x14ac:dyDescent="0.2">
      <c r="O833" s="6"/>
      <c r="P833" s="2"/>
      <c r="Q833" s="2"/>
      <c r="R833" s="2"/>
      <c r="S833" s="8"/>
    </row>
    <row r="834" spans="15:19" x14ac:dyDescent="0.2">
      <c r="O834" s="6"/>
      <c r="P834" s="2"/>
      <c r="Q834" s="2"/>
      <c r="R834" s="2"/>
      <c r="S834" s="8"/>
    </row>
    <row r="835" spans="15:19" x14ac:dyDescent="0.2">
      <c r="O835" s="6"/>
      <c r="P835" s="2"/>
      <c r="Q835" s="2"/>
      <c r="R835" s="2"/>
      <c r="S835" s="8"/>
    </row>
    <row r="836" spans="15:19" x14ac:dyDescent="0.2">
      <c r="O836" s="6"/>
      <c r="P836" s="2"/>
      <c r="Q836" s="2"/>
      <c r="R836" s="2"/>
      <c r="S836" s="8"/>
    </row>
    <row r="837" spans="15:19" x14ac:dyDescent="0.2">
      <c r="O837" s="6"/>
      <c r="P837" s="2"/>
      <c r="Q837" s="2"/>
      <c r="R837" s="2"/>
      <c r="S837" s="8"/>
    </row>
    <row r="838" spans="15:19" x14ac:dyDescent="0.2">
      <c r="O838" s="6"/>
      <c r="P838" s="2"/>
      <c r="Q838" s="2"/>
      <c r="R838" s="2"/>
      <c r="S838" s="8"/>
    </row>
    <row r="839" spans="15:19" x14ac:dyDescent="0.2">
      <c r="O839" s="6"/>
      <c r="P839" s="2"/>
      <c r="Q839" s="2"/>
      <c r="R839" s="2"/>
      <c r="S839" s="8"/>
    </row>
    <row r="840" spans="15:19" x14ac:dyDescent="0.2">
      <c r="O840" s="6"/>
      <c r="P840" s="2"/>
      <c r="Q840" s="2"/>
      <c r="R840" s="2"/>
      <c r="S840" s="8"/>
    </row>
    <row r="841" spans="15:19" x14ac:dyDescent="0.2">
      <c r="O841" s="6"/>
      <c r="P841" s="2"/>
      <c r="Q841" s="2"/>
      <c r="R841" s="2"/>
      <c r="S841" s="8"/>
    </row>
    <row r="842" spans="15:19" x14ac:dyDescent="0.2">
      <c r="O842" s="6"/>
      <c r="P842" s="2"/>
      <c r="Q842" s="2"/>
      <c r="R842" s="2"/>
      <c r="S842" s="8"/>
    </row>
    <row r="843" spans="15:19" x14ac:dyDescent="0.2">
      <c r="O843" s="6"/>
      <c r="P843" s="2"/>
      <c r="Q843" s="2"/>
      <c r="R843" s="2"/>
      <c r="S843" s="8"/>
    </row>
    <row r="844" spans="15:19" x14ac:dyDescent="0.2">
      <c r="O844" s="6"/>
      <c r="P844" s="2"/>
      <c r="Q844" s="2"/>
      <c r="R844" s="2"/>
      <c r="S844" s="8"/>
    </row>
    <row r="845" spans="15:19" x14ac:dyDescent="0.2">
      <c r="O845" s="6"/>
      <c r="P845" s="2"/>
      <c r="Q845" s="2"/>
      <c r="R845" s="2"/>
      <c r="S845" s="8"/>
    </row>
    <row r="846" spans="15:19" x14ac:dyDescent="0.2">
      <c r="O846" s="6"/>
      <c r="P846" s="2"/>
      <c r="Q846" s="2"/>
      <c r="R846" s="2"/>
      <c r="S846" s="8"/>
    </row>
    <row r="847" spans="15:19" x14ac:dyDescent="0.2">
      <c r="O847" s="6"/>
      <c r="P847" s="2"/>
      <c r="Q847" s="2"/>
      <c r="R847" s="2"/>
      <c r="S847" s="8"/>
    </row>
    <row r="848" spans="15:19" x14ac:dyDescent="0.2">
      <c r="O848" s="6"/>
      <c r="P848" s="2"/>
      <c r="Q848" s="2"/>
      <c r="R848" s="2"/>
      <c r="S848" s="8"/>
    </row>
    <row r="849" spans="15:19" x14ac:dyDescent="0.2">
      <c r="O849" s="6"/>
      <c r="P849" s="2"/>
      <c r="Q849" s="2"/>
      <c r="R849" s="2"/>
      <c r="S849" s="8"/>
    </row>
    <row r="850" spans="15:19" x14ac:dyDescent="0.2">
      <c r="O850" s="6"/>
      <c r="P850" s="2"/>
      <c r="Q850" s="2"/>
      <c r="R850" s="2"/>
      <c r="S850" s="8"/>
    </row>
    <row r="851" spans="15:19" x14ac:dyDescent="0.2">
      <c r="O851" s="6"/>
      <c r="P851" s="2"/>
      <c r="Q851" s="2"/>
      <c r="R851" s="2"/>
      <c r="S851" s="8"/>
    </row>
    <row r="852" spans="15:19" x14ac:dyDescent="0.2">
      <c r="O852" s="6"/>
      <c r="P852" s="2"/>
      <c r="Q852" s="2"/>
      <c r="R852" s="2"/>
      <c r="S852" s="8"/>
    </row>
    <row r="853" spans="15:19" x14ac:dyDescent="0.2">
      <c r="O853" s="6"/>
      <c r="P853" s="2"/>
      <c r="Q853" s="2"/>
      <c r="R853" s="2"/>
      <c r="S853" s="8"/>
    </row>
    <row r="854" spans="15:19" x14ac:dyDescent="0.2">
      <c r="O854" s="6"/>
      <c r="P854" s="2"/>
      <c r="Q854" s="2"/>
      <c r="R854" s="2"/>
      <c r="S854" s="8"/>
    </row>
    <row r="855" spans="15:19" x14ac:dyDescent="0.2">
      <c r="O855" s="6"/>
      <c r="P855" s="2"/>
      <c r="Q855" s="2"/>
      <c r="R855" s="2"/>
      <c r="S855" s="8"/>
    </row>
    <row r="856" spans="15:19" x14ac:dyDescent="0.2">
      <c r="O856" s="6"/>
      <c r="P856" s="2"/>
      <c r="Q856" s="2"/>
      <c r="R856" s="2"/>
      <c r="S856" s="8"/>
    </row>
    <row r="857" spans="15:19" x14ac:dyDescent="0.2">
      <c r="O857" s="6"/>
      <c r="P857" s="2"/>
      <c r="Q857" s="2"/>
      <c r="R857" s="2"/>
      <c r="S857" s="8"/>
    </row>
    <row r="858" spans="15:19" x14ac:dyDescent="0.2">
      <c r="O858" s="6"/>
      <c r="P858" s="2"/>
      <c r="Q858" s="2"/>
      <c r="R858" s="2"/>
      <c r="S858" s="8"/>
    </row>
    <row r="859" spans="15:19" x14ac:dyDescent="0.2">
      <c r="O859" s="6"/>
      <c r="P859" s="2"/>
      <c r="Q859" s="2"/>
      <c r="R859" s="2"/>
      <c r="S859" s="8"/>
    </row>
    <row r="860" spans="15:19" x14ac:dyDescent="0.2">
      <c r="O860" s="6"/>
      <c r="P860" s="2"/>
      <c r="Q860" s="2"/>
      <c r="R860" s="2"/>
      <c r="S860" s="8"/>
    </row>
    <row r="861" spans="15:19" x14ac:dyDescent="0.2">
      <c r="O861" s="6"/>
      <c r="P861" s="2"/>
      <c r="Q861" s="2"/>
      <c r="R861" s="2"/>
      <c r="S861" s="8"/>
    </row>
    <row r="862" spans="15:19" x14ac:dyDescent="0.2">
      <c r="O862" s="6"/>
      <c r="P862" s="2"/>
      <c r="Q862" s="2"/>
      <c r="R862" s="2"/>
      <c r="S862" s="8"/>
    </row>
    <row r="863" spans="15:19" x14ac:dyDescent="0.2">
      <c r="O863" s="6"/>
      <c r="P863" s="2"/>
      <c r="Q863" s="2"/>
      <c r="R863" s="2"/>
      <c r="S863" s="8"/>
    </row>
    <row r="864" spans="15:19" x14ac:dyDescent="0.2">
      <c r="O864" s="6"/>
      <c r="P864" s="2"/>
      <c r="Q864" s="2"/>
      <c r="R864" s="2"/>
      <c r="S864" s="8"/>
    </row>
    <row r="865" spans="15:19" x14ac:dyDescent="0.2">
      <c r="O865" s="6"/>
      <c r="P865" s="2"/>
      <c r="Q865" s="2"/>
      <c r="R865" s="2"/>
      <c r="S865" s="8"/>
    </row>
    <row r="866" spans="15:19" x14ac:dyDescent="0.2">
      <c r="O866" s="6"/>
      <c r="P866" s="2"/>
      <c r="Q866" s="2"/>
      <c r="R866" s="2"/>
      <c r="S866" s="8"/>
    </row>
    <row r="867" spans="15:19" x14ac:dyDescent="0.2">
      <c r="O867" s="6"/>
      <c r="P867" s="2"/>
      <c r="Q867" s="2"/>
      <c r="R867" s="2"/>
      <c r="S867" s="8"/>
    </row>
    <row r="868" spans="15:19" x14ac:dyDescent="0.2">
      <c r="O868" s="6"/>
      <c r="P868" s="2"/>
      <c r="Q868" s="2"/>
      <c r="R868" s="2"/>
      <c r="S868" s="8"/>
    </row>
    <row r="869" spans="15:19" x14ac:dyDescent="0.2">
      <c r="O869" s="6"/>
      <c r="P869" s="2"/>
      <c r="Q869" s="2"/>
      <c r="R869" s="2"/>
      <c r="S869" s="8"/>
    </row>
    <row r="870" spans="15:19" x14ac:dyDescent="0.2">
      <c r="O870" s="6"/>
      <c r="P870" s="2"/>
      <c r="Q870" s="2"/>
      <c r="R870" s="2"/>
      <c r="S870" s="8"/>
    </row>
    <row r="871" spans="15:19" x14ac:dyDescent="0.2">
      <c r="O871" s="6"/>
      <c r="P871" s="2"/>
      <c r="Q871" s="2"/>
      <c r="R871" s="2"/>
      <c r="S871" s="8"/>
    </row>
    <row r="872" spans="15:19" x14ac:dyDescent="0.2">
      <c r="O872" s="6"/>
      <c r="P872" s="2"/>
      <c r="Q872" s="2"/>
      <c r="R872" s="2"/>
      <c r="S872" s="8"/>
    </row>
    <row r="873" spans="15:19" x14ac:dyDescent="0.2">
      <c r="O873" s="6"/>
      <c r="P873" s="2"/>
      <c r="Q873" s="2"/>
      <c r="R873" s="2"/>
      <c r="S873" s="8"/>
    </row>
    <row r="874" spans="15:19" x14ac:dyDescent="0.2">
      <c r="O874" s="6"/>
      <c r="P874" s="2"/>
      <c r="Q874" s="2"/>
      <c r="R874" s="2"/>
      <c r="S874" s="8"/>
    </row>
    <row r="875" spans="15:19" x14ac:dyDescent="0.2">
      <c r="O875" s="6"/>
      <c r="P875" s="2"/>
      <c r="Q875" s="2"/>
      <c r="R875" s="2"/>
      <c r="S875" s="8"/>
    </row>
    <row r="876" spans="15:19" x14ac:dyDescent="0.2">
      <c r="O876" s="6"/>
      <c r="P876" s="2"/>
      <c r="Q876" s="2"/>
      <c r="R876" s="2"/>
      <c r="S876" s="8"/>
    </row>
    <row r="877" spans="15:19" x14ac:dyDescent="0.2">
      <c r="O877" s="6"/>
      <c r="P877" s="2"/>
      <c r="Q877" s="2"/>
      <c r="R877" s="2"/>
      <c r="S877" s="8"/>
    </row>
    <row r="878" spans="15:19" x14ac:dyDescent="0.2">
      <c r="O878" s="6"/>
      <c r="P878" s="2"/>
      <c r="Q878" s="2"/>
      <c r="R878" s="2"/>
      <c r="S878" s="8"/>
    </row>
    <row r="879" spans="15:19" x14ac:dyDescent="0.2">
      <c r="O879" s="6"/>
      <c r="P879" s="2"/>
      <c r="Q879" s="2"/>
      <c r="R879" s="2"/>
      <c r="S879" s="8"/>
    </row>
    <row r="880" spans="15:19" x14ac:dyDescent="0.2">
      <c r="O880" s="6"/>
      <c r="P880" s="2"/>
      <c r="Q880" s="2"/>
      <c r="R880" s="2"/>
      <c r="S880" s="8"/>
    </row>
    <row r="881" spans="15:19" x14ac:dyDescent="0.2">
      <c r="O881" s="6"/>
      <c r="P881" s="2"/>
      <c r="Q881" s="2"/>
      <c r="R881" s="2"/>
      <c r="S881" s="8"/>
    </row>
    <row r="882" spans="15:19" x14ac:dyDescent="0.2">
      <c r="O882" s="6"/>
      <c r="P882" s="2"/>
      <c r="Q882" s="2"/>
      <c r="R882" s="2"/>
      <c r="S882" s="8"/>
    </row>
    <row r="883" spans="15:19" x14ac:dyDescent="0.2">
      <c r="O883" s="6"/>
      <c r="P883" s="2"/>
      <c r="Q883" s="2"/>
      <c r="R883" s="2"/>
      <c r="S883" s="8"/>
    </row>
    <row r="884" spans="15:19" x14ac:dyDescent="0.2">
      <c r="O884" s="6"/>
      <c r="P884" s="2"/>
      <c r="Q884" s="2"/>
      <c r="R884" s="2"/>
      <c r="S884" s="8"/>
    </row>
    <row r="885" spans="15:19" x14ac:dyDescent="0.2">
      <c r="O885" s="6"/>
      <c r="P885" s="2"/>
      <c r="Q885" s="2"/>
      <c r="R885" s="2"/>
      <c r="S885" s="8"/>
    </row>
    <row r="886" spans="15:19" x14ac:dyDescent="0.2">
      <c r="O886" s="6"/>
      <c r="P886" s="2"/>
      <c r="Q886" s="2"/>
      <c r="R886" s="2"/>
      <c r="S886" s="8"/>
    </row>
    <row r="887" spans="15:19" x14ac:dyDescent="0.2">
      <c r="O887" s="6"/>
      <c r="P887" s="2"/>
      <c r="Q887" s="2"/>
      <c r="R887" s="2"/>
      <c r="S887" s="8"/>
    </row>
    <row r="888" spans="15:19" x14ac:dyDescent="0.2">
      <c r="O888" s="6"/>
      <c r="P888" s="2"/>
      <c r="Q888" s="2"/>
      <c r="R888" s="2"/>
      <c r="S888" s="8"/>
    </row>
    <row r="889" spans="15:19" x14ac:dyDescent="0.2">
      <c r="O889" s="6"/>
      <c r="P889" s="2"/>
      <c r="Q889" s="2"/>
      <c r="R889" s="2"/>
      <c r="S889" s="8"/>
    </row>
    <row r="890" spans="15:19" x14ac:dyDescent="0.2">
      <c r="O890" s="6"/>
      <c r="P890" s="2"/>
      <c r="Q890" s="2"/>
      <c r="R890" s="2"/>
      <c r="S890" s="8"/>
    </row>
    <row r="891" spans="15:19" x14ac:dyDescent="0.2">
      <c r="O891" s="6"/>
      <c r="P891" s="2"/>
      <c r="Q891" s="2"/>
      <c r="R891" s="2"/>
      <c r="S891" s="8"/>
    </row>
    <row r="892" spans="15:19" x14ac:dyDescent="0.2">
      <c r="O892" s="6"/>
      <c r="P892" s="2"/>
      <c r="Q892" s="2"/>
      <c r="R892" s="2"/>
      <c r="S892" s="8"/>
    </row>
    <row r="893" spans="15:19" x14ac:dyDescent="0.2">
      <c r="O893" s="6"/>
      <c r="P893" s="2"/>
      <c r="Q893" s="2"/>
      <c r="R893" s="2"/>
      <c r="S893" s="8"/>
    </row>
    <row r="894" spans="15:19" x14ac:dyDescent="0.2">
      <c r="O894" s="6"/>
      <c r="P894" s="2"/>
      <c r="Q894" s="2"/>
      <c r="R894" s="2"/>
      <c r="S894" s="8"/>
    </row>
    <row r="895" spans="15:19" x14ac:dyDescent="0.2">
      <c r="O895" s="6"/>
      <c r="P895" s="2"/>
      <c r="Q895" s="2"/>
      <c r="R895" s="2"/>
      <c r="S895" s="8"/>
    </row>
    <row r="896" spans="15:19" x14ac:dyDescent="0.2">
      <c r="O896" s="6"/>
      <c r="P896" s="2"/>
      <c r="Q896" s="2"/>
      <c r="R896" s="2"/>
      <c r="S896" s="8"/>
    </row>
    <row r="897" spans="15:19" x14ac:dyDescent="0.2">
      <c r="O897" s="6"/>
      <c r="P897" s="2"/>
      <c r="Q897" s="2"/>
      <c r="R897" s="2"/>
      <c r="S897" s="8"/>
    </row>
    <row r="898" spans="15:19" x14ac:dyDescent="0.2">
      <c r="O898" s="6"/>
      <c r="P898" s="2"/>
      <c r="Q898" s="2"/>
      <c r="R898" s="2"/>
      <c r="S898" s="8"/>
    </row>
    <row r="899" spans="15:19" x14ac:dyDescent="0.2">
      <c r="O899" s="6"/>
      <c r="P899" s="2"/>
      <c r="Q899" s="2"/>
      <c r="R899" s="2"/>
      <c r="S899" s="8"/>
    </row>
    <row r="900" spans="15:19" x14ac:dyDescent="0.2">
      <c r="O900" s="6"/>
      <c r="P900" s="2"/>
      <c r="Q900" s="2"/>
      <c r="R900" s="2"/>
      <c r="S900" s="8"/>
    </row>
    <row r="901" spans="15:19" x14ac:dyDescent="0.2">
      <c r="O901" s="6"/>
      <c r="P901" s="2"/>
      <c r="Q901" s="2"/>
      <c r="R901" s="2"/>
      <c r="S901" s="8"/>
    </row>
    <row r="902" spans="15:19" x14ac:dyDescent="0.2">
      <c r="O902" s="6"/>
      <c r="P902" s="2"/>
      <c r="Q902" s="2"/>
      <c r="R902" s="2"/>
      <c r="S902" s="8"/>
    </row>
    <row r="903" spans="15:19" x14ac:dyDescent="0.2">
      <c r="O903" s="6"/>
      <c r="P903" s="2"/>
      <c r="Q903" s="2"/>
      <c r="R903" s="2"/>
      <c r="S903" s="8"/>
    </row>
    <row r="904" spans="15:19" x14ac:dyDescent="0.2">
      <c r="O904" s="6"/>
      <c r="P904" s="2"/>
      <c r="Q904" s="2"/>
      <c r="R904" s="2"/>
      <c r="S904" s="8"/>
    </row>
    <row r="905" spans="15:19" x14ac:dyDescent="0.2">
      <c r="O905" s="6"/>
      <c r="P905" s="2"/>
      <c r="Q905" s="2"/>
      <c r="R905" s="2"/>
      <c r="S905" s="8"/>
    </row>
    <row r="906" spans="15:19" x14ac:dyDescent="0.2">
      <c r="O906" s="6"/>
      <c r="P906" s="2"/>
      <c r="Q906" s="2"/>
      <c r="R906" s="2"/>
      <c r="S906" s="8"/>
    </row>
    <row r="907" spans="15:19" x14ac:dyDescent="0.2">
      <c r="O907" s="6"/>
      <c r="P907" s="2"/>
      <c r="Q907" s="2"/>
      <c r="R907" s="2"/>
      <c r="S907" s="8"/>
    </row>
    <row r="908" spans="15:19" x14ac:dyDescent="0.2">
      <c r="O908" s="6"/>
      <c r="P908" s="2"/>
      <c r="Q908" s="2"/>
      <c r="R908" s="2"/>
      <c r="S908" s="8"/>
    </row>
    <row r="909" spans="15:19" x14ac:dyDescent="0.2">
      <c r="O909" s="6"/>
      <c r="P909" s="2"/>
      <c r="Q909" s="2"/>
      <c r="R909" s="2"/>
      <c r="S909" s="8"/>
    </row>
    <row r="910" spans="15:19" x14ac:dyDescent="0.2">
      <c r="O910" s="6"/>
      <c r="P910" s="2"/>
      <c r="Q910" s="2"/>
      <c r="R910" s="2"/>
      <c r="S910" s="8"/>
    </row>
    <row r="911" spans="15:19" x14ac:dyDescent="0.2">
      <c r="O911" s="6"/>
      <c r="P911" s="2"/>
      <c r="Q911" s="2"/>
      <c r="R911" s="2"/>
      <c r="S911" s="8"/>
    </row>
    <row r="912" spans="15:19" x14ac:dyDescent="0.2">
      <c r="O912" s="6"/>
      <c r="P912" s="2"/>
      <c r="Q912" s="2"/>
      <c r="R912" s="2"/>
      <c r="S912" s="8"/>
    </row>
    <row r="913" spans="15:19" x14ac:dyDescent="0.2">
      <c r="O913" s="6"/>
      <c r="P913" s="2"/>
      <c r="Q913" s="2"/>
      <c r="R913" s="2"/>
      <c r="S913" s="8"/>
    </row>
    <row r="914" spans="15:19" x14ac:dyDescent="0.2">
      <c r="O914" s="6"/>
      <c r="P914" s="2"/>
      <c r="Q914" s="2"/>
      <c r="R914" s="2"/>
      <c r="S914" s="8"/>
    </row>
    <row r="915" spans="15:19" x14ac:dyDescent="0.2">
      <c r="O915" s="6"/>
      <c r="P915" s="2"/>
      <c r="Q915" s="2"/>
      <c r="R915" s="2"/>
      <c r="S915" s="8"/>
    </row>
    <row r="916" spans="15:19" x14ac:dyDescent="0.2">
      <c r="O916" s="6"/>
      <c r="P916" s="2"/>
      <c r="Q916" s="2"/>
      <c r="R916" s="2"/>
      <c r="S916" s="8"/>
    </row>
    <row r="917" spans="15:19" x14ac:dyDescent="0.2">
      <c r="O917" s="6"/>
      <c r="P917" s="2"/>
      <c r="Q917" s="2"/>
      <c r="R917" s="2"/>
      <c r="S917" s="8"/>
    </row>
    <row r="918" spans="15:19" x14ac:dyDescent="0.2">
      <c r="O918" s="6"/>
      <c r="P918" s="2"/>
      <c r="Q918" s="2"/>
      <c r="R918" s="2"/>
      <c r="S918" s="8"/>
    </row>
    <row r="919" spans="15:19" x14ac:dyDescent="0.2">
      <c r="O919" s="6"/>
      <c r="P919" s="2"/>
      <c r="Q919" s="2"/>
      <c r="R919" s="2"/>
      <c r="S919" s="8"/>
    </row>
    <row r="920" spans="15:19" x14ac:dyDescent="0.2">
      <c r="O920" s="6"/>
      <c r="P920" s="2"/>
      <c r="Q920" s="2"/>
      <c r="R920" s="2"/>
      <c r="S920" s="8"/>
    </row>
    <row r="921" spans="15:19" x14ac:dyDescent="0.2">
      <c r="O921" s="6"/>
      <c r="P921" s="2"/>
      <c r="Q921" s="2"/>
      <c r="R921" s="2"/>
      <c r="S921" s="8"/>
    </row>
    <row r="922" spans="15:19" x14ac:dyDescent="0.2">
      <c r="O922" s="6"/>
      <c r="P922" s="2"/>
      <c r="Q922" s="2"/>
      <c r="R922" s="2"/>
      <c r="S922" s="8"/>
    </row>
    <row r="923" spans="15:19" x14ac:dyDescent="0.2">
      <c r="O923" s="6"/>
      <c r="P923" s="2"/>
      <c r="Q923" s="2"/>
      <c r="R923" s="2"/>
      <c r="S923" s="8"/>
    </row>
    <row r="924" spans="15:19" x14ac:dyDescent="0.2">
      <c r="O924" s="6"/>
      <c r="P924" s="2"/>
      <c r="Q924" s="2"/>
      <c r="R924" s="2"/>
      <c r="S924" s="8"/>
    </row>
    <row r="925" spans="15:19" x14ac:dyDescent="0.2">
      <c r="O925" s="6"/>
      <c r="P925" s="2"/>
      <c r="Q925" s="2"/>
      <c r="R925" s="2"/>
      <c r="S925" s="8"/>
    </row>
    <row r="926" spans="15:19" x14ac:dyDescent="0.2">
      <c r="O926" s="6"/>
      <c r="P926" s="2"/>
      <c r="Q926" s="2"/>
      <c r="R926" s="2"/>
      <c r="S926" s="8"/>
    </row>
    <row r="927" spans="15:19" x14ac:dyDescent="0.2">
      <c r="O927" s="6"/>
      <c r="P927" s="2"/>
      <c r="Q927" s="2"/>
      <c r="R927" s="2"/>
      <c r="S927" s="8"/>
    </row>
    <row r="928" spans="15:19" x14ac:dyDescent="0.2">
      <c r="O928" s="6"/>
      <c r="P928" s="2"/>
      <c r="Q928" s="2"/>
      <c r="R928" s="2"/>
      <c r="S928" s="8"/>
    </row>
    <row r="929" spans="15:19" x14ac:dyDescent="0.2">
      <c r="O929" s="6"/>
      <c r="P929" s="2"/>
      <c r="Q929" s="2"/>
      <c r="R929" s="2"/>
      <c r="S929" s="8"/>
    </row>
    <row r="930" spans="15:19" x14ac:dyDescent="0.2">
      <c r="O930" s="6"/>
      <c r="P930" s="2"/>
      <c r="Q930" s="2"/>
      <c r="R930" s="2"/>
      <c r="S930" s="8"/>
    </row>
    <row r="931" spans="15:19" x14ac:dyDescent="0.2">
      <c r="O931" s="6"/>
      <c r="P931" s="2"/>
      <c r="Q931" s="2"/>
      <c r="R931" s="2"/>
      <c r="S931" s="8"/>
    </row>
    <row r="932" spans="15:19" x14ac:dyDescent="0.2">
      <c r="O932" s="6"/>
      <c r="P932" s="2"/>
      <c r="Q932" s="2"/>
      <c r="R932" s="2"/>
      <c r="S932" s="8"/>
    </row>
    <row r="933" spans="15:19" x14ac:dyDescent="0.2">
      <c r="O933" s="6"/>
      <c r="P933" s="2"/>
      <c r="Q933" s="2"/>
      <c r="R933" s="2"/>
      <c r="S933" s="8"/>
    </row>
    <row r="934" spans="15:19" x14ac:dyDescent="0.2">
      <c r="O934" s="6"/>
      <c r="P934" s="2"/>
      <c r="Q934" s="2"/>
      <c r="R934" s="2"/>
      <c r="S934" s="8"/>
    </row>
    <row r="935" spans="15:19" x14ac:dyDescent="0.2">
      <c r="O935" s="6"/>
      <c r="P935" s="2"/>
      <c r="Q935" s="2"/>
      <c r="R935" s="2"/>
      <c r="S935" s="8"/>
    </row>
    <row r="936" spans="15:19" x14ac:dyDescent="0.2">
      <c r="O936" s="6"/>
      <c r="P936" s="2"/>
      <c r="Q936" s="2"/>
      <c r="R936" s="2"/>
      <c r="S936" s="8"/>
    </row>
    <row r="937" spans="15:19" x14ac:dyDescent="0.2">
      <c r="O937" s="6"/>
      <c r="P937" s="2"/>
      <c r="Q937" s="2"/>
      <c r="R937" s="2"/>
      <c r="S937" s="8"/>
    </row>
    <row r="938" spans="15:19" x14ac:dyDescent="0.2">
      <c r="O938" s="6"/>
      <c r="P938" s="2"/>
      <c r="Q938" s="2"/>
      <c r="R938" s="2"/>
      <c r="S938" s="8"/>
    </row>
    <row r="939" spans="15:19" x14ac:dyDescent="0.2">
      <c r="O939" s="6"/>
      <c r="P939" s="2"/>
      <c r="Q939" s="2"/>
      <c r="R939" s="2"/>
      <c r="S939" s="8"/>
    </row>
    <row r="940" spans="15:19" x14ac:dyDescent="0.2">
      <c r="O940" s="6"/>
      <c r="P940" s="2"/>
      <c r="Q940" s="2"/>
      <c r="R940" s="2"/>
      <c r="S940" s="8"/>
    </row>
    <row r="941" spans="15:19" x14ac:dyDescent="0.2">
      <c r="O941" s="6"/>
      <c r="P941" s="2"/>
      <c r="Q941" s="2"/>
      <c r="R941" s="2"/>
      <c r="S941" s="8"/>
    </row>
    <row r="942" spans="15:19" x14ac:dyDescent="0.2">
      <c r="O942" s="6"/>
      <c r="P942" s="2"/>
      <c r="Q942" s="2"/>
      <c r="R942" s="2"/>
      <c r="S942" s="8"/>
    </row>
    <row r="943" spans="15:19" x14ac:dyDescent="0.2">
      <c r="O943" s="6"/>
      <c r="P943" s="2"/>
      <c r="Q943" s="2"/>
      <c r="R943" s="2"/>
      <c r="S943" s="8"/>
    </row>
    <row r="944" spans="15:19" x14ac:dyDescent="0.2">
      <c r="O944" s="6"/>
      <c r="P944" s="2"/>
      <c r="Q944" s="2"/>
      <c r="R944" s="2"/>
      <c r="S944" s="8"/>
    </row>
    <row r="945" spans="15:19" x14ac:dyDescent="0.2">
      <c r="O945" s="6"/>
      <c r="P945" s="2"/>
      <c r="Q945" s="2"/>
      <c r="R945" s="2"/>
      <c r="S945" s="8"/>
    </row>
    <row r="946" spans="15:19" x14ac:dyDescent="0.2">
      <c r="O946" s="6"/>
      <c r="P946" s="2"/>
      <c r="Q946" s="2"/>
      <c r="R946" s="2"/>
      <c r="S946" s="8"/>
    </row>
    <row r="947" spans="15:19" x14ac:dyDescent="0.2">
      <c r="O947" s="6"/>
      <c r="P947" s="2"/>
      <c r="Q947" s="2"/>
      <c r="R947" s="2"/>
      <c r="S947" s="8"/>
    </row>
    <row r="948" spans="15:19" x14ac:dyDescent="0.2">
      <c r="O948" s="6"/>
      <c r="P948" s="2"/>
      <c r="Q948" s="2"/>
      <c r="R948" s="2"/>
      <c r="S948" s="8"/>
    </row>
    <row r="949" spans="15:19" x14ac:dyDescent="0.2">
      <c r="O949" s="6"/>
      <c r="P949" s="2"/>
      <c r="Q949" s="2"/>
      <c r="R949" s="2"/>
      <c r="S949" s="8"/>
    </row>
    <row r="950" spans="15:19" x14ac:dyDescent="0.2">
      <c r="O950" s="6"/>
      <c r="P950" s="2"/>
      <c r="Q950" s="2"/>
      <c r="R950" s="2"/>
      <c r="S950" s="8"/>
    </row>
    <row r="951" spans="15:19" x14ac:dyDescent="0.2">
      <c r="O951" s="6"/>
      <c r="P951" s="2"/>
      <c r="Q951" s="2"/>
      <c r="R951" s="2"/>
      <c r="S951" s="8"/>
    </row>
    <row r="952" spans="15:19" x14ac:dyDescent="0.2">
      <c r="O952" s="6"/>
      <c r="P952" s="2"/>
      <c r="Q952" s="2"/>
      <c r="R952" s="2"/>
      <c r="S952" s="8"/>
    </row>
    <row r="953" spans="15:19" x14ac:dyDescent="0.2">
      <c r="O953" s="6"/>
      <c r="P953" s="2"/>
      <c r="Q953" s="2"/>
      <c r="R953" s="2"/>
      <c r="S953" s="8"/>
    </row>
    <row r="954" spans="15:19" x14ac:dyDescent="0.2">
      <c r="O954" s="6"/>
      <c r="P954" s="2"/>
      <c r="Q954" s="2"/>
      <c r="R954" s="2"/>
      <c r="S954" s="8"/>
    </row>
    <row r="955" spans="15:19" x14ac:dyDescent="0.2">
      <c r="O955" s="6"/>
      <c r="P955" s="2"/>
      <c r="Q955" s="2"/>
      <c r="R955" s="2"/>
      <c r="S955" s="8"/>
    </row>
    <row r="956" spans="15:19" x14ac:dyDescent="0.2">
      <c r="O956" s="6"/>
      <c r="P956" s="2"/>
      <c r="Q956" s="2"/>
      <c r="R956" s="2"/>
      <c r="S956" s="8"/>
    </row>
    <row r="957" spans="15:19" x14ac:dyDescent="0.2">
      <c r="O957" s="6"/>
      <c r="P957" s="2"/>
      <c r="Q957" s="2"/>
      <c r="R957" s="2"/>
      <c r="S957" s="8"/>
    </row>
    <row r="958" spans="15:19" x14ac:dyDescent="0.2">
      <c r="O958" s="6"/>
      <c r="P958" s="2"/>
      <c r="Q958" s="2"/>
      <c r="R958" s="2"/>
      <c r="S958" s="8"/>
    </row>
    <row r="959" spans="15:19" x14ac:dyDescent="0.2">
      <c r="O959" s="6"/>
      <c r="P959" s="2"/>
      <c r="Q959" s="2"/>
      <c r="R959" s="2"/>
      <c r="S959" s="8"/>
    </row>
    <row r="960" spans="15:19" x14ac:dyDescent="0.2">
      <c r="O960" s="6"/>
      <c r="P960" s="2"/>
      <c r="Q960" s="2"/>
      <c r="R960" s="2"/>
      <c r="S960" s="8"/>
    </row>
    <row r="961" spans="15:19" x14ac:dyDescent="0.2">
      <c r="O961" s="6"/>
      <c r="P961" s="2"/>
      <c r="Q961" s="2"/>
      <c r="R961" s="2"/>
      <c r="S961" s="8"/>
    </row>
    <row r="962" spans="15:19" x14ac:dyDescent="0.2">
      <c r="O962" s="6"/>
      <c r="P962" s="2"/>
      <c r="Q962" s="2"/>
      <c r="R962" s="2"/>
      <c r="S962" s="8"/>
    </row>
    <row r="963" spans="15:19" x14ac:dyDescent="0.2">
      <c r="O963" s="6"/>
      <c r="P963" s="2"/>
      <c r="Q963" s="2"/>
      <c r="R963" s="2"/>
      <c r="S963" s="8"/>
    </row>
    <row r="964" spans="15:19" x14ac:dyDescent="0.2">
      <c r="O964" s="6"/>
      <c r="P964" s="2"/>
      <c r="Q964" s="2"/>
      <c r="R964" s="2"/>
      <c r="S964" s="8"/>
    </row>
    <row r="965" spans="15:19" x14ac:dyDescent="0.2">
      <c r="O965" s="6"/>
      <c r="P965" s="2"/>
      <c r="Q965" s="2"/>
      <c r="R965" s="2"/>
      <c r="S965" s="8"/>
    </row>
    <row r="966" spans="15:19" x14ac:dyDescent="0.2">
      <c r="O966" s="6"/>
      <c r="P966" s="2"/>
      <c r="Q966" s="2"/>
      <c r="R966" s="2"/>
      <c r="S966" s="8"/>
    </row>
    <row r="967" spans="15:19" x14ac:dyDescent="0.2">
      <c r="O967" s="6"/>
      <c r="P967" s="2"/>
      <c r="Q967" s="2"/>
      <c r="R967" s="2"/>
      <c r="S967" s="8"/>
    </row>
    <row r="968" spans="15:19" x14ac:dyDescent="0.2">
      <c r="O968" s="6"/>
      <c r="P968" s="2"/>
      <c r="Q968" s="2"/>
      <c r="R968" s="2"/>
      <c r="S968" s="8"/>
    </row>
    <row r="969" spans="15:19" x14ac:dyDescent="0.2">
      <c r="O969" s="6"/>
      <c r="P969" s="2"/>
      <c r="Q969" s="2"/>
      <c r="R969" s="2"/>
      <c r="S969" s="8"/>
    </row>
    <row r="970" spans="15:19" x14ac:dyDescent="0.2">
      <c r="O970" s="6"/>
      <c r="P970" s="2"/>
      <c r="Q970" s="2"/>
      <c r="R970" s="2"/>
      <c r="S970" s="8"/>
    </row>
    <row r="971" spans="15:19" x14ac:dyDescent="0.2">
      <c r="O971" s="6"/>
      <c r="P971" s="2"/>
      <c r="Q971" s="2"/>
      <c r="R971" s="2"/>
      <c r="S971" s="8"/>
    </row>
    <row r="972" spans="15:19" x14ac:dyDescent="0.2">
      <c r="O972" s="6"/>
      <c r="P972" s="2"/>
      <c r="Q972" s="2"/>
      <c r="R972" s="2"/>
      <c r="S972" s="8"/>
    </row>
    <row r="973" spans="15:19" x14ac:dyDescent="0.2">
      <c r="O973" s="6"/>
      <c r="P973" s="2"/>
      <c r="Q973" s="2"/>
      <c r="R973" s="2"/>
      <c r="S973" s="8"/>
    </row>
    <row r="974" spans="15:19" x14ac:dyDescent="0.2">
      <c r="O974" s="6"/>
      <c r="P974" s="2"/>
      <c r="Q974" s="2"/>
      <c r="R974" s="2"/>
      <c r="S974" s="8"/>
    </row>
    <row r="975" spans="15:19" x14ac:dyDescent="0.2">
      <c r="O975" s="6"/>
      <c r="P975" s="2"/>
      <c r="Q975" s="2"/>
      <c r="R975" s="2"/>
      <c r="S975" s="8"/>
    </row>
    <row r="976" spans="15:19" x14ac:dyDescent="0.2">
      <c r="O976" s="6"/>
      <c r="P976" s="2"/>
      <c r="Q976" s="2"/>
      <c r="R976" s="2"/>
      <c r="S976" s="8"/>
    </row>
    <row r="977" spans="15:19" x14ac:dyDescent="0.2">
      <c r="O977" s="6"/>
      <c r="P977" s="2"/>
      <c r="Q977" s="2"/>
      <c r="R977" s="2"/>
      <c r="S977" s="8"/>
    </row>
    <row r="978" spans="15:19" x14ac:dyDescent="0.2">
      <c r="O978" s="6"/>
      <c r="P978" s="2"/>
      <c r="Q978" s="2"/>
      <c r="R978" s="2"/>
      <c r="S978" s="8"/>
    </row>
    <row r="979" spans="15:19" x14ac:dyDescent="0.2">
      <c r="O979" s="6"/>
      <c r="P979" s="2"/>
      <c r="Q979" s="2"/>
      <c r="R979" s="2"/>
      <c r="S979" s="8"/>
    </row>
    <row r="980" spans="15:19" x14ac:dyDescent="0.2">
      <c r="O980" s="6"/>
      <c r="P980" s="2"/>
      <c r="Q980" s="2"/>
      <c r="R980" s="2"/>
      <c r="S980" s="8"/>
    </row>
    <row r="981" spans="15:19" x14ac:dyDescent="0.2">
      <c r="O981" s="6"/>
      <c r="P981" s="2"/>
      <c r="Q981" s="2"/>
      <c r="R981" s="2"/>
      <c r="S981" s="8"/>
    </row>
    <row r="982" spans="15:19" x14ac:dyDescent="0.2">
      <c r="O982" s="6"/>
      <c r="P982" s="2"/>
      <c r="Q982" s="2"/>
      <c r="R982" s="2"/>
      <c r="S982" s="8"/>
    </row>
    <row r="983" spans="15:19" x14ac:dyDescent="0.2">
      <c r="O983" s="6"/>
      <c r="P983" s="2"/>
      <c r="Q983" s="2"/>
      <c r="R983" s="2"/>
      <c r="S983" s="8"/>
    </row>
    <row r="984" spans="15:19" x14ac:dyDescent="0.2">
      <c r="O984" s="6"/>
      <c r="P984" s="2"/>
      <c r="Q984" s="2"/>
      <c r="R984" s="2"/>
      <c r="S984" s="8"/>
    </row>
    <row r="985" spans="15:19" x14ac:dyDescent="0.2">
      <c r="O985" s="6"/>
      <c r="P985" s="2"/>
      <c r="Q985" s="2"/>
      <c r="R985" s="2"/>
      <c r="S985" s="8"/>
    </row>
    <row r="986" spans="15:19" x14ac:dyDescent="0.2">
      <c r="O986" s="6"/>
      <c r="P986" s="2"/>
      <c r="Q986" s="2"/>
      <c r="R986" s="2"/>
      <c r="S986" s="8"/>
    </row>
    <row r="987" spans="15:19" x14ac:dyDescent="0.2">
      <c r="O987" s="6"/>
      <c r="P987" s="2"/>
      <c r="Q987" s="2"/>
      <c r="R987" s="2"/>
      <c r="S987" s="8"/>
    </row>
    <row r="988" spans="15:19" x14ac:dyDescent="0.2">
      <c r="O988" s="6"/>
      <c r="P988" s="2"/>
      <c r="Q988" s="2"/>
      <c r="R988" s="2"/>
      <c r="S988" s="8"/>
    </row>
    <row r="989" spans="15:19" x14ac:dyDescent="0.2">
      <c r="O989" s="6"/>
      <c r="P989" s="2"/>
      <c r="Q989" s="2"/>
      <c r="R989" s="2"/>
      <c r="S989" s="8"/>
    </row>
    <row r="990" spans="15:19" x14ac:dyDescent="0.2">
      <c r="O990" s="6"/>
      <c r="P990" s="2"/>
      <c r="Q990" s="2"/>
      <c r="R990" s="2"/>
      <c r="S990" s="8"/>
    </row>
    <row r="991" spans="15:19" x14ac:dyDescent="0.2">
      <c r="O991" s="6"/>
      <c r="P991" s="2"/>
      <c r="Q991" s="2"/>
      <c r="R991" s="2"/>
      <c r="S991" s="8"/>
    </row>
    <row r="992" spans="15:19" x14ac:dyDescent="0.2">
      <c r="O992" s="6"/>
      <c r="P992" s="2"/>
      <c r="Q992" s="2"/>
      <c r="R992" s="2"/>
      <c r="S992" s="8"/>
    </row>
    <row r="993" spans="15:19" x14ac:dyDescent="0.2">
      <c r="O993" s="6"/>
      <c r="P993" s="2"/>
      <c r="Q993" s="2"/>
      <c r="R993" s="2"/>
      <c r="S993" s="8"/>
    </row>
    <row r="994" spans="15:19" x14ac:dyDescent="0.2">
      <c r="O994" s="6"/>
      <c r="P994" s="2"/>
      <c r="Q994" s="2"/>
      <c r="R994" s="2"/>
      <c r="S994" s="8"/>
    </row>
    <row r="995" spans="15:19" x14ac:dyDescent="0.2">
      <c r="O995" s="6"/>
      <c r="P995" s="2"/>
      <c r="Q995" s="2"/>
      <c r="R995" s="2"/>
      <c r="S995" s="8"/>
    </row>
    <row r="996" spans="15:19" x14ac:dyDescent="0.2">
      <c r="O996" s="6"/>
      <c r="P996" s="2"/>
      <c r="Q996" s="2"/>
      <c r="R996" s="2"/>
      <c r="S996" s="8"/>
    </row>
    <row r="997" spans="15:19" x14ac:dyDescent="0.2">
      <c r="O997" s="6"/>
      <c r="P997" s="2"/>
      <c r="Q997" s="2"/>
      <c r="R997" s="2"/>
      <c r="S997" s="8"/>
    </row>
    <row r="998" spans="15:19" x14ac:dyDescent="0.2">
      <c r="O998" s="6"/>
      <c r="P998" s="2"/>
      <c r="Q998" s="2"/>
      <c r="R998" s="2"/>
      <c r="S998" s="8"/>
    </row>
    <row r="999" spans="15:19" x14ac:dyDescent="0.2">
      <c r="O999" s="6"/>
      <c r="P999" s="2"/>
      <c r="Q999" s="2"/>
      <c r="R999" s="2"/>
      <c r="S999" s="8"/>
    </row>
    <row r="1000" spans="15:19" x14ac:dyDescent="0.2">
      <c r="O1000" s="6"/>
      <c r="P1000" s="2"/>
      <c r="Q1000" s="2"/>
      <c r="R1000" s="2"/>
      <c r="S1000" s="8"/>
    </row>
    <row r="1001" spans="15:19" x14ac:dyDescent="0.2">
      <c r="O1001" s="6"/>
      <c r="P1001" s="2"/>
      <c r="Q1001" s="2"/>
      <c r="R1001" s="2"/>
      <c r="S1001" s="8"/>
    </row>
    <row r="1002" spans="15:19" x14ac:dyDescent="0.2">
      <c r="O1002" s="6"/>
      <c r="P1002" s="2"/>
      <c r="Q1002" s="2"/>
      <c r="R1002" s="2"/>
      <c r="S1002" s="8"/>
    </row>
    <row r="1003" spans="15:19" x14ac:dyDescent="0.2">
      <c r="O1003" s="6"/>
      <c r="P1003" s="2"/>
      <c r="Q1003" s="2"/>
      <c r="R1003" s="2"/>
      <c r="S1003" s="8"/>
    </row>
    <row r="1004" spans="15:19" x14ac:dyDescent="0.2">
      <c r="O1004" s="6"/>
      <c r="P1004" s="2"/>
      <c r="Q1004" s="2"/>
      <c r="R1004" s="2"/>
      <c r="S1004" s="8"/>
    </row>
    <row r="1005" spans="15:19" x14ac:dyDescent="0.2">
      <c r="O1005" s="6"/>
      <c r="P1005" s="2"/>
      <c r="Q1005" s="2"/>
      <c r="R1005" s="2"/>
      <c r="S1005" s="8"/>
    </row>
    <row r="1006" spans="15:19" x14ac:dyDescent="0.2">
      <c r="O1006" s="6"/>
      <c r="P1006" s="2"/>
      <c r="Q1006" s="2"/>
      <c r="R1006" s="2"/>
      <c r="S1006" s="8"/>
    </row>
    <row r="1007" spans="15:19" x14ac:dyDescent="0.2">
      <c r="O1007" s="6"/>
      <c r="P1007" s="2"/>
      <c r="Q1007" s="2"/>
      <c r="R1007" s="2"/>
      <c r="S1007" s="8"/>
    </row>
    <row r="1008" spans="15:19" x14ac:dyDescent="0.2">
      <c r="O1008" s="6"/>
      <c r="P1008" s="2"/>
      <c r="Q1008" s="2"/>
      <c r="R1008" s="2"/>
      <c r="S1008" s="8"/>
    </row>
    <row r="1009" spans="15:19" x14ac:dyDescent="0.2">
      <c r="O1009" s="6"/>
      <c r="P1009" s="2"/>
      <c r="Q1009" s="2"/>
      <c r="R1009" s="2"/>
      <c r="S1009" s="8"/>
    </row>
    <row r="1010" spans="15:19" x14ac:dyDescent="0.2">
      <c r="O1010" s="6"/>
      <c r="P1010" s="2"/>
      <c r="Q1010" s="2"/>
      <c r="R1010" s="2"/>
      <c r="S1010" s="8"/>
    </row>
    <row r="1011" spans="15:19" x14ac:dyDescent="0.2">
      <c r="O1011" s="6"/>
      <c r="P1011" s="2"/>
      <c r="Q1011" s="2"/>
      <c r="R1011" s="2"/>
      <c r="S1011" s="8"/>
    </row>
    <row r="1012" spans="15:19" x14ac:dyDescent="0.2">
      <c r="O1012" s="6"/>
      <c r="P1012" s="2"/>
      <c r="Q1012" s="2"/>
      <c r="R1012" s="2"/>
      <c r="S1012" s="8"/>
    </row>
    <row r="1013" spans="15:19" x14ac:dyDescent="0.2">
      <c r="O1013" s="6"/>
      <c r="P1013" s="2"/>
      <c r="Q1013" s="2"/>
      <c r="R1013" s="2"/>
      <c r="S1013" s="8"/>
    </row>
    <row r="1014" spans="15:19" x14ac:dyDescent="0.2">
      <c r="O1014" s="6"/>
      <c r="P1014" s="2"/>
      <c r="Q1014" s="2"/>
      <c r="R1014" s="2"/>
      <c r="S1014" s="8"/>
    </row>
    <row r="1015" spans="15:19" x14ac:dyDescent="0.2">
      <c r="O1015" s="6"/>
      <c r="P1015" s="2"/>
      <c r="Q1015" s="2"/>
      <c r="R1015" s="2"/>
      <c r="S1015" s="8"/>
    </row>
    <row r="1016" spans="15:19" x14ac:dyDescent="0.2">
      <c r="O1016" s="6"/>
      <c r="P1016" s="2"/>
      <c r="Q1016" s="2"/>
      <c r="R1016" s="2"/>
      <c r="S1016" s="8"/>
    </row>
    <row r="1017" spans="15:19" x14ac:dyDescent="0.2">
      <c r="O1017" s="6"/>
      <c r="P1017" s="2"/>
      <c r="Q1017" s="2"/>
      <c r="R1017" s="2"/>
      <c r="S1017" s="8"/>
    </row>
    <row r="1018" spans="15:19" x14ac:dyDescent="0.2">
      <c r="O1018" s="6"/>
      <c r="P1018" s="2"/>
      <c r="Q1018" s="2"/>
      <c r="R1018" s="2"/>
      <c r="S1018" s="8"/>
    </row>
    <row r="1019" spans="15:19" x14ac:dyDescent="0.2">
      <c r="O1019" s="6"/>
      <c r="P1019" s="2"/>
      <c r="Q1019" s="2"/>
      <c r="R1019" s="2"/>
      <c r="S1019" s="8"/>
    </row>
    <row r="1020" spans="15:19" x14ac:dyDescent="0.2">
      <c r="O1020" s="6"/>
      <c r="P1020" s="2"/>
      <c r="Q1020" s="2"/>
      <c r="R1020" s="2"/>
      <c r="S1020" s="8"/>
    </row>
    <row r="1021" spans="15:19" x14ac:dyDescent="0.2">
      <c r="O1021" s="6"/>
      <c r="P1021" s="2"/>
      <c r="Q1021" s="2"/>
      <c r="R1021" s="2"/>
      <c r="S1021" s="8"/>
    </row>
    <row r="1022" spans="15:19" x14ac:dyDescent="0.2">
      <c r="O1022" s="6"/>
      <c r="P1022" s="2"/>
      <c r="Q1022" s="2"/>
      <c r="R1022" s="2"/>
      <c r="S1022" s="8"/>
    </row>
    <row r="1023" spans="15:19" x14ac:dyDescent="0.2">
      <c r="O1023" s="6"/>
      <c r="P1023" s="2"/>
      <c r="Q1023" s="2"/>
      <c r="R1023" s="2"/>
      <c r="S1023" s="8"/>
    </row>
    <row r="1024" spans="15:19" x14ac:dyDescent="0.2">
      <c r="O1024" s="6"/>
      <c r="P1024" s="2"/>
      <c r="Q1024" s="2"/>
      <c r="R1024" s="2"/>
      <c r="S1024" s="8"/>
    </row>
    <row r="1025" spans="15:19" x14ac:dyDescent="0.2">
      <c r="O1025" s="6"/>
      <c r="P1025" s="2"/>
      <c r="Q1025" s="2"/>
      <c r="R1025" s="2"/>
      <c r="S1025" s="8"/>
    </row>
    <row r="1026" spans="15:19" x14ac:dyDescent="0.2">
      <c r="O1026" s="6"/>
      <c r="P1026" s="2"/>
      <c r="Q1026" s="2"/>
      <c r="R1026" s="2"/>
      <c r="S1026" s="8"/>
    </row>
    <row r="1027" spans="15:19" x14ac:dyDescent="0.2">
      <c r="O1027" s="6"/>
      <c r="P1027" s="2"/>
      <c r="Q1027" s="2"/>
      <c r="R1027" s="2"/>
      <c r="S1027" s="8"/>
    </row>
    <row r="1028" spans="15:19" x14ac:dyDescent="0.2">
      <c r="O1028" s="6"/>
      <c r="P1028" s="2"/>
      <c r="Q1028" s="2"/>
      <c r="R1028" s="2"/>
      <c r="S1028" s="8"/>
    </row>
    <row r="1029" spans="15:19" x14ac:dyDescent="0.2">
      <c r="O1029" s="6"/>
      <c r="P1029" s="2"/>
      <c r="Q1029" s="2"/>
      <c r="R1029" s="2"/>
      <c r="S1029" s="8"/>
    </row>
    <row r="1030" spans="15:19" x14ac:dyDescent="0.2">
      <c r="O1030" s="6"/>
      <c r="P1030" s="2"/>
      <c r="Q1030" s="2"/>
      <c r="R1030" s="2"/>
      <c r="S1030" s="8"/>
    </row>
    <row r="1031" spans="15:19" x14ac:dyDescent="0.2">
      <c r="O1031" s="6"/>
      <c r="P1031" s="2"/>
      <c r="Q1031" s="2"/>
      <c r="R1031" s="2"/>
      <c r="S1031" s="8"/>
    </row>
    <row r="1032" spans="15:19" x14ac:dyDescent="0.2">
      <c r="O1032" s="6"/>
      <c r="P1032" s="2"/>
      <c r="Q1032" s="2"/>
      <c r="R1032" s="2"/>
      <c r="S1032" s="8"/>
    </row>
    <row r="1033" spans="15:19" x14ac:dyDescent="0.2">
      <c r="O1033" s="6"/>
      <c r="P1033" s="2"/>
      <c r="Q1033" s="2"/>
      <c r="R1033" s="2"/>
      <c r="S1033" s="8"/>
    </row>
    <row r="1034" spans="15:19" x14ac:dyDescent="0.2">
      <c r="O1034" s="6"/>
      <c r="P1034" s="2"/>
      <c r="Q1034" s="2"/>
      <c r="R1034" s="2"/>
      <c r="S1034" s="8"/>
    </row>
    <row r="1035" spans="15:19" x14ac:dyDescent="0.2">
      <c r="O1035" s="6"/>
      <c r="P1035" s="2"/>
      <c r="Q1035" s="2"/>
      <c r="R1035" s="2"/>
      <c r="S1035" s="8"/>
    </row>
    <row r="1036" spans="15:19" x14ac:dyDescent="0.2">
      <c r="O1036" s="6"/>
      <c r="P1036" s="2"/>
      <c r="Q1036" s="2"/>
      <c r="R1036" s="2"/>
      <c r="S1036" s="8"/>
    </row>
    <row r="1037" spans="15:19" x14ac:dyDescent="0.2">
      <c r="O1037" s="6"/>
      <c r="P1037" s="2"/>
      <c r="Q1037" s="2"/>
      <c r="R1037" s="2"/>
      <c r="S1037" s="8"/>
    </row>
    <row r="1038" spans="15:19" x14ac:dyDescent="0.2">
      <c r="O1038" s="6"/>
      <c r="P1038" s="2"/>
      <c r="Q1038" s="2"/>
      <c r="R1038" s="2"/>
      <c r="S1038" s="8"/>
    </row>
    <row r="1039" spans="15:19" x14ac:dyDescent="0.2">
      <c r="O1039" s="6"/>
      <c r="P1039" s="2"/>
      <c r="Q1039" s="2"/>
      <c r="R1039" s="2"/>
      <c r="S1039" s="8"/>
    </row>
    <row r="1040" spans="15:19" x14ac:dyDescent="0.2">
      <c r="O1040" s="6"/>
      <c r="P1040" s="2"/>
      <c r="Q1040" s="2"/>
      <c r="R1040" s="2"/>
      <c r="S1040" s="8"/>
    </row>
    <row r="1041" spans="15:19" x14ac:dyDescent="0.2">
      <c r="O1041" s="6"/>
      <c r="P1041" s="2"/>
      <c r="Q1041" s="2"/>
      <c r="R1041" s="2"/>
      <c r="S1041" s="8"/>
    </row>
    <row r="1042" spans="15:19" x14ac:dyDescent="0.2">
      <c r="O1042" s="6"/>
      <c r="P1042" s="2"/>
      <c r="Q1042" s="2"/>
      <c r="R1042" s="2"/>
      <c r="S1042" s="8"/>
    </row>
    <row r="1043" spans="15:19" x14ac:dyDescent="0.2">
      <c r="O1043" s="6"/>
      <c r="P1043" s="2"/>
      <c r="Q1043" s="2"/>
      <c r="R1043" s="2"/>
      <c r="S1043" s="8"/>
    </row>
    <row r="1044" spans="15:19" x14ac:dyDescent="0.2">
      <c r="O1044" s="6"/>
      <c r="P1044" s="2"/>
      <c r="Q1044" s="2"/>
      <c r="R1044" s="2"/>
      <c r="S1044" s="8"/>
    </row>
    <row r="1045" spans="15:19" x14ac:dyDescent="0.2">
      <c r="O1045" s="6"/>
      <c r="P1045" s="2"/>
      <c r="Q1045" s="2"/>
      <c r="R1045" s="2"/>
      <c r="S1045" s="8"/>
    </row>
    <row r="1046" spans="15:19" x14ac:dyDescent="0.2">
      <c r="O1046" s="6"/>
      <c r="P1046" s="2"/>
      <c r="Q1046" s="2"/>
      <c r="R1046" s="2"/>
      <c r="S1046" s="8"/>
    </row>
    <row r="1047" spans="15:19" x14ac:dyDescent="0.2">
      <c r="O1047" s="6"/>
      <c r="P1047" s="2"/>
      <c r="Q1047" s="2"/>
      <c r="R1047" s="2"/>
      <c r="S1047" s="8"/>
    </row>
    <row r="1048" spans="15:19" x14ac:dyDescent="0.2">
      <c r="O1048" s="6"/>
      <c r="P1048" s="2"/>
      <c r="Q1048" s="2"/>
      <c r="R1048" s="2"/>
      <c r="S1048" s="8"/>
    </row>
    <row r="1049" spans="15:19" x14ac:dyDescent="0.2">
      <c r="O1049" s="6"/>
      <c r="P1049" s="2"/>
      <c r="Q1049" s="2"/>
      <c r="R1049" s="2"/>
      <c r="S1049" s="8"/>
    </row>
    <row r="1050" spans="15:19" x14ac:dyDescent="0.2">
      <c r="O1050" s="6"/>
      <c r="P1050" s="2"/>
      <c r="Q1050" s="2"/>
      <c r="R1050" s="2"/>
      <c r="S1050" s="8"/>
    </row>
    <row r="1051" spans="15:19" x14ac:dyDescent="0.2">
      <c r="O1051" s="6"/>
      <c r="P1051" s="2"/>
      <c r="Q1051" s="2"/>
      <c r="R1051" s="2"/>
      <c r="S1051" s="8"/>
    </row>
    <row r="1052" spans="15:19" x14ac:dyDescent="0.2">
      <c r="O1052" s="6"/>
      <c r="P1052" s="2"/>
      <c r="Q1052" s="2"/>
      <c r="R1052" s="2"/>
      <c r="S1052" s="8"/>
    </row>
    <row r="1053" spans="15:19" x14ac:dyDescent="0.2">
      <c r="O1053" s="6"/>
      <c r="P1053" s="2"/>
      <c r="Q1053" s="2"/>
      <c r="R1053" s="2"/>
      <c r="S1053" s="8"/>
    </row>
    <row r="1054" spans="15:19" x14ac:dyDescent="0.2">
      <c r="O1054" s="6"/>
      <c r="P1054" s="2"/>
      <c r="Q1054" s="2"/>
      <c r="R1054" s="2"/>
      <c r="S1054" s="8"/>
    </row>
    <row r="1055" spans="15:19" x14ac:dyDescent="0.2">
      <c r="O1055" s="6"/>
      <c r="P1055" s="2"/>
      <c r="Q1055" s="2"/>
      <c r="R1055" s="2"/>
      <c r="S1055" s="8"/>
    </row>
    <row r="1056" spans="15:19" x14ac:dyDescent="0.2">
      <c r="O1056" s="6"/>
      <c r="P1056" s="2"/>
      <c r="Q1056" s="2"/>
      <c r="R1056" s="2"/>
      <c r="S1056" s="8"/>
    </row>
    <row r="1057" spans="15:19" x14ac:dyDescent="0.2">
      <c r="O1057" s="6"/>
      <c r="P1057" s="2"/>
      <c r="Q1057" s="2"/>
      <c r="R1057" s="2"/>
      <c r="S1057" s="8"/>
    </row>
    <row r="1058" spans="15:19" x14ac:dyDescent="0.2">
      <c r="O1058" s="6"/>
      <c r="P1058" s="2"/>
      <c r="Q1058" s="2"/>
      <c r="R1058" s="2"/>
      <c r="S1058" s="8"/>
    </row>
    <row r="1059" spans="15:19" x14ac:dyDescent="0.2">
      <c r="O1059" s="6"/>
      <c r="P1059" s="2"/>
      <c r="Q1059" s="2"/>
      <c r="R1059" s="2"/>
      <c r="S1059" s="8"/>
    </row>
    <row r="1060" spans="15:19" x14ac:dyDescent="0.2">
      <c r="O1060" s="6"/>
      <c r="P1060" s="2"/>
      <c r="Q1060" s="2"/>
      <c r="R1060" s="2"/>
      <c r="S1060" s="8"/>
    </row>
    <row r="1061" spans="15:19" x14ac:dyDescent="0.2">
      <c r="O1061" s="6"/>
      <c r="P1061" s="2"/>
      <c r="Q1061" s="2"/>
      <c r="R1061" s="2"/>
      <c r="S1061" s="8"/>
    </row>
    <row r="1062" spans="15:19" x14ac:dyDescent="0.2">
      <c r="O1062" s="6"/>
      <c r="P1062" s="2"/>
      <c r="Q1062" s="2"/>
      <c r="R1062" s="2"/>
      <c r="S1062" s="8"/>
    </row>
    <row r="1063" spans="15:19" x14ac:dyDescent="0.2">
      <c r="O1063" s="6"/>
      <c r="P1063" s="2"/>
      <c r="Q1063" s="2"/>
      <c r="R1063" s="2"/>
      <c r="S1063" s="8"/>
    </row>
    <row r="1064" spans="15:19" x14ac:dyDescent="0.2">
      <c r="O1064" s="6"/>
      <c r="P1064" s="2"/>
      <c r="Q1064" s="2"/>
      <c r="R1064" s="2"/>
      <c r="S1064" s="8"/>
    </row>
    <row r="1065" spans="15:19" x14ac:dyDescent="0.2">
      <c r="O1065" s="6"/>
      <c r="P1065" s="2"/>
      <c r="Q1065" s="2"/>
      <c r="R1065" s="2"/>
      <c r="S1065" s="8"/>
    </row>
    <row r="1066" spans="15:19" x14ac:dyDescent="0.2">
      <c r="O1066" s="6"/>
      <c r="P1066" s="2"/>
      <c r="Q1066" s="2"/>
      <c r="R1066" s="2"/>
      <c r="S1066" s="8"/>
    </row>
    <row r="1067" spans="15:19" x14ac:dyDescent="0.2">
      <c r="O1067" s="6"/>
      <c r="P1067" s="2"/>
      <c r="Q1067" s="2"/>
      <c r="R1067" s="2"/>
      <c r="S1067" s="8"/>
    </row>
    <row r="1068" spans="15:19" x14ac:dyDescent="0.2">
      <c r="O1068" s="6"/>
      <c r="P1068" s="2"/>
      <c r="Q1068" s="2"/>
      <c r="R1068" s="2"/>
      <c r="S1068" s="8"/>
    </row>
    <row r="1069" spans="15:19" x14ac:dyDescent="0.2">
      <c r="O1069" s="6"/>
      <c r="P1069" s="2"/>
      <c r="Q1069" s="2"/>
      <c r="R1069" s="2"/>
      <c r="S1069" s="8"/>
    </row>
    <row r="1070" spans="15:19" x14ac:dyDescent="0.2">
      <c r="O1070" s="6"/>
      <c r="P1070" s="2"/>
      <c r="Q1070" s="2"/>
      <c r="R1070" s="2"/>
      <c r="S1070" s="8"/>
    </row>
    <row r="1071" spans="15:19" x14ac:dyDescent="0.2">
      <c r="O1071" s="6"/>
      <c r="P1071" s="2"/>
      <c r="Q1071" s="2"/>
      <c r="R1071" s="2"/>
      <c r="S1071" s="8"/>
    </row>
    <row r="1072" spans="15:19" x14ac:dyDescent="0.2">
      <c r="O1072" s="6"/>
      <c r="P1072" s="2"/>
      <c r="Q1072" s="2"/>
      <c r="R1072" s="2"/>
      <c r="S1072" s="8"/>
    </row>
    <row r="1073" spans="15:19" x14ac:dyDescent="0.2">
      <c r="O1073" s="6"/>
      <c r="P1073" s="2"/>
      <c r="Q1073" s="2"/>
      <c r="R1073" s="2"/>
      <c r="S1073" s="8"/>
    </row>
    <row r="1074" spans="15:19" x14ac:dyDescent="0.2">
      <c r="O1074" s="6"/>
      <c r="P1074" s="2"/>
      <c r="Q1074" s="2"/>
      <c r="R1074" s="2"/>
      <c r="S1074" s="8"/>
    </row>
    <row r="1075" spans="15:19" x14ac:dyDescent="0.2">
      <c r="O1075" s="6"/>
      <c r="P1075" s="2"/>
      <c r="Q1075" s="2"/>
      <c r="R1075" s="2"/>
      <c r="S1075" s="8"/>
    </row>
    <row r="1076" spans="15:19" x14ac:dyDescent="0.2">
      <c r="O1076" s="6"/>
      <c r="P1076" s="2"/>
      <c r="Q1076" s="2"/>
      <c r="R1076" s="2"/>
      <c r="S1076" s="8"/>
    </row>
    <row r="1077" spans="15:19" x14ac:dyDescent="0.2">
      <c r="O1077" s="6"/>
      <c r="P1077" s="2"/>
      <c r="Q1077" s="2"/>
      <c r="R1077" s="2"/>
      <c r="S1077" s="8"/>
    </row>
    <row r="1078" spans="15:19" x14ac:dyDescent="0.2">
      <c r="O1078" s="6"/>
      <c r="P1078" s="2"/>
      <c r="Q1078" s="2"/>
      <c r="R1078" s="2"/>
      <c r="S1078" s="8"/>
    </row>
    <row r="1079" spans="15:19" x14ac:dyDescent="0.2">
      <c r="O1079" s="6"/>
      <c r="P1079" s="2"/>
      <c r="Q1079" s="2"/>
      <c r="R1079" s="2"/>
      <c r="S1079" s="8"/>
    </row>
    <row r="1080" spans="15:19" x14ac:dyDescent="0.2">
      <c r="O1080" s="6"/>
      <c r="P1080" s="2"/>
      <c r="Q1080" s="2"/>
      <c r="R1080" s="2"/>
      <c r="S1080" s="8"/>
    </row>
    <row r="1081" spans="15:19" x14ac:dyDescent="0.2">
      <c r="O1081" s="6"/>
      <c r="P1081" s="2"/>
      <c r="Q1081" s="2"/>
      <c r="R1081" s="2"/>
      <c r="S1081" s="8"/>
    </row>
    <row r="1082" spans="15:19" x14ac:dyDescent="0.2">
      <c r="O1082" s="6"/>
      <c r="P1082" s="2"/>
      <c r="Q1082" s="2"/>
      <c r="R1082" s="2"/>
      <c r="S1082" s="8"/>
    </row>
    <row r="1083" spans="15:19" x14ac:dyDescent="0.2">
      <c r="O1083" s="6"/>
      <c r="P1083" s="2"/>
      <c r="Q1083" s="2"/>
      <c r="R1083" s="2"/>
      <c r="S1083" s="8"/>
    </row>
    <row r="1084" spans="15:19" x14ac:dyDescent="0.2">
      <c r="O1084" s="6"/>
      <c r="P1084" s="2"/>
      <c r="Q1084" s="2"/>
      <c r="R1084" s="2"/>
      <c r="S1084" s="8"/>
    </row>
    <row r="1085" spans="15:19" x14ac:dyDescent="0.2">
      <c r="O1085" s="6"/>
      <c r="P1085" s="2"/>
      <c r="Q1085" s="2"/>
      <c r="R1085" s="2"/>
      <c r="S1085" s="8"/>
    </row>
    <row r="1086" spans="15:19" x14ac:dyDescent="0.2">
      <c r="O1086" s="6"/>
      <c r="P1086" s="2"/>
      <c r="Q1086" s="2"/>
      <c r="R1086" s="2"/>
      <c r="S1086" s="8"/>
    </row>
    <row r="1087" spans="15:19" x14ac:dyDescent="0.2">
      <c r="O1087" s="6"/>
      <c r="P1087" s="2"/>
      <c r="Q1087" s="2"/>
      <c r="R1087" s="2"/>
      <c r="S1087" s="8"/>
    </row>
    <row r="1088" spans="15:19" x14ac:dyDescent="0.2">
      <c r="O1088" s="6"/>
      <c r="P1088" s="2"/>
      <c r="Q1088" s="2"/>
      <c r="R1088" s="2"/>
      <c r="S1088" s="8"/>
    </row>
    <row r="1089" spans="15:19" x14ac:dyDescent="0.2">
      <c r="O1089" s="6"/>
      <c r="P1089" s="2"/>
      <c r="Q1089" s="2"/>
      <c r="R1089" s="2"/>
      <c r="S1089" s="8"/>
    </row>
    <row r="1090" spans="15:19" x14ac:dyDescent="0.2">
      <c r="O1090" s="6"/>
      <c r="P1090" s="2"/>
      <c r="Q1090" s="2"/>
      <c r="R1090" s="2"/>
      <c r="S1090" s="8"/>
    </row>
    <row r="1091" spans="15:19" x14ac:dyDescent="0.2">
      <c r="O1091" s="6"/>
      <c r="P1091" s="2"/>
      <c r="Q1091" s="2"/>
      <c r="R1091" s="2"/>
      <c r="S1091" s="8"/>
    </row>
    <row r="1092" spans="15:19" x14ac:dyDescent="0.2">
      <c r="O1092" s="6"/>
      <c r="P1092" s="2"/>
      <c r="Q1092" s="2"/>
      <c r="R1092" s="2"/>
      <c r="S1092" s="8"/>
    </row>
    <row r="1093" spans="15:19" x14ac:dyDescent="0.2">
      <c r="O1093" s="6"/>
      <c r="P1093" s="2"/>
      <c r="Q1093" s="2"/>
      <c r="R1093" s="2"/>
      <c r="S1093" s="8"/>
    </row>
    <row r="1094" spans="15:19" x14ac:dyDescent="0.2">
      <c r="O1094" s="6"/>
      <c r="P1094" s="2"/>
      <c r="Q1094" s="2"/>
      <c r="R1094" s="2"/>
      <c r="S1094" s="8"/>
    </row>
    <row r="1095" spans="15:19" x14ac:dyDescent="0.2">
      <c r="O1095" s="6"/>
      <c r="P1095" s="2"/>
      <c r="Q1095" s="2"/>
      <c r="R1095" s="2"/>
      <c r="S1095" s="8"/>
    </row>
    <row r="1096" spans="15:19" x14ac:dyDescent="0.2">
      <c r="O1096" s="6"/>
      <c r="P1096" s="2"/>
      <c r="Q1096" s="2"/>
      <c r="R1096" s="2"/>
      <c r="S1096" s="8"/>
    </row>
    <row r="1097" spans="15:19" x14ac:dyDescent="0.2">
      <c r="O1097" s="6"/>
      <c r="P1097" s="2"/>
      <c r="Q1097" s="2"/>
      <c r="R1097" s="2"/>
      <c r="S1097" s="8"/>
    </row>
    <row r="1098" spans="15:19" x14ac:dyDescent="0.2">
      <c r="O1098" s="6"/>
      <c r="P1098" s="2"/>
      <c r="Q1098" s="2"/>
      <c r="R1098" s="2"/>
      <c r="S1098" s="8"/>
    </row>
    <row r="1099" spans="15:19" x14ac:dyDescent="0.2">
      <c r="O1099" s="6"/>
      <c r="P1099" s="2"/>
      <c r="Q1099" s="2"/>
      <c r="R1099" s="2"/>
      <c r="S1099" s="8"/>
    </row>
    <row r="1100" spans="15:19" x14ac:dyDescent="0.2">
      <c r="O1100" s="6"/>
      <c r="P1100" s="2"/>
      <c r="Q1100" s="2"/>
      <c r="R1100" s="2"/>
      <c r="S1100" s="8"/>
    </row>
    <row r="1101" spans="15:19" x14ac:dyDescent="0.2">
      <c r="O1101" s="6"/>
      <c r="P1101" s="2"/>
      <c r="Q1101" s="2"/>
      <c r="R1101" s="2"/>
      <c r="S1101" s="8"/>
    </row>
    <row r="1102" spans="15:19" x14ac:dyDescent="0.2">
      <c r="O1102" s="6"/>
      <c r="P1102" s="2"/>
      <c r="Q1102" s="2"/>
      <c r="R1102" s="2"/>
      <c r="S1102" s="8"/>
    </row>
    <row r="1103" spans="15:19" x14ac:dyDescent="0.2">
      <c r="O1103" s="6"/>
      <c r="P1103" s="2"/>
      <c r="Q1103" s="2"/>
      <c r="R1103" s="2"/>
      <c r="S1103" s="8"/>
    </row>
    <row r="1104" spans="15:19" x14ac:dyDescent="0.2">
      <c r="O1104" s="6"/>
      <c r="P1104" s="2"/>
      <c r="Q1104" s="2"/>
      <c r="R1104" s="2"/>
      <c r="S1104" s="8"/>
    </row>
    <row r="1105" spans="15:19" x14ac:dyDescent="0.2">
      <c r="O1105" s="6"/>
      <c r="P1105" s="2"/>
      <c r="Q1105" s="2"/>
      <c r="R1105" s="2"/>
      <c r="S1105" s="8"/>
    </row>
    <row r="1106" spans="15:19" x14ac:dyDescent="0.2">
      <c r="O1106" s="6"/>
      <c r="P1106" s="2"/>
      <c r="Q1106" s="2"/>
      <c r="R1106" s="2"/>
      <c r="S1106" s="8"/>
    </row>
    <row r="1107" spans="15:19" x14ac:dyDescent="0.2">
      <c r="O1107" s="6"/>
      <c r="P1107" s="2"/>
      <c r="Q1107" s="2"/>
      <c r="R1107" s="2"/>
      <c r="S1107" s="8"/>
    </row>
    <row r="1108" spans="15:19" x14ac:dyDescent="0.2">
      <c r="O1108" s="6"/>
      <c r="P1108" s="2"/>
      <c r="Q1108" s="2"/>
      <c r="R1108" s="2"/>
      <c r="S1108" s="8"/>
    </row>
    <row r="1109" spans="15:19" x14ac:dyDescent="0.2">
      <c r="O1109" s="6"/>
      <c r="P1109" s="2"/>
      <c r="Q1109" s="2"/>
      <c r="R1109" s="2"/>
      <c r="S1109" s="8"/>
    </row>
    <row r="1110" spans="15:19" x14ac:dyDescent="0.2">
      <c r="O1110" s="6"/>
      <c r="P1110" s="2"/>
      <c r="Q1110" s="2"/>
      <c r="R1110" s="2"/>
      <c r="S1110" s="8"/>
    </row>
    <row r="1111" spans="15:19" x14ac:dyDescent="0.2">
      <c r="O1111" s="6"/>
      <c r="P1111" s="2"/>
      <c r="Q1111" s="2"/>
      <c r="R1111" s="2"/>
      <c r="S1111" s="8"/>
    </row>
    <row r="1112" spans="15:19" x14ac:dyDescent="0.2">
      <c r="O1112" s="6"/>
      <c r="P1112" s="2"/>
      <c r="Q1112" s="2"/>
      <c r="R1112" s="2"/>
      <c r="S1112" s="8"/>
    </row>
    <row r="1113" spans="15:19" x14ac:dyDescent="0.2">
      <c r="O1113" s="6"/>
      <c r="P1113" s="2"/>
      <c r="Q1113" s="2"/>
      <c r="R1113" s="2"/>
      <c r="S1113" s="8"/>
    </row>
    <row r="1114" spans="15:19" x14ac:dyDescent="0.2">
      <c r="O1114" s="6"/>
      <c r="P1114" s="2"/>
      <c r="Q1114" s="2"/>
      <c r="R1114" s="2"/>
      <c r="S1114" s="8"/>
    </row>
    <row r="1115" spans="15:19" x14ac:dyDescent="0.2">
      <c r="O1115" s="6"/>
      <c r="P1115" s="2"/>
      <c r="Q1115" s="2"/>
      <c r="R1115" s="2"/>
      <c r="S1115" s="8"/>
    </row>
    <row r="1116" spans="15:19" x14ac:dyDescent="0.2">
      <c r="O1116" s="6"/>
      <c r="P1116" s="2"/>
      <c r="Q1116" s="2"/>
      <c r="R1116" s="2"/>
      <c r="S1116" s="8"/>
    </row>
    <row r="1117" spans="15:19" x14ac:dyDescent="0.2">
      <c r="O1117" s="6"/>
      <c r="P1117" s="2"/>
      <c r="Q1117" s="2"/>
      <c r="R1117" s="2"/>
      <c r="S1117" s="8"/>
    </row>
    <row r="1118" spans="15:19" x14ac:dyDescent="0.2">
      <c r="O1118" s="6"/>
      <c r="P1118" s="2"/>
      <c r="Q1118" s="2"/>
      <c r="R1118" s="2"/>
      <c r="S1118" s="8"/>
    </row>
    <row r="1119" spans="15:19" x14ac:dyDescent="0.2">
      <c r="O1119" s="6"/>
      <c r="P1119" s="2"/>
      <c r="Q1119" s="2"/>
      <c r="R1119" s="2"/>
      <c r="S1119" s="8"/>
    </row>
    <row r="1120" spans="15:19" x14ac:dyDescent="0.2">
      <c r="O1120" s="6"/>
      <c r="P1120" s="2"/>
      <c r="Q1120" s="2"/>
      <c r="R1120" s="2"/>
      <c r="S1120" s="8"/>
    </row>
    <row r="1121" spans="15:19" x14ac:dyDescent="0.2">
      <c r="O1121" s="6"/>
      <c r="P1121" s="2"/>
      <c r="Q1121" s="2"/>
      <c r="R1121" s="2"/>
      <c r="S1121" s="8"/>
    </row>
    <row r="1122" spans="15:19" x14ac:dyDescent="0.2">
      <c r="O1122" s="6"/>
      <c r="P1122" s="2"/>
      <c r="Q1122" s="2"/>
      <c r="R1122" s="2"/>
      <c r="S1122" s="8"/>
    </row>
    <row r="1123" spans="15:19" x14ac:dyDescent="0.2">
      <c r="O1123" s="6"/>
      <c r="P1123" s="2"/>
      <c r="Q1123" s="2"/>
      <c r="R1123" s="2"/>
      <c r="S1123" s="8"/>
    </row>
    <row r="1124" spans="15:19" x14ac:dyDescent="0.2">
      <c r="O1124" s="6"/>
      <c r="P1124" s="2"/>
      <c r="Q1124" s="2"/>
      <c r="R1124" s="2"/>
      <c r="S1124" s="8"/>
    </row>
    <row r="1125" spans="15:19" x14ac:dyDescent="0.2">
      <c r="O1125" s="6"/>
      <c r="P1125" s="2"/>
      <c r="Q1125" s="2"/>
      <c r="R1125" s="2"/>
      <c r="S1125" s="8"/>
    </row>
    <row r="1126" spans="15:19" x14ac:dyDescent="0.2">
      <c r="O1126" s="6"/>
      <c r="P1126" s="2"/>
      <c r="Q1126" s="2"/>
      <c r="R1126" s="2"/>
      <c r="S1126" s="8"/>
    </row>
    <row r="1127" spans="15:19" x14ac:dyDescent="0.2">
      <c r="O1127" s="6"/>
      <c r="P1127" s="2"/>
      <c r="Q1127" s="2"/>
      <c r="R1127" s="2"/>
      <c r="S1127" s="8"/>
    </row>
    <row r="1128" spans="15:19" x14ac:dyDescent="0.2">
      <c r="O1128" s="6"/>
      <c r="P1128" s="2"/>
      <c r="Q1128" s="2"/>
      <c r="R1128" s="2"/>
      <c r="S1128" s="8"/>
    </row>
    <row r="1129" spans="15:19" x14ac:dyDescent="0.2">
      <c r="O1129" s="6"/>
      <c r="P1129" s="2"/>
      <c r="Q1129" s="2"/>
      <c r="R1129" s="2"/>
      <c r="S1129" s="8"/>
    </row>
    <row r="1130" spans="15:19" x14ac:dyDescent="0.2">
      <c r="O1130" s="6"/>
      <c r="P1130" s="2"/>
      <c r="Q1130" s="2"/>
      <c r="R1130" s="2"/>
      <c r="S1130" s="8"/>
    </row>
    <row r="1131" spans="15:19" x14ac:dyDescent="0.2">
      <c r="O1131" s="6"/>
      <c r="P1131" s="2"/>
      <c r="Q1131" s="2"/>
      <c r="R1131" s="2"/>
      <c r="S1131" s="8"/>
    </row>
    <row r="1132" spans="15:19" x14ac:dyDescent="0.2">
      <c r="O1132" s="6"/>
      <c r="P1132" s="2"/>
      <c r="Q1132" s="2"/>
      <c r="R1132" s="2"/>
      <c r="S1132" s="8"/>
    </row>
    <row r="1133" spans="15:19" x14ac:dyDescent="0.2">
      <c r="O1133" s="6"/>
      <c r="P1133" s="2"/>
      <c r="Q1133" s="2"/>
      <c r="R1133" s="2"/>
      <c r="S1133" s="8"/>
    </row>
    <row r="1134" spans="15:19" x14ac:dyDescent="0.2">
      <c r="O1134" s="6"/>
      <c r="P1134" s="2"/>
      <c r="Q1134" s="2"/>
      <c r="R1134" s="2"/>
      <c r="S1134" s="8"/>
    </row>
    <row r="1135" spans="15:19" x14ac:dyDescent="0.2">
      <c r="O1135" s="6"/>
      <c r="P1135" s="2"/>
      <c r="Q1135" s="2"/>
      <c r="R1135" s="2"/>
      <c r="S1135" s="8"/>
    </row>
    <row r="1136" spans="15:19" x14ac:dyDescent="0.2">
      <c r="O1136" s="6"/>
      <c r="P1136" s="2"/>
      <c r="Q1136" s="2"/>
      <c r="R1136" s="2"/>
      <c r="S1136" s="8"/>
    </row>
    <row r="1137" spans="15:19" x14ac:dyDescent="0.2">
      <c r="O1137" s="6"/>
      <c r="P1137" s="2"/>
      <c r="Q1137" s="2"/>
      <c r="R1137" s="2"/>
      <c r="S1137" s="8"/>
    </row>
    <row r="1138" spans="15:19" x14ac:dyDescent="0.2">
      <c r="O1138" s="6"/>
      <c r="P1138" s="2"/>
      <c r="Q1138" s="2"/>
      <c r="R1138" s="2"/>
      <c r="S1138" s="8"/>
    </row>
    <row r="1139" spans="15:19" x14ac:dyDescent="0.2">
      <c r="O1139" s="6"/>
      <c r="P1139" s="2"/>
      <c r="Q1139" s="2"/>
      <c r="R1139" s="2"/>
      <c r="S1139" s="8"/>
    </row>
    <row r="1140" spans="15:19" x14ac:dyDescent="0.2">
      <c r="O1140" s="6"/>
      <c r="P1140" s="2"/>
      <c r="Q1140" s="2"/>
      <c r="R1140" s="2"/>
      <c r="S1140" s="8"/>
    </row>
    <row r="1141" spans="15:19" x14ac:dyDescent="0.2">
      <c r="O1141" s="6"/>
      <c r="P1141" s="2"/>
      <c r="Q1141" s="2"/>
      <c r="R1141" s="2"/>
      <c r="S1141" s="8"/>
    </row>
    <row r="1142" spans="15:19" x14ac:dyDescent="0.2">
      <c r="O1142" s="6"/>
      <c r="P1142" s="2"/>
      <c r="Q1142" s="2"/>
      <c r="R1142" s="2"/>
      <c r="S1142" s="8"/>
    </row>
    <row r="1143" spans="15:19" x14ac:dyDescent="0.2">
      <c r="O1143" s="6"/>
      <c r="P1143" s="2"/>
      <c r="Q1143" s="2"/>
      <c r="R1143" s="2"/>
      <c r="S1143" s="8"/>
    </row>
    <row r="1144" spans="15:19" x14ac:dyDescent="0.2">
      <c r="O1144" s="6"/>
      <c r="P1144" s="2"/>
      <c r="Q1144" s="2"/>
      <c r="R1144" s="2"/>
      <c r="S1144" s="8"/>
    </row>
    <row r="1145" spans="15:19" x14ac:dyDescent="0.2">
      <c r="O1145" s="6"/>
      <c r="P1145" s="2"/>
      <c r="Q1145" s="2"/>
      <c r="R1145" s="2"/>
      <c r="S1145" s="8"/>
    </row>
    <row r="1146" spans="15:19" x14ac:dyDescent="0.2">
      <c r="O1146" s="6"/>
      <c r="P1146" s="2"/>
      <c r="Q1146" s="2"/>
      <c r="R1146" s="2"/>
      <c r="S1146" s="8"/>
    </row>
    <row r="1147" spans="15:19" x14ac:dyDescent="0.2">
      <c r="O1147" s="6"/>
      <c r="P1147" s="2"/>
      <c r="Q1147" s="2"/>
      <c r="R1147" s="2"/>
      <c r="S1147" s="8"/>
    </row>
    <row r="1148" spans="15:19" x14ac:dyDescent="0.2">
      <c r="O1148" s="6"/>
      <c r="P1148" s="2"/>
      <c r="Q1148" s="2"/>
      <c r="R1148" s="2"/>
      <c r="S1148" s="8"/>
    </row>
    <row r="1149" spans="15:19" x14ac:dyDescent="0.2">
      <c r="O1149" s="6"/>
      <c r="P1149" s="2"/>
      <c r="Q1149" s="2"/>
      <c r="R1149" s="2"/>
      <c r="S1149" s="8"/>
    </row>
    <row r="1150" spans="15:19" x14ac:dyDescent="0.2">
      <c r="O1150" s="6"/>
      <c r="P1150" s="2" t="e">
        <f>'Infrastructure Benchmarks-ref'!$A356:$S564/'Infrastructure Benchmarks-ref'!$A356:$S564</f>
        <v>#VALUE!</v>
      </c>
      <c r="Q1150" s="2"/>
      <c r="R1150" s="2"/>
      <c r="S1150" s="8"/>
    </row>
    <row r="1151" spans="15:19" x14ac:dyDescent="0.2">
      <c r="O1151" s="6"/>
      <c r="P1151" s="2" t="e">
        <f>'Infrastructure Benchmarks-ref'!$A356:$S564/'Infrastructure Benchmarks-ref'!$A356:$S564</f>
        <v>#VALUE!</v>
      </c>
      <c r="Q1151" s="2"/>
      <c r="R1151" s="2"/>
      <c r="S1151" s="8"/>
    </row>
    <row r="1152" spans="15:19" x14ac:dyDescent="0.2">
      <c r="O1152" s="6"/>
      <c r="P1152" s="2" t="e">
        <f>'Infrastructure Benchmarks-ref'!$A356:$S564/'Infrastructure Benchmarks-ref'!$A356:$S564</f>
        <v>#VALUE!</v>
      </c>
      <c r="Q1152" s="2"/>
      <c r="R1152" s="2"/>
      <c r="S1152" s="8"/>
    </row>
    <row r="1153" spans="15:19" x14ac:dyDescent="0.2">
      <c r="O1153" s="6"/>
      <c r="P1153" s="2" t="e">
        <f>'Infrastructure Benchmarks-ref'!$A356:$S564/'Infrastructure Benchmarks-ref'!$A356:$S564</f>
        <v>#VALUE!</v>
      </c>
      <c r="Q1153" s="2"/>
      <c r="R1153" s="2"/>
      <c r="S1153" s="8"/>
    </row>
    <row r="1154" spans="15:19" x14ac:dyDescent="0.2">
      <c r="O1154" s="6"/>
      <c r="P1154" s="2" t="e">
        <f>'Infrastructure Benchmarks-ref'!$A356:$S564/'Infrastructure Benchmarks-ref'!$A356:$S564</f>
        <v>#VALUE!</v>
      </c>
      <c r="Q1154" s="2"/>
      <c r="R1154" s="2"/>
      <c r="S1154" s="8"/>
    </row>
    <row r="1155" spans="15:19" x14ac:dyDescent="0.2">
      <c r="O1155" s="6"/>
      <c r="P1155" s="2" t="e">
        <f>'Infrastructure Benchmarks-ref'!$A356:$S564/'Infrastructure Benchmarks-ref'!$A356:$S564</f>
        <v>#VALUE!</v>
      </c>
      <c r="Q1155" s="2"/>
      <c r="R1155" s="2"/>
      <c r="S1155" s="8"/>
    </row>
    <row r="1156" spans="15:19" x14ac:dyDescent="0.2">
      <c r="O1156" s="6"/>
      <c r="P1156" s="2" t="e">
        <f>'Infrastructure Benchmarks-ref'!$A356:$S564/'Infrastructure Benchmarks-ref'!$A356:$S564</f>
        <v>#VALUE!</v>
      </c>
      <c r="Q1156" s="2"/>
      <c r="R1156" s="2"/>
      <c r="S1156" s="8"/>
    </row>
    <row r="1157" spans="15:19" x14ac:dyDescent="0.2">
      <c r="O1157" s="6"/>
      <c r="P1157" s="2" t="e">
        <f>'Infrastructure Benchmarks-ref'!$A356:$S564/'Infrastructure Benchmarks-ref'!$A356:$S564</f>
        <v>#VALUE!</v>
      </c>
      <c r="Q1157" s="2"/>
      <c r="R1157" s="2"/>
      <c r="S1157" s="8"/>
    </row>
    <row r="1158" spans="15:19" x14ac:dyDescent="0.2">
      <c r="O1158" s="6"/>
      <c r="P1158" s="2" t="e">
        <f>'Infrastructure Benchmarks-ref'!$A356:$S564/'Infrastructure Benchmarks-ref'!$A356:$S564</f>
        <v>#VALUE!</v>
      </c>
      <c r="Q1158" s="2"/>
      <c r="R1158" s="2"/>
      <c r="S1158" s="8"/>
    </row>
    <row r="1159" spans="15:19" x14ac:dyDescent="0.2">
      <c r="O1159" s="6"/>
      <c r="P1159" s="2" t="e">
        <f>'Infrastructure Benchmarks-ref'!$A356:$S564/'Infrastructure Benchmarks-ref'!$A356:$S564</f>
        <v>#VALUE!</v>
      </c>
      <c r="Q1159" s="2"/>
      <c r="R1159" s="2"/>
      <c r="S1159" s="8"/>
    </row>
    <row r="1160" spans="15:19" x14ac:dyDescent="0.2">
      <c r="O1160" s="6"/>
      <c r="P1160" s="2" t="e">
        <f>'Infrastructure Benchmarks-ref'!$A356:$S564/'Infrastructure Benchmarks-ref'!$A356:$S564</f>
        <v>#VALUE!</v>
      </c>
      <c r="Q1160" s="2"/>
      <c r="R1160" s="2"/>
      <c r="S1160" s="8"/>
    </row>
    <row r="1161" spans="15:19" x14ac:dyDescent="0.2">
      <c r="O1161" s="6"/>
      <c r="P1161" s="2" t="e">
        <f>'Infrastructure Benchmarks-ref'!$A356:$S564/'Infrastructure Benchmarks-ref'!$A356:$S564</f>
        <v>#VALUE!</v>
      </c>
      <c r="Q1161" s="2"/>
      <c r="R1161" s="2"/>
      <c r="S1161" s="8"/>
    </row>
    <row r="1162" spans="15:19" x14ac:dyDescent="0.2">
      <c r="O1162" s="6"/>
      <c r="P1162" s="2" t="e">
        <f>'Infrastructure Benchmarks-ref'!$A356:$S564/'Infrastructure Benchmarks-ref'!$A356:$S564</f>
        <v>#VALUE!</v>
      </c>
      <c r="Q1162" s="2"/>
      <c r="R1162" s="2"/>
      <c r="S1162" s="8"/>
    </row>
    <row r="1163" spans="15:19" x14ac:dyDescent="0.2">
      <c r="O1163" s="6"/>
      <c r="P1163" s="2" t="e">
        <f>'Infrastructure Benchmarks-ref'!$A356:$S564/'Infrastructure Benchmarks-ref'!$A356:$S564</f>
        <v>#VALUE!</v>
      </c>
      <c r="Q1163" s="2"/>
      <c r="R1163" s="2"/>
      <c r="S1163" s="8"/>
    </row>
    <row r="1164" spans="15:19" x14ac:dyDescent="0.2">
      <c r="O1164" s="6"/>
      <c r="P1164" s="2" t="e">
        <f>'Infrastructure Benchmarks-ref'!$A356:$S564/'Infrastructure Benchmarks-ref'!$A356:$S564</f>
        <v>#VALUE!</v>
      </c>
      <c r="Q1164" s="2"/>
      <c r="R1164" s="2"/>
      <c r="S1164" s="8"/>
    </row>
    <row r="1165" spans="15:19" x14ac:dyDescent="0.2">
      <c r="O1165" s="6"/>
      <c r="P1165" s="2" t="e">
        <f>'Infrastructure Benchmarks-ref'!$A356:$S564/'Infrastructure Benchmarks-ref'!$A356:$S564</f>
        <v>#VALUE!</v>
      </c>
      <c r="Q1165" s="2"/>
      <c r="R1165" s="2"/>
      <c r="S1165" s="8"/>
    </row>
    <row r="1166" spans="15:19" x14ac:dyDescent="0.2">
      <c r="O1166" s="6"/>
      <c r="P1166" s="2" t="e">
        <f>'Infrastructure Benchmarks-ref'!$A356:$S564/'Infrastructure Benchmarks-ref'!$A356:$S564</f>
        <v>#VALUE!</v>
      </c>
      <c r="Q1166" s="2"/>
      <c r="R1166" s="2"/>
      <c r="S1166" s="8"/>
    </row>
    <row r="1167" spans="15:19" x14ac:dyDescent="0.2">
      <c r="O1167" s="6"/>
      <c r="P1167" s="2" t="e">
        <f>'Infrastructure Benchmarks-ref'!$A356:$S564/'Infrastructure Benchmarks-ref'!$A356:$S564</f>
        <v>#VALUE!</v>
      </c>
      <c r="Q1167" s="2"/>
      <c r="R1167" s="2"/>
      <c r="S1167" s="8"/>
    </row>
    <row r="1168" spans="15:19" x14ac:dyDescent="0.2">
      <c r="O1168" s="6"/>
      <c r="P1168" s="2" t="e">
        <f>'Infrastructure Benchmarks-ref'!$A356:$S564/'Infrastructure Benchmarks-ref'!$A356:$S564</f>
        <v>#VALUE!</v>
      </c>
      <c r="Q1168" s="2"/>
      <c r="R1168" s="2"/>
      <c r="S1168" s="8"/>
    </row>
    <row r="1169" spans="15:19" x14ac:dyDescent="0.2">
      <c r="O1169" s="6"/>
      <c r="P1169" s="2" t="e">
        <f>'Infrastructure Benchmarks-ref'!$A356:$S564/'Infrastructure Benchmarks-ref'!$A356:$S564</f>
        <v>#VALUE!</v>
      </c>
      <c r="Q1169" s="2"/>
      <c r="R1169" s="2"/>
      <c r="S1169" s="8"/>
    </row>
    <row r="1170" spans="15:19" x14ac:dyDescent="0.2">
      <c r="O1170" s="6"/>
      <c r="P1170" s="2" t="e">
        <f>'Infrastructure Benchmarks-ref'!$A356:$S564/'Infrastructure Benchmarks-ref'!$A356:$S564</f>
        <v>#VALUE!</v>
      </c>
      <c r="Q1170" s="2"/>
      <c r="R1170" s="2"/>
      <c r="S1170" s="8"/>
    </row>
    <row r="1171" spans="15:19" x14ac:dyDescent="0.2">
      <c r="O1171" s="6"/>
      <c r="P1171" s="2" t="e">
        <f>'Infrastructure Benchmarks-ref'!$A356:$S564/'Infrastructure Benchmarks-ref'!$A356:$S564</f>
        <v>#VALUE!</v>
      </c>
      <c r="Q1171" s="2"/>
      <c r="R1171" s="2"/>
      <c r="S1171" s="8"/>
    </row>
    <row r="1172" spans="15:19" x14ac:dyDescent="0.2">
      <c r="O1172" s="6"/>
      <c r="P1172" s="2" t="e">
        <f>'Infrastructure Benchmarks-ref'!$A356:$S564/'Infrastructure Benchmarks-ref'!$A356:$S564</f>
        <v>#VALUE!</v>
      </c>
      <c r="Q1172" s="2"/>
      <c r="R1172" s="2"/>
      <c r="S1172" s="8"/>
    </row>
    <row r="1173" spans="15:19" x14ac:dyDescent="0.2">
      <c r="O1173" s="6"/>
      <c r="P1173" s="2" t="e">
        <f>'Infrastructure Benchmarks-ref'!$A356:$S564/'Infrastructure Benchmarks-ref'!$A356:$S564</f>
        <v>#VALUE!</v>
      </c>
      <c r="Q1173" s="2"/>
      <c r="R1173" s="2"/>
      <c r="S1173" s="8"/>
    </row>
    <row r="1174" spans="15:19" x14ac:dyDescent="0.2">
      <c r="O1174" s="6"/>
      <c r="P1174" s="2" t="e">
        <f>'Infrastructure Benchmarks-ref'!$A356:$S564/'Infrastructure Benchmarks-ref'!$A356:$S564</f>
        <v>#VALUE!</v>
      </c>
      <c r="Q1174" s="2"/>
      <c r="R1174" s="2"/>
      <c r="S1174" s="8"/>
    </row>
    <row r="1175" spans="15:19" x14ac:dyDescent="0.2">
      <c r="O1175" s="6"/>
      <c r="P1175" s="2" t="e">
        <f>'Infrastructure Benchmarks-ref'!$A356:$S564/'Infrastructure Benchmarks-ref'!$A356:$S564</f>
        <v>#VALUE!</v>
      </c>
      <c r="Q1175" s="2"/>
      <c r="R1175" s="2"/>
      <c r="S1175" s="8"/>
    </row>
    <row r="1176" spans="15:19" x14ac:dyDescent="0.2">
      <c r="O1176" s="6"/>
      <c r="P1176" s="2" t="e">
        <f>'Infrastructure Benchmarks-ref'!$A356:$S564/'Infrastructure Benchmarks-ref'!$A356:$S564</f>
        <v>#VALUE!</v>
      </c>
      <c r="Q1176" s="2"/>
      <c r="R1176" s="2"/>
      <c r="S1176" s="8"/>
    </row>
    <row r="1177" spans="15:19" x14ac:dyDescent="0.2">
      <c r="O1177" s="6"/>
      <c r="P1177" s="2" t="e">
        <f>'Infrastructure Benchmarks-ref'!$A356:$S564/'Infrastructure Benchmarks-ref'!$A356:$S564</f>
        <v>#VALUE!</v>
      </c>
      <c r="Q1177" s="2"/>
      <c r="R1177" s="2"/>
      <c r="S1177" s="8"/>
    </row>
    <row r="1178" spans="15:19" x14ac:dyDescent="0.2">
      <c r="O1178" s="6"/>
      <c r="P1178" s="2" t="e">
        <f>'Infrastructure Benchmarks-ref'!$A356:$S564/'Infrastructure Benchmarks-ref'!$A356:$S564</f>
        <v>#VALUE!</v>
      </c>
      <c r="Q1178" s="2"/>
      <c r="R1178" s="2"/>
      <c r="S1178" s="8"/>
    </row>
    <row r="1179" spans="15:19" x14ac:dyDescent="0.2">
      <c r="O1179" s="6"/>
      <c r="P1179" s="2" t="e">
        <f>'Infrastructure Benchmarks-ref'!$A356:$S564/'Infrastructure Benchmarks-ref'!$A356:$S564</f>
        <v>#VALUE!</v>
      </c>
      <c r="Q1179" s="2"/>
      <c r="R1179" s="2"/>
      <c r="S1179" s="8"/>
    </row>
    <row r="1180" spans="15:19" x14ac:dyDescent="0.2">
      <c r="O1180" s="6"/>
      <c r="P1180" s="2" t="e">
        <f>'Infrastructure Benchmarks-ref'!$A356:$S564/'Infrastructure Benchmarks-ref'!$A356:$S564</f>
        <v>#VALUE!</v>
      </c>
      <c r="Q1180" s="2"/>
      <c r="R1180" s="2"/>
      <c r="S1180" s="8"/>
    </row>
    <row r="1181" spans="15:19" x14ac:dyDescent="0.2">
      <c r="O1181" s="6"/>
      <c r="P1181" s="2" t="e">
        <f>'Infrastructure Benchmarks-ref'!$A356:$S564/'Infrastructure Benchmarks-ref'!$A356:$S564</f>
        <v>#VALUE!</v>
      </c>
      <c r="Q1181" s="2"/>
      <c r="R1181" s="2"/>
      <c r="S1181" s="8"/>
    </row>
    <row r="1182" spans="15:19" x14ac:dyDescent="0.2">
      <c r="O1182" s="6"/>
      <c r="P1182" s="2" t="e">
        <f>'Infrastructure Benchmarks-ref'!$A356:$S564/'Infrastructure Benchmarks-ref'!$A356:$S564</f>
        <v>#VALUE!</v>
      </c>
      <c r="Q1182" s="2"/>
      <c r="R1182" s="2"/>
      <c r="S1182" s="8"/>
    </row>
    <row r="1183" spans="15:19" x14ac:dyDescent="0.2">
      <c r="O1183" s="6"/>
      <c r="P1183" s="2" t="e">
        <f>'Infrastructure Benchmarks-ref'!$A356:$S564/'Infrastructure Benchmarks-ref'!$A356:$S564</f>
        <v>#VALUE!</v>
      </c>
      <c r="Q1183" s="2"/>
      <c r="R1183" s="2"/>
      <c r="S1183" s="8"/>
    </row>
    <row r="1184" spans="15:19" x14ac:dyDescent="0.2">
      <c r="O1184" s="6"/>
      <c r="P1184" s="2" t="e">
        <f>'Infrastructure Benchmarks-ref'!$A356:$S564/'Infrastructure Benchmarks-ref'!$A356:$S564</f>
        <v>#VALUE!</v>
      </c>
      <c r="Q1184" s="2"/>
      <c r="R1184" s="2"/>
      <c r="S1184" s="8"/>
    </row>
    <row r="1185" spans="15:19" x14ac:dyDescent="0.2">
      <c r="O1185" s="6"/>
      <c r="P1185" s="2" t="e">
        <f>'Infrastructure Benchmarks-ref'!$A356:$S564/'Infrastructure Benchmarks-ref'!$A356:$S564</f>
        <v>#VALUE!</v>
      </c>
      <c r="Q1185" s="2"/>
      <c r="R1185" s="2"/>
      <c r="S1185" s="8"/>
    </row>
    <row r="1186" spans="15:19" x14ac:dyDescent="0.2">
      <c r="O1186" s="6"/>
      <c r="P1186" s="2" t="e">
        <f>'Infrastructure Benchmarks-ref'!$A356:$S564/'Infrastructure Benchmarks-ref'!$A356:$S564</f>
        <v>#VALUE!</v>
      </c>
      <c r="Q1186" s="2"/>
      <c r="R1186" s="2"/>
      <c r="S1186" s="8"/>
    </row>
    <row r="1187" spans="15:19" x14ac:dyDescent="0.2">
      <c r="O1187" s="6"/>
      <c r="P1187" s="2" t="e">
        <f>'Infrastructure Benchmarks-ref'!$A356:$S564/'Infrastructure Benchmarks-ref'!$A356:$S564</f>
        <v>#VALUE!</v>
      </c>
      <c r="Q1187" s="2"/>
      <c r="R1187" s="2"/>
      <c r="S1187" s="8"/>
    </row>
    <row r="1188" spans="15:19" x14ac:dyDescent="0.2">
      <c r="O1188" s="6"/>
      <c r="P1188" s="2" t="e">
        <f>'Infrastructure Benchmarks-ref'!$A356:$S564/'Infrastructure Benchmarks-ref'!$A356:$S564</f>
        <v>#VALUE!</v>
      </c>
      <c r="Q1188" s="2"/>
      <c r="R1188" s="2"/>
      <c r="S1188" s="8"/>
    </row>
    <row r="1189" spans="15:19" x14ac:dyDescent="0.2">
      <c r="O1189" s="6"/>
      <c r="P1189" s="2" t="e">
        <f>'Infrastructure Benchmarks-ref'!$A356:$S564/'Infrastructure Benchmarks-ref'!$A356:$S564</f>
        <v>#VALUE!</v>
      </c>
      <c r="Q1189" s="2"/>
      <c r="R1189" s="2"/>
      <c r="S1189" s="8"/>
    </row>
    <row r="1190" spans="15:19" x14ac:dyDescent="0.2">
      <c r="O1190" s="6"/>
      <c r="P1190" s="2" t="e">
        <f>'Infrastructure Benchmarks-ref'!$A356:$S564/'Infrastructure Benchmarks-ref'!$A356:$S564</f>
        <v>#VALUE!</v>
      </c>
      <c r="Q1190" s="2"/>
      <c r="R1190" s="2"/>
      <c r="S1190" s="8"/>
    </row>
    <row r="1191" spans="15:19" x14ac:dyDescent="0.2">
      <c r="O1191" s="6"/>
      <c r="P1191" s="2" t="e">
        <f>'Infrastructure Benchmarks-ref'!$A356:$S564/'Infrastructure Benchmarks-ref'!$A356:$S564</f>
        <v>#VALUE!</v>
      </c>
      <c r="Q1191" s="2"/>
      <c r="R1191" s="2"/>
      <c r="S1191" s="8"/>
    </row>
    <row r="1192" spans="15:19" x14ac:dyDescent="0.2">
      <c r="O1192" s="6"/>
      <c r="P1192" s="2" t="e">
        <f>'Infrastructure Benchmarks-ref'!$A356:$S564/'Infrastructure Benchmarks-ref'!$A356:$S564</f>
        <v>#VALUE!</v>
      </c>
      <c r="Q1192" s="2"/>
      <c r="R1192" s="2"/>
      <c r="S1192" s="8"/>
    </row>
    <row r="1193" spans="15:19" x14ac:dyDescent="0.2">
      <c r="O1193" s="6"/>
      <c r="P1193" s="2" t="e">
        <f>'Infrastructure Benchmarks-ref'!$A356:$S564/'Infrastructure Benchmarks-ref'!$A356:$S564</f>
        <v>#VALUE!</v>
      </c>
      <c r="Q1193" s="2"/>
      <c r="R1193" s="2"/>
      <c r="S1193" s="8"/>
    </row>
    <row r="1194" spans="15:19" x14ac:dyDescent="0.2">
      <c r="O1194" s="6"/>
      <c r="P1194" s="2" t="e">
        <f>'Infrastructure Benchmarks-ref'!$A356:$S564/'Infrastructure Benchmarks-ref'!$A356:$S564</f>
        <v>#VALUE!</v>
      </c>
      <c r="Q1194" s="2"/>
      <c r="R1194" s="2"/>
      <c r="S1194" s="8"/>
    </row>
    <row r="1195" spans="15:19" x14ac:dyDescent="0.2">
      <c r="O1195" s="6"/>
      <c r="P1195" s="2" t="e">
        <f>'Infrastructure Benchmarks-ref'!$A356:$S564/'Infrastructure Benchmarks-ref'!$A356:$S564</f>
        <v>#VALUE!</v>
      </c>
      <c r="Q1195" s="2"/>
      <c r="R1195" s="2"/>
      <c r="S1195" s="8"/>
    </row>
    <row r="1196" spans="15:19" x14ac:dyDescent="0.2">
      <c r="O1196" s="6"/>
      <c r="P1196" s="2" t="e">
        <f>'Infrastructure Benchmarks-ref'!$A356:$S564/'Infrastructure Benchmarks-ref'!$A356:$S564</f>
        <v>#VALUE!</v>
      </c>
      <c r="Q1196" s="2"/>
      <c r="R1196" s="2"/>
      <c r="S1196" s="8"/>
    </row>
    <row r="1197" spans="15:19" x14ac:dyDescent="0.2">
      <c r="O1197" s="6"/>
      <c r="P1197" s="2" t="e">
        <f>'Infrastructure Benchmarks-ref'!$A356:$S564/'Infrastructure Benchmarks-ref'!$A356:$S564</f>
        <v>#VALUE!</v>
      </c>
      <c r="Q1197" s="2"/>
      <c r="R1197" s="2"/>
      <c r="S1197" s="8"/>
    </row>
    <row r="1198" spans="15:19" x14ac:dyDescent="0.2">
      <c r="O1198" s="6"/>
      <c r="P1198" s="2" t="e">
        <f>'Infrastructure Benchmarks-ref'!$A356:$S564/'Infrastructure Benchmarks-ref'!$A356:$S564</f>
        <v>#VALUE!</v>
      </c>
      <c r="Q1198" s="2"/>
      <c r="R1198" s="2"/>
      <c r="S1198" s="8"/>
    </row>
    <row r="1199" spans="15:19" x14ac:dyDescent="0.2">
      <c r="O1199" s="6"/>
      <c r="P1199" s="2" t="e">
        <f>'Infrastructure Benchmarks-ref'!$A356:$S564/'Infrastructure Benchmarks-ref'!$A356:$S564</f>
        <v>#VALUE!</v>
      </c>
      <c r="Q1199" s="2"/>
      <c r="R1199" s="2"/>
      <c r="S1199" s="8"/>
    </row>
    <row r="1200" spans="15:19" x14ac:dyDescent="0.2">
      <c r="O1200" s="6"/>
      <c r="P1200" s="2" t="e">
        <f>'Infrastructure Benchmarks-ref'!$A356:$S564/'Infrastructure Benchmarks-ref'!$A356:$S564</f>
        <v>#VALUE!</v>
      </c>
      <c r="Q1200" s="2"/>
      <c r="R1200" s="2"/>
      <c r="S1200" s="8"/>
    </row>
    <row r="1201" spans="15:19" x14ac:dyDescent="0.2">
      <c r="O1201" s="6"/>
      <c r="P1201" s="2" t="e">
        <f>'Infrastructure Benchmarks-ref'!$A356:$S564/'Infrastructure Benchmarks-ref'!$A356:$S564</f>
        <v>#VALUE!</v>
      </c>
      <c r="Q1201" s="2"/>
      <c r="R1201" s="2"/>
      <c r="S1201" s="8"/>
    </row>
    <row r="1202" spans="15:19" x14ac:dyDescent="0.2">
      <c r="O1202" s="6"/>
      <c r="P1202" s="2" t="e">
        <f>'Infrastructure Benchmarks-ref'!$A356:$S564/'Infrastructure Benchmarks-ref'!$A356:$S564</f>
        <v>#VALUE!</v>
      </c>
      <c r="Q1202" s="2"/>
      <c r="R1202" s="2"/>
      <c r="S1202" s="8"/>
    </row>
    <row r="1203" spans="15:19" x14ac:dyDescent="0.2">
      <c r="O1203" s="6"/>
      <c r="P1203" s="2" t="e">
        <f>'Infrastructure Benchmarks-ref'!$A356:$S564/'Infrastructure Benchmarks-ref'!$A356:$S564</f>
        <v>#VALUE!</v>
      </c>
      <c r="Q1203" s="2"/>
      <c r="R1203" s="2"/>
      <c r="S1203" s="8"/>
    </row>
    <row r="1204" spans="15:19" x14ac:dyDescent="0.2">
      <c r="O1204" s="6"/>
      <c r="P1204" s="2" t="e">
        <f>'Infrastructure Benchmarks-ref'!$A356:$S564/'Infrastructure Benchmarks-ref'!$A356:$S564</f>
        <v>#VALUE!</v>
      </c>
      <c r="Q1204" s="2"/>
      <c r="R1204" s="2"/>
      <c r="S1204" s="8"/>
    </row>
  </sheetData>
  <autoFilter ref="A1:S1204" xr:uid="{FAC8B517-2BED-4542-B02A-6B64ACC158AE}"/>
  <pageMargins left="0.7" right="0.7" top="0.75" bottom="0.75" header="0.3" footer="0.3"/>
  <pageSetup scale="17" orientation="portrait" r:id="rId1"/>
  <rowBreaks count="1" manualBreakCount="1">
    <brk id="564" max="18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69EE-BBCE-4D66-99F6-98FBEDEAB23E}">
  <sheetPr>
    <tabColor rgb="FFFF0000"/>
  </sheetPr>
  <dimension ref="A1:BZ845"/>
  <sheetViews>
    <sheetView view="pageBreakPreview" zoomScaleNormal="85" zoomScaleSheetLayoutView="100" workbookViewId="0">
      <selection activeCell="N17" sqref="N17:S19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5.83203125" customWidth="1"/>
    <col min="4" max="5" width="19" customWidth="1"/>
    <col min="6" max="6" width="16.1640625" customWidth="1"/>
    <col min="7" max="7" width="13.33203125" style="1" customWidth="1"/>
    <col min="8" max="8" width="29.83203125" style="1" customWidth="1"/>
    <col min="9" max="9" width="23" style="4" customWidth="1"/>
    <col min="10" max="10" width="21.1640625" style="4" customWidth="1"/>
    <col min="11" max="11" width="22.1640625" style="7" customWidth="1"/>
    <col min="12" max="12" width="21.33203125" style="7" customWidth="1"/>
    <col min="13" max="13" width="23.1640625" style="7" customWidth="1"/>
    <col min="14" max="14" width="26.1640625" style="4" customWidth="1"/>
    <col min="15" max="15" width="18.33203125" style="7" customWidth="1"/>
    <col min="16" max="18" width="14.33203125" style="3" customWidth="1"/>
    <col min="19" max="19" width="12.83203125" style="4" customWidth="1"/>
  </cols>
  <sheetData>
    <row r="1" spans="1:78" x14ac:dyDescent="0.2">
      <c r="A1" s="17" t="s">
        <v>8</v>
      </c>
      <c r="B1" s="18" t="s">
        <v>1</v>
      </c>
      <c r="C1" s="18" t="s">
        <v>11</v>
      </c>
      <c r="D1" s="18" t="s">
        <v>12</v>
      </c>
      <c r="E1" s="18" t="s">
        <v>92</v>
      </c>
      <c r="F1" s="18" t="s">
        <v>30</v>
      </c>
      <c r="G1" s="19" t="s">
        <v>5</v>
      </c>
      <c r="H1" s="19" t="s">
        <v>7</v>
      </c>
      <c r="I1" s="20" t="s">
        <v>15</v>
      </c>
      <c r="J1" s="20" t="s">
        <v>17</v>
      </c>
      <c r="K1" s="21" t="s">
        <v>19</v>
      </c>
      <c r="L1" s="21" t="s">
        <v>64</v>
      </c>
      <c r="M1" s="21" t="s">
        <v>63</v>
      </c>
      <c r="N1" s="20" t="s">
        <v>9</v>
      </c>
      <c r="O1" s="22" t="s">
        <v>21</v>
      </c>
      <c r="P1" s="23" t="s">
        <v>66</v>
      </c>
      <c r="Q1" s="23" t="s">
        <v>67</v>
      </c>
      <c r="R1" s="23" t="s">
        <v>68</v>
      </c>
      <c r="S1" s="24" t="s">
        <v>0</v>
      </c>
    </row>
    <row r="2" spans="1:78" x14ac:dyDescent="0.2">
      <c r="A2" s="25" t="s">
        <v>70</v>
      </c>
      <c r="B2" s="26" t="s">
        <v>2</v>
      </c>
      <c r="C2" s="26" t="s">
        <v>3</v>
      </c>
      <c r="D2" s="26" t="s">
        <v>13</v>
      </c>
      <c r="E2" s="26" t="s">
        <v>94</v>
      </c>
      <c r="F2" s="26" t="s">
        <v>31</v>
      </c>
      <c r="G2" s="26" t="s">
        <v>6</v>
      </c>
      <c r="H2" s="26" t="s">
        <v>78</v>
      </c>
      <c r="I2" s="27" t="s">
        <v>16</v>
      </c>
      <c r="J2" s="27" t="s">
        <v>18</v>
      </c>
      <c r="K2" s="28">
        <v>157951</v>
      </c>
      <c r="L2" s="28">
        <v>557289</v>
      </c>
      <c r="M2" s="28">
        <v>119039</v>
      </c>
      <c r="N2" s="27" t="s">
        <v>24</v>
      </c>
      <c r="O2" s="28">
        <f>8271141+1800000</f>
        <v>10071141</v>
      </c>
      <c r="P2" s="29">
        <f>'Infrastructure Benchmarks - ref'!$O2/'Infrastructure Benchmarks - ref'!$K2</f>
        <v>63.761172768770059</v>
      </c>
      <c r="Q2" s="29">
        <f>'Infrastructure Benchmarks - ref'!$O2/'Infrastructure Benchmarks - ref'!$L2</f>
        <v>18.071666585918617</v>
      </c>
      <c r="R2" s="29">
        <f>'Infrastructure Benchmarks - ref'!$O2/'Infrastructure Benchmarks - ref'!$M2</f>
        <v>84.603709708582898</v>
      </c>
      <c r="S2" s="30" t="s">
        <v>4</v>
      </c>
      <c r="T2" s="2"/>
      <c r="U2" s="13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">
      <c r="A3" s="25" t="s">
        <v>70</v>
      </c>
      <c r="B3" s="26" t="s">
        <v>2</v>
      </c>
      <c r="C3" s="26" t="s">
        <v>3</v>
      </c>
      <c r="D3" s="26" t="s">
        <v>13</v>
      </c>
      <c r="E3" s="26" t="s">
        <v>94</v>
      </c>
      <c r="F3" s="26" t="s">
        <v>31</v>
      </c>
      <c r="G3" s="26" t="s">
        <v>6</v>
      </c>
      <c r="H3" s="26" t="s">
        <v>78</v>
      </c>
      <c r="I3" s="27" t="s">
        <v>16</v>
      </c>
      <c r="J3" s="27" t="s">
        <v>18</v>
      </c>
      <c r="K3" s="28">
        <v>157951</v>
      </c>
      <c r="L3" s="28">
        <v>557289</v>
      </c>
      <c r="M3" s="28">
        <v>119039</v>
      </c>
      <c r="N3" s="27" t="s">
        <v>44</v>
      </c>
      <c r="O3" s="28">
        <v>0</v>
      </c>
      <c r="P3" s="29">
        <v>0</v>
      </c>
      <c r="Q3" s="29">
        <v>0</v>
      </c>
      <c r="R3" s="29">
        <v>0</v>
      </c>
      <c r="S3" s="30" t="s">
        <v>4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">
      <c r="A4" s="25" t="s">
        <v>70</v>
      </c>
      <c r="B4" s="26" t="s">
        <v>2</v>
      </c>
      <c r="C4" s="26" t="s">
        <v>3</v>
      </c>
      <c r="D4" s="26" t="s">
        <v>13</v>
      </c>
      <c r="E4" s="26" t="s">
        <v>94</v>
      </c>
      <c r="F4" s="26" t="s">
        <v>31</v>
      </c>
      <c r="G4" s="26" t="s">
        <v>6</v>
      </c>
      <c r="H4" s="26" t="s">
        <v>78</v>
      </c>
      <c r="I4" s="27" t="s">
        <v>16</v>
      </c>
      <c r="J4" s="27" t="s">
        <v>18</v>
      </c>
      <c r="K4" s="28">
        <v>157951</v>
      </c>
      <c r="L4" s="28">
        <v>557289</v>
      </c>
      <c r="M4" s="28">
        <v>119039</v>
      </c>
      <c r="N4" s="27" t="s">
        <v>45</v>
      </c>
      <c r="O4" s="31">
        <v>2581835</v>
      </c>
      <c r="P4" s="29">
        <f>'Infrastructure Benchmarks - ref'!$O4/'Infrastructure Benchmarks - ref'!$K4</f>
        <v>16.345797114294939</v>
      </c>
      <c r="Q4" s="29">
        <f>'Infrastructure Benchmarks - ref'!$O4/'Infrastructure Benchmarks - ref'!$L4</f>
        <v>4.6328475889529486</v>
      </c>
      <c r="R4" s="29">
        <f>'Infrastructure Benchmarks - ref'!$O4/'Infrastructure Benchmarks - ref'!$M4</f>
        <v>21.688984282462052</v>
      </c>
      <c r="S4" s="30" t="s">
        <v>4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x14ac:dyDescent="0.2">
      <c r="A5" s="25" t="s">
        <v>70</v>
      </c>
      <c r="B5" s="26" t="s">
        <v>2</v>
      </c>
      <c r="C5" s="26" t="s">
        <v>3</v>
      </c>
      <c r="D5" s="26" t="s">
        <v>13</v>
      </c>
      <c r="E5" s="26" t="s">
        <v>94</v>
      </c>
      <c r="F5" s="26" t="s">
        <v>31</v>
      </c>
      <c r="G5" s="26" t="s">
        <v>6</v>
      </c>
      <c r="H5" s="26" t="s">
        <v>78</v>
      </c>
      <c r="I5" s="27" t="s">
        <v>16</v>
      </c>
      <c r="J5" s="27" t="s">
        <v>18</v>
      </c>
      <c r="K5" s="28">
        <v>157951</v>
      </c>
      <c r="L5" s="28">
        <v>557289</v>
      </c>
      <c r="M5" s="28">
        <v>119039</v>
      </c>
      <c r="N5" s="27" t="s">
        <v>14</v>
      </c>
      <c r="O5" s="28">
        <f>2470109+588937</f>
        <v>3059046</v>
      </c>
      <c r="P5" s="29">
        <f>'Infrastructure Benchmarks - ref'!$O5/'Infrastructure Benchmarks - ref'!$K5</f>
        <v>19.36705687206792</v>
      </c>
      <c r="Q5" s="29">
        <f>'Infrastructure Benchmarks - ref'!$O5/'Infrastructure Benchmarks - ref'!$L5</f>
        <v>5.4891555368937839</v>
      </c>
      <c r="R5" s="29">
        <f>'Infrastructure Benchmarks - ref'!$O5/'Infrastructure Benchmarks - ref'!$M5</f>
        <v>25.697846924117307</v>
      </c>
      <c r="S5" s="30" t="s">
        <v>4</v>
      </c>
    </row>
    <row r="6" spans="1:78" x14ac:dyDescent="0.2">
      <c r="A6" s="25" t="s">
        <v>70</v>
      </c>
      <c r="B6" s="26" t="s">
        <v>2</v>
      </c>
      <c r="C6" s="26" t="s">
        <v>3</v>
      </c>
      <c r="D6" s="26" t="s">
        <v>13</v>
      </c>
      <c r="E6" s="26" t="s">
        <v>94</v>
      </c>
      <c r="F6" s="26" t="s">
        <v>31</v>
      </c>
      <c r="G6" s="26" t="s">
        <v>6</v>
      </c>
      <c r="H6" s="26" t="s">
        <v>78</v>
      </c>
      <c r="I6" s="27" t="s">
        <v>16</v>
      </c>
      <c r="J6" s="27" t="s">
        <v>18</v>
      </c>
      <c r="K6" s="28">
        <v>157951</v>
      </c>
      <c r="L6" s="28">
        <v>557289</v>
      </c>
      <c r="M6" s="28">
        <v>119039</v>
      </c>
      <c r="N6" s="27" t="s">
        <v>22</v>
      </c>
      <c r="O6" s="28">
        <v>10577574</v>
      </c>
      <c r="P6" s="29">
        <f>'Infrastructure Benchmarks - ref'!$O6/'Infrastructure Benchmarks - ref'!$K6</f>
        <v>66.967439269140428</v>
      </c>
      <c r="Q6" s="29">
        <f>'Infrastructure Benchmarks - ref'!$O6/'Infrastructure Benchmarks - ref'!$L6</f>
        <v>18.980410523085869</v>
      </c>
      <c r="R6" s="29">
        <f>'Infrastructure Benchmarks - ref'!$O6/'Infrastructure Benchmarks - ref'!$M6</f>
        <v>88.858054923176439</v>
      </c>
      <c r="S6" s="30" t="s">
        <v>4</v>
      </c>
    </row>
    <row r="7" spans="1:78" x14ac:dyDescent="0.2">
      <c r="A7" s="25" t="s">
        <v>70</v>
      </c>
      <c r="B7" s="26" t="s">
        <v>2</v>
      </c>
      <c r="C7" s="26" t="s">
        <v>3</v>
      </c>
      <c r="D7" s="26" t="s">
        <v>13</v>
      </c>
      <c r="E7" s="26" t="s">
        <v>94</v>
      </c>
      <c r="F7" s="26" t="s">
        <v>31</v>
      </c>
      <c r="G7" s="26" t="s">
        <v>6</v>
      </c>
      <c r="H7" s="26" t="s">
        <v>78</v>
      </c>
      <c r="I7" s="27" t="s">
        <v>16</v>
      </c>
      <c r="J7" s="27" t="s">
        <v>18</v>
      </c>
      <c r="K7" s="28">
        <v>157951</v>
      </c>
      <c r="L7" s="28">
        <v>557289</v>
      </c>
      <c r="M7" s="28">
        <v>119039</v>
      </c>
      <c r="N7" s="27" t="s">
        <v>20</v>
      </c>
      <c r="O7" s="28">
        <v>12917468</v>
      </c>
      <c r="P7" s="29">
        <f>'Infrastructure Benchmarks - ref'!$O7/'Infrastructure Benchmarks - ref'!$K7</f>
        <v>81.78148919601648</v>
      </c>
      <c r="Q7" s="29">
        <f>'Infrastructure Benchmarks - ref'!$O7/'Infrastructure Benchmarks - ref'!$L7</f>
        <v>23.179118913167137</v>
      </c>
      <c r="R7" s="29">
        <f>'Infrastructure Benchmarks - ref'!$O7/'Infrastructure Benchmarks - ref'!$M7</f>
        <v>108.5145876561463</v>
      </c>
      <c r="S7" s="30" t="s">
        <v>4</v>
      </c>
    </row>
    <row r="8" spans="1:78" x14ac:dyDescent="0.2">
      <c r="A8" s="25" t="s">
        <v>70</v>
      </c>
      <c r="B8" s="26" t="s">
        <v>2</v>
      </c>
      <c r="C8" s="26" t="s">
        <v>3</v>
      </c>
      <c r="D8" s="26" t="s">
        <v>13</v>
      </c>
      <c r="E8" s="26" t="s">
        <v>94</v>
      </c>
      <c r="F8" s="26" t="s">
        <v>31</v>
      </c>
      <c r="G8" s="26" t="s">
        <v>6</v>
      </c>
      <c r="H8" s="26" t="s">
        <v>78</v>
      </c>
      <c r="I8" s="27" t="s">
        <v>16</v>
      </c>
      <c r="J8" s="27" t="s">
        <v>18</v>
      </c>
      <c r="K8" s="28">
        <v>157951</v>
      </c>
      <c r="L8" s="28">
        <v>557289</v>
      </c>
      <c r="M8" s="28">
        <v>119039</v>
      </c>
      <c r="N8" s="27" t="s">
        <v>23</v>
      </c>
      <c r="O8" s="28">
        <f>14515264+1154862</f>
        <v>15670126</v>
      </c>
      <c r="P8" s="29">
        <f>'Infrastructure Benchmarks - ref'!$O8/'Infrastructure Benchmarks - ref'!$K8</f>
        <v>99.20877993808206</v>
      </c>
      <c r="Q8" s="29">
        <f>'Infrastructure Benchmarks - ref'!$O8/'Infrastructure Benchmarks - ref'!$L8</f>
        <v>28.118491482875132</v>
      </c>
      <c r="R8" s="29">
        <f>'Infrastructure Benchmarks - ref'!$O8/'Infrastructure Benchmarks - ref'!$M8</f>
        <v>131.63858903384605</v>
      </c>
      <c r="S8" s="30" t="s">
        <v>4</v>
      </c>
    </row>
    <row r="9" spans="1:78" x14ac:dyDescent="0.2">
      <c r="A9" s="25" t="s">
        <v>70</v>
      </c>
      <c r="B9" s="26" t="s">
        <v>2</v>
      </c>
      <c r="C9" s="26" t="s">
        <v>3</v>
      </c>
      <c r="D9" s="26" t="s">
        <v>13</v>
      </c>
      <c r="E9" s="26" t="s">
        <v>94</v>
      </c>
      <c r="F9" s="26" t="s">
        <v>31</v>
      </c>
      <c r="G9" s="26" t="s">
        <v>6</v>
      </c>
      <c r="H9" s="26" t="s">
        <v>78</v>
      </c>
      <c r="I9" s="27" t="s">
        <v>16</v>
      </c>
      <c r="J9" s="27" t="s">
        <v>18</v>
      </c>
      <c r="K9" s="28">
        <v>157951</v>
      </c>
      <c r="L9" s="28">
        <v>557289</v>
      </c>
      <c r="M9" s="28">
        <v>119039</v>
      </c>
      <c r="N9" s="27" t="s">
        <v>25</v>
      </c>
      <c r="O9" s="28">
        <f>2308327+989147</f>
        <v>3297474</v>
      </c>
      <c r="P9" s="29">
        <f>'Infrastructure Benchmarks - ref'!$O9/'Infrastructure Benchmarks - ref'!$K9</f>
        <v>20.876562984723112</v>
      </c>
      <c r="Q9" s="29">
        <f>'Infrastructure Benchmarks - ref'!$O9/'Infrastructure Benchmarks - ref'!$L9</f>
        <v>5.9169910046672376</v>
      </c>
      <c r="R9" s="29">
        <f>'Infrastructure Benchmarks - ref'!$O9/'Infrastructure Benchmarks - ref'!$M9</f>
        <v>27.700787136988719</v>
      </c>
      <c r="S9" s="30" t="s">
        <v>4</v>
      </c>
    </row>
    <row r="10" spans="1:78" x14ac:dyDescent="0.2">
      <c r="A10" s="25" t="s">
        <v>70</v>
      </c>
      <c r="B10" s="26" t="s">
        <v>2</v>
      </c>
      <c r="C10" s="26" t="s">
        <v>3</v>
      </c>
      <c r="D10" s="26" t="s">
        <v>13</v>
      </c>
      <c r="E10" s="26" t="s">
        <v>94</v>
      </c>
      <c r="F10" s="26" t="s">
        <v>31</v>
      </c>
      <c r="G10" s="26" t="s">
        <v>6</v>
      </c>
      <c r="H10" s="26" t="s">
        <v>78</v>
      </c>
      <c r="I10" s="27" t="s">
        <v>16</v>
      </c>
      <c r="J10" s="27" t="s">
        <v>18</v>
      </c>
      <c r="K10" s="28">
        <v>157951</v>
      </c>
      <c r="L10" s="28">
        <v>557289</v>
      </c>
      <c r="M10" s="28">
        <v>119039</v>
      </c>
      <c r="N10" s="27" t="s">
        <v>46</v>
      </c>
      <c r="O10" s="28">
        <v>0</v>
      </c>
      <c r="P10" s="29">
        <v>0</v>
      </c>
      <c r="Q10" s="29">
        <v>0</v>
      </c>
      <c r="R10" s="29">
        <v>0</v>
      </c>
      <c r="S10" s="30" t="s">
        <v>4</v>
      </c>
    </row>
    <row r="11" spans="1:78" x14ac:dyDescent="0.2">
      <c r="A11" s="25" t="s">
        <v>70</v>
      </c>
      <c r="B11" s="26" t="s">
        <v>2</v>
      </c>
      <c r="C11" s="26" t="s">
        <v>3</v>
      </c>
      <c r="D11" s="26" t="s">
        <v>13</v>
      </c>
      <c r="E11" s="26" t="s">
        <v>94</v>
      </c>
      <c r="F11" s="26" t="s">
        <v>31</v>
      </c>
      <c r="G11" s="26" t="s">
        <v>6</v>
      </c>
      <c r="H11" s="26" t="s">
        <v>78</v>
      </c>
      <c r="I11" s="27" t="s">
        <v>16</v>
      </c>
      <c r="J11" s="27" t="s">
        <v>18</v>
      </c>
      <c r="K11" s="28">
        <v>157951</v>
      </c>
      <c r="L11" s="28">
        <v>557289</v>
      </c>
      <c r="M11" s="28">
        <v>119039</v>
      </c>
      <c r="N11" s="27" t="s">
        <v>34</v>
      </c>
      <c r="O11" s="28">
        <v>0</v>
      </c>
      <c r="P11" s="29">
        <v>0</v>
      </c>
      <c r="Q11" s="29">
        <v>0</v>
      </c>
      <c r="R11" s="29">
        <v>0</v>
      </c>
      <c r="S11" s="30" t="s">
        <v>4</v>
      </c>
    </row>
    <row r="12" spans="1:78" x14ac:dyDescent="0.2">
      <c r="A12" s="25" t="s">
        <v>70</v>
      </c>
      <c r="B12" s="26" t="s">
        <v>2</v>
      </c>
      <c r="C12" s="26" t="s">
        <v>3</v>
      </c>
      <c r="D12" s="26" t="s">
        <v>13</v>
      </c>
      <c r="E12" s="26" t="s">
        <v>94</v>
      </c>
      <c r="F12" s="26" t="s">
        <v>31</v>
      </c>
      <c r="G12" s="26" t="s">
        <v>6</v>
      </c>
      <c r="H12" s="26" t="s">
        <v>78</v>
      </c>
      <c r="I12" s="27" t="s">
        <v>16</v>
      </c>
      <c r="J12" s="27" t="s">
        <v>18</v>
      </c>
      <c r="K12" s="28">
        <v>157951</v>
      </c>
      <c r="L12" s="28">
        <v>557289</v>
      </c>
      <c r="M12" s="28">
        <v>119039</v>
      </c>
      <c r="N12" s="27" t="s">
        <v>26</v>
      </c>
      <c r="O12" s="28">
        <f>9592149+5368538</f>
        <v>14960687</v>
      </c>
      <c r="P12" s="29">
        <f>'Infrastructure Benchmarks - ref'!$O12/'Infrastructure Benchmarks - ref'!$K12</f>
        <v>94.71726674728238</v>
      </c>
      <c r="Q12" s="29">
        <f>'Infrastructure Benchmarks - ref'!$O12/'Infrastructure Benchmarks - ref'!$L12</f>
        <v>26.84547335404072</v>
      </c>
      <c r="R12" s="29">
        <f>'Infrastructure Benchmarks - ref'!$O12/'Infrastructure Benchmarks - ref'!$M12</f>
        <v>125.67886995018439</v>
      </c>
      <c r="S12" s="30" t="s">
        <v>4</v>
      </c>
    </row>
    <row r="13" spans="1:78" x14ac:dyDescent="0.2">
      <c r="A13" s="25" t="s">
        <v>70</v>
      </c>
      <c r="B13" s="26" t="s">
        <v>2</v>
      </c>
      <c r="C13" s="26" t="s">
        <v>3</v>
      </c>
      <c r="D13" s="26" t="s">
        <v>13</v>
      </c>
      <c r="E13" s="26" t="s">
        <v>94</v>
      </c>
      <c r="F13" s="26" t="s">
        <v>31</v>
      </c>
      <c r="G13" s="26" t="s">
        <v>6</v>
      </c>
      <c r="H13" s="26" t="s">
        <v>78</v>
      </c>
      <c r="I13" s="27" t="s">
        <v>16</v>
      </c>
      <c r="J13" s="27" t="s">
        <v>18</v>
      </c>
      <c r="K13" s="28">
        <v>157951</v>
      </c>
      <c r="L13" s="28">
        <v>557289</v>
      </c>
      <c r="M13" s="28">
        <v>119039</v>
      </c>
      <c r="N13" s="27" t="s">
        <v>28</v>
      </c>
      <c r="O13" s="28">
        <f>4038113+291267</f>
        <v>4329380</v>
      </c>
      <c r="P13" s="29">
        <f>'Infrastructure Benchmarks - ref'!$O13/'Infrastructure Benchmarks - ref'!$K13</f>
        <v>27.409639698387476</v>
      </c>
      <c r="Q13" s="29">
        <f>'Infrastructure Benchmarks - ref'!$O13/'Infrastructure Benchmarks - ref'!$L13</f>
        <v>7.7686442761296206</v>
      </c>
      <c r="R13" s="29">
        <f>'Infrastructure Benchmarks - ref'!$O13/'Infrastructure Benchmarks - ref'!$M13</f>
        <v>36.3694251463806</v>
      </c>
      <c r="S13" s="30" t="s">
        <v>4</v>
      </c>
    </row>
    <row r="14" spans="1:78" x14ac:dyDescent="0.2">
      <c r="A14" s="25" t="s">
        <v>70</v>
      </c>
      <c r="B14" s="26" t="s">
        <v>2</v>
      </c>
      <c r="C14" s="26" t="s">
        <v>3</v>
      </c>
      <c r="D14" s="26" t="s">
        <v>13</v>
      </c>
      <c r="E14" s="26" t="s">
        <v>94</v>
      </c>
      <c r="F14" s="26" t="s">
        <v>31</v>
      </c>
      <c r="G14" s="26" t="s">
        <v>6</v>
      </c>
      <c r="H14" s="26" t="s">
        <v>78</v>
      </c>
      <c r="I14" s="27" t="s">
        <v>16</v>
      </c>
      <c r="J14" s="27" t="s">
        <v>18</v>
      </c>
      <c r="K14" s="28">
        <v>157951</v>
      </c>
      <c r="L14" s="28">
        <v>557289</v>
      </c>
      <c r="M14" s="28">
        <v>119039</v>
      </c>
      <c r="N14" s="27" t="s">
        <v>47</v>
      </c>
      <c r="O14" s="28">
        <v>0</v>
      </c>
      <c r="P14" s="29">
        <v>0</v>
      </c>
      <c r="Q14" s="29">
        <v>0</v>
      </c>
      <c r="R14" s="29">
        <v>0</v>
      </c>
      <c r="S14" s="30" t="s">
        <v>4</v>
      </c>
    </row>
    <row r="15" spans="1:78" x14ac:dyDescent="0.2">
      <c r="A15" s="25" t="s">
        <v>70</v>
      </c>
      <c r="B15" s="26" t="s">
        <v>2</v>
      </c>
      <c r="C15" s="26" t="s">
        <v>3</v>
      </c>
      <c r="D15" s="26" t="s">
        <v>13</v>
      </c>
      <c r="E15" s="26" t="s">
        <v>94</v>
      </c>
      <c r="F15" s="26" t="s">
        <v>31</v>
      </c>
      <c r="G15" s="26" t="s">
        <v>6</v>
      </c>
      <c r="H15" s="26" t="s">
        <v>78</v>
      </c>
      <c r="I15" s="27" t="s">
        <v>16</v>
      </c>
      <c r="J15" s="27" t="s">
        <v>18</v>
      </c>
      <c r="K15" s="28">
        <v>157951</v>
      </c>
      <c r="L15" s="28">
        <v>557289</v>
      </c>
      <c r="M15" s="28">
        <v>119039</v>
      </c>
      <c r="N15" s="27" t="s">
        <v>27</v>
      </c>
      <c r="O15" s="28">
        <v>4319911</v>
      </c>
      <c r="P15" s="29">
        <f>'Infrastructure Benchmarks - ref'!$O15/'Infrastructure Benchmarks - ref'!$K15</f>
        <v>27.349690726870993</v>
      </c>
      <c r="Q15" s="29">
        <f>'Infrastructure Benchmarks - ref'!$O15/'Infrastructure Benchmarks - ref'!$L15</f>
        <v>7.7516530920222717</v>
      </c>
      <c r="R15" s="29">
        <f>'Infrastructure Benchmarks - ref'!$O15/'Infrastructure Benchmarks - ref'!$M15</f>
        <v>36.289879787296599</v>
      </c>
      <c r="S15" s="30" t="s">
        <v>4</v>
      </c>
    </row>
    <row r="16" spans="1:78" x14ac:dyDescent="0.2">
      <c r="A16" s="25" t="s">
        <v>70</v>
      </c>
      <c r="B16" s="26" t="s">
        <v>2</v>
      </c>
      <c r="C16" s="26" t="s">
        <v>3</v>
      </c>
      <c r="D16" s="26" t="s">
        <v>13</v>
      </c>
      <c r="E16" s="26" t="s">
        <v>94</v>
      </c>
      <c r="F16" s="26" t="s">
        <v>31</v>
      </c>
      <c r="G16" s="26" t="s">
        <v>6</v>
      </c>
      <c r="H16" s="26" t="s">
        <v>78</v>
      </c>
      <c r="I16" s="27" t="s">
        <v>16</v>
      </c>
      <c r="J16" s="27" t="s">
        <v>18</v>
      </c>
      <c r="K16" s="28">
        <v>157951</v>
      </c>
      <c r="L16" s="28">
        <v>557289</v>
      </c>
      <c r="M16" s="28">
        <v>119039</v>
      </c>
      <c r="N16" s="27" t="s">
        <v>48</v>
      </c>
      <c r="O16" s="28">
        <v>0</v>
      </c>
      <c r="P16" s="29">
        <v>0</v>
      </c>
      <c r="Q16" s="29">
        <v>0</v>
      </c>
      <c r="R16" s="29">
        <v>0</v>
      </c>
      <c r="S16" s="30" t="s">
        <v>4</v>
      </c>
    </row>
    <row r="17" spans="1:19" x14ac:dyDescent="0.2">
      <c r="A17" s="25" t="s">
        <v>70</v>
      </c>
      <c r="B17" s="26" t="s">
        <v>2</v>
      </c>
      <c r="C17" s="26" t="s">
        <v>3</v>
      </c>
      <c r="D17" s="26" t="s">
        <v>13</v>
      </c>
      <c r="E17" s="26" t="s">
        <v>94</v>
      </c>
      <c r="F17" s="26" t="s">
        <v>31</v>
      </c>
      <c r="G17" s="26" t="s">
        <v>6</v>
      </c>
      <c r="H17" s="26" t="s">
        <v>78</v>
      </c>
      <c r="I17" s="27" t="s">
        <v>16</v>
      </c>
      <c r="J17" s="27" t="s">
        <v>18</v>
      </c>
      <c r="K17" s="28">
        <v>157951</v>
      </c>
      <c r="L17" s="28">
        <v>557289</v>
      </c>
      <c r="M17" s="28">
        <v>119039</v>
      </c>
      <c r="N17" s="27" t="s">
        <v>49</v>
      </c>
      <c r="O17" s="31">
        <f>3968636+10801402</f>
        <v>14770038</v>
      </c>
      <c r="P17" s="29">
        <f>'Infrastructure Benchmarks - ref'!$O17/'Infrastructure Benchmarks - ref'!$K17</f>
        <v>93.510253179783604</v>
      </c>
      <c r="Q17" s="29">
        <f>'Infrastructure Benchmarks - ref'!$O17/'Infrastructure Benchmarks - ref'!$L17</f>
        <v>26.503372576885603</v>
      </c>
      <c r="R17" s="29">
        <f>'Infrastructure Benchmarks - ref'!$O17/'Infrastructure Benchmarks - ref'!$M17</f>
        <v>124.07730239669353</v>
      </c>
      <c r="S17" s="30" t="s">
        <v>4</v>
      </c>
    </row>
    <row r="18" spans="1:19" x14ac:dyDescent="0.2">
      <c r="A18" s="25" t="s">
        <v>70</v>
      </c>
      <c r="B18" s="26" t="s">
        <v>2</v>
      </c>
      <c r="C18" s="26" t="s">
        <v>3</v>
      </c>
      <c r="D18" s="26" t="s">
        <v>13</v>
      </c>
      <c r="E18" s="26" t="s">
        <v>94</v>
      </c>
      <c r="F18" s="26" t="s">
        <v>31</v>
      </c>
      <c r="G18" s="26" t="s">
        <v>6</v>
      </c>
      <c r="H18" s="26" t="s">
        <v>78</v>
      </c>
      <c r="I18" s="27" t="s">
        <v>16</v>
      </c>
      <c r="J18" s="27" t="s">
        <v>18</v>
      </c>
      <c r="K18" s="28">
        <v>157951</v>
      </c>
      <c r="L18" s="28">
        <v>557289</v>
      </c>
      <c r="M18" s="28">
        <v>119039</v>
      </c>
      <c r="N18" s="27" t="s">
        <v>50</v>
      </c>
      <c r="O18" s="31">
        <v>3900000</v>
      </c>
      <c r="P18" s="29">
        <f>'Infrastructure Benchmarks - ref'!$O18/'Infrastructure Benchmarks - ref'!$K18</f>
        <v>24.691201701793595</v>
      </c>
      <c r="Q18" s="29">
        <f>'Infrastructure Benchmarks - ref'!$O18/'Infrastructure Benchmarks - ref'!$L18</f>
        <v>6.9981643276648207</v>
      </c>
      <c r="R18" s="29">
        <f>'Infrastructure Benchmarks - ref'!$O18/'Infrastructure Benchmarks - ref'!$M18</f>
        <v>32.762371995732494</v>
      </c>
      <c r="S18" s="30" t="s">
        <v>4</v>
      </c>
    </row>
    <row r="19" spans="1:19" x14ac:dyDescent="0.2">
      <c r="A19" s="25" t="s">
        <v>70</v>
      </c>
      <c r="B19" s="26" t="s">
        <v>2</v>
      </c>
      <c r="C19" s="26" t="s">
        <v>3</v>
      </c>
      <c r="D19" s="26" t="s">
        <v>13</v>
      </c>
      <c r="E19" s="26" t="s">
        <v>94</v>
      </c>
      <c r="F19" s="26" t="s">
        <v>31</v>
      </c>
      <c r="G19" s="26" t="s">
        <v>6</v>
      </c>
      <c r="H19" s="26" t="s">
        <v>78</v>
      </c>
      <c r="I19" s="27" t="s">
        <v>16</v>
      </c>
      <c r="J19" s="27" t="s">
        <v>18</v>
      </c>
      <c r="K19" s="28">
        <v>157951</v>
      </c>
      <c r="L19" s="28">
        <v>557289</v>
      </c>
      <c r="M19" s="28">
        <v>119039</v>
      </c>
      <c r="N19" s="27" t="s">
        <v>51</v>
      </c>
      <c r="O19" s="28">
        <v>2700000</v>
      </c>
      <c r="P19" s="29">
        <f>'Infrastructure Benchmarks - ref'!$O19/'Infrastructure Benchmarks - ref'!$K19</f>
        <v>17.09390887047249</v>
      </c>
      <c r="Q19" s="29">
        <f>'Infrastructure Benchmarks - ref'!$O19/'Infrastructure Benchmarks - ref'!$L19</f>
        <v>4.8448829960756452</v>
      </c>
      <c r="R19" s="29">
        <f>'Infrastructure Benchmarks - ref'!$O19/'Infrastructure Benchmarks - ref'!$M19</f>
        <v>22.681642150891726</v>
      </c>
      <c r="S19" s="30" t="s">
        <v>4</v>
      </c>
    </row>
    <row r="20" spans="1:19" x14ac:dyDescent="0.2">
      <c r="A20" s="25" t="s">
        <v>70</v>
      </c>
      <c r="B20" s="26" t="s">
        <v>2</v>
      </c>
      <c r="C20" s="26" t="s">
        <v>3</v>
      </c>
      <c r="D20" s="26" t="s">
        <v>13</v>
      </c>
      <c r="E20" s="26" t="s">
        <v>94</v>
      </c>
      <c r="F20" s="26" t="s">
        <v>31</v>
      </c>
      <c r="G20" s="26" t="s">
        <v>6</v>
      </c>
      <c r="H20" s="26" t="s">
        <v>78</v>
      </c>
      <c r="I20" s="27" t="s">
        <v>16</v>
      </c>
      <c r="J20" s="27" t="s">
        <v>18</v>
      </c>
      <c r="K20" s="28">
        <v>157951</v>
      </c>
      <c r="L20" s="28">
        <v>557289</v>
      </c>
      <c r="M20" s="28">
        <v>119039</v>
      </c>
      <c r="N20" s="27" t="s">
        <v>52</v>
      </c>
      <c r="O20" s="28">
        <v>0</v>
      </c>
      <c r="P20" s="29">
        <v>0</v>
      </c>
      <c r="Q20" s="29">
        <v>0</v>
      </c>
      <c r="R20" s="29">
        <v>0</v>
      </c>
      <c r="S20" s="30" t="s">
        <v>4</v>
      </c>
    </row>
    <row r="21" spans="1:19" x14ac:dyDescent="0.2">
      <c r="A21" s="25" t="s">
        <v>70</v>
      </c>
      <c r="B21" s="26" t="s">
        <v>2</v>
      </c>
      <c r="C21" s="26" t="s">
        <v>3</v>
      </c>
      <c r="D21" s="26" t="s">
        <v>13</v>
      </c>
      <c r="E21" s="26" t="s">
        <v>94</v>
      </c>
      <c r="F21" s="26" t="s">
        <v>31</v>
      </c>
      <c r="G21" s="26" t="s">
        <v>6</v>
      </c>
      <c r="H21" s="26" t="s">
        <v>78</v>
      </c>
      <c r="I21" s="27" t="s">
        <v>16</v>
      </c>
      <c r="J21" s="27" t="s">
        <v>18</v>
      </c>
      <c r="K21" s="28">
        <v>157951</v>
      </c>
      <c r="L21" s="28">
        <v>557289</v>
      </c>
      <c r="M21" s="28">
        <v>119039</v>
      </c>
      <c r="N21" s="27" t="s">
        <v>53</v>
      </c>
      <c r="O21" s="28">
        <v>0</v>
      </c>
      <c r="P21" s="29">
        <v>0</v>
      </c>
      <c r="Q21" s="29">
        <v>0</v>
      </c>
      <c r="R21" s="29">
        <v>0</v>
      </c>
      <c r="S21" s="30" t="s">
        <v>4</v>
      </c>
    </row>
    <row r="22" spans="1:19" x14ac:dyDescent="0.2">
      <c r="A22" s="25" t="s">
        <v>70</v>
      </c>
      <c r="B22" s="26" t="s">
        <v>2</v>
      </c>
      <c r="C22" s="26" t="s">
        <v>3</v>
      </c>
      <c r="D22" s="26" t="s">
        <v>13</v>
      </c>
      <c r="E22" s="26" t="s">
        <v>94</v>
      </c>
      <c r="F22" s="26" t="s">
        <v>31</v>
      </c>
      <c r="G22" s="26" t="s">
        <v>6</v>
      </c>
      <c r="H22" s="26" t="s">
        <v>78</v>
      </c>
      <c r="I22" s="27" t="s">
        <v>16</v>
      </c>
      <c r="J22" s="27" t="s">
        <v>18</v>
      </c>
      <c r="K22" s="28">
        <v>157951</v>
      </c>
      <c r="L22" s="28">
        <v>557289</v>
      </c>
      <c r="M22" s="28">
        <v>119039</v>
      </c>
      <c r="N22" s="27" t="s">
        <v>55</v>
      </c>
      <c r="O22" s="28">
        <v>0</v>
      </c>
      <c r="P22" s="29">
        <v>0</v>
      </c>
      <c r="Q22" s="29">
        <v>0</v>
      </c>
      <c r="R22" s="29">
        <v>0</v>
      </c>
      <c r="S22" s="30" t="s">
        <v>4</v>
      </c>
    </row>
    <row r="23" spans="1:19" x14ac:dyDescent="0.2">
      <c r="A23" s="25" t="s">
        <v>70</v>
      </c>
      <c r="B23" s="26" t="s">
        <v>2</v>
      </c>
      <c r="C23" s="26" t="s">
        <v>3</v>
      </c>
      <c r="D23" s="26" t="s">
        <v>13</v>
      </c>
      <c r="E23" s="26" t="s">
        <v>94</v>
      </c>
      <c r="F23" s="26" t="s">
        <v>31</v>
      </c>
      <c r="G23" s="26" t="s">
        <v>6</v>
      </c>
      <c r="H23" s="26" t="s">
        <v>78</v>
      </c>
      <c r="I23" s="27" t="s">
        <v>16</v>
      </c>
      <c r="J23" s="27" t="s">
        <v>18</v>
      </c>
      <c r="K23" s="28">
        <v>157951</v>
      </c>
      <c r="L23" s="28">
        <v>557289</v>
      </c>
      <c r="M23" s="28">
        <v>119039</v>
      </c>
      <c r="N23" s="27" t="s">
        <v>54</v>
      </c>
      <c r="O23" s="31">
        <v>9438518</v>
      </c>
      <c r="P23" s="29">
        <f>'Infrastructure Benchmarks - ref'!$O23/'Infrastructure Benchmarks - ref'!$K23</f>
        <v>59.755987616412682</v>
      </c>
      <c r="Q23" s="29">
        <f>'Infrastructure Benchmarks - ref'!$O23/'Infrastructure Benchmarks - ref'!$L23</f>
        <v>16.936487172723666</v>
      </c>
      <c r="R23" s="29">
        <f>'Infrastructure Benchmarks - ref'!$O23/'Infrastructure Benchmarks - ref'!$M23</f>
        <v>79.28929174472232</v>
      </c>
      <c r="S23" s="30" t="s">
        <v>4</v>
      </c>
    </row>
    <row r="24" spans="1:19" x14ac:dyDescent="0.2">
      <c r="A24" s="25" t="s">
        <v>70</v>
      </c>
      <c r="B24" s="26" t="s">
        <v>2</v>
      </c>
      <c r="C24" s="26" t="s">
        <v>3</v>
      </c>
      <c r="D24" s="26" t="s">
        <v>13</v>
      </c>
      <c r="E24" s="26" t="s">
        <v>94</v>
      </c>
      <c r="F24" s="26" t="s">
        <v>31</v>
      </c>
      <c r="G24" s="26" t="s">
        <v>6</v>
      </c>
      <c r="H24" s="26" t="s">
        <v>78</v>
      </c>
      <c r="I24" s="27" t="s">
        <v>16</v>
      </c>
      <c r="J24" s="27" t="s">
        <v>18</v>
      </c>
      <c r="K24" s="28">
        <v>157951</v>
      </c>
      <c r="L24" s="28">
        <v>557289</v>
      </c>
      <c r="M24" s="28">
        <v>119039</v>
      </c>
      <c r="N24" s="27" t="s">
        <v>56</v>
      </c>
      <c r="O24" s="28">
        <v>0</v>
      </c>
      <c r="P24" s="29">
        <v>0</v>
      </c>
      <c r="Q24" s="29">
        <v>0</v>
      </c>
      <c r="R24" s="29">
        <v>0</v>
      </c>
      <c r="S24" s="30" t="s">
        <v>4</v>
      </c>
    </row>
    <row r="25" spans="1:19" x14ac:dyDescent="0.2">
      <c r="A25" s="25" t="s">
        <v>70</v>
      </c>
      <c r="B25" s="26" t="s">
        <v>2</v>
      </c>
      <c r="C25" s="26" t="s">
        <v>3</v>
      </c>
      <c r="D25" s="26" t="s">
        <v>13</v>
      </c>
      <c r="E25" s="26" t="s">
        <v>94</v>
      </c>
      <c r="F25" s="26" t="s">
        <v>31</v>
      </c>
      <c r="G25" s="26" t="s">
        <v>6</v>
      </c>
      <c r="H25" s="26" t="s">
        <v>78</v>
      </c>
      <c r="I25" s="27" t="s">
        <v>16</v>
      </c>
      <c r="J25" s="27" t="s">
        <v>18</v>
      </c>
      <c r="K25" s="28">
        <v>157951</v>
      </c>
      <c r="L25" s="28">
        <v>557289</v>
      </c>
      <c r="M25" s="28">
        <v>119039</v>
      </c>
      <c r="N25" s="27" t="s">
        <v>73</v>
      </c>
      <c r="O25" s="28">
        <v>8852560</v>
      </c>
      <c r="P25" s="29">
        <f>'Infrastructure Benchmarks - ref'!$O25/'Infrastructure Benchmarks - ref'!$K25</f>
        <v>56.046242189033308</v>
      </c>
      <c r="Q25" s="29">
        <f>'Infrastructure Benchmarks - ref'!$O25/'Infrastructure Benchmarks - ref'!$L25</f>
        <v>15.885043487310893</v>
      </c>
      <c r="R25" s="29">
        <f>'Infrastructure Benchmarks - ref'!$O25/'Infrastructure Benchmarks - ref'!$M25</f>
        <v>74.366888162702978</v>
      </c>
      <c r="S25" s="30" t="s">
        <v>4</v>
      </c>
    </row>
    <row r="26" spans="1:19" x14ac:dyDescent="0.2">
      <c r="A26" s="25" t="s">
        <v>70</v>
      </c>
      <c r="B26" s="26" t="s">
        <v>2</v>
      </c>
      <c r="C26" s="26" t="s">
        <v>3</v>
      </c>
      <c r="D26" s="26" t="s">
        <v>13</v>
      </c>
      <c r="E26" s="26" t="s">
        <v>94</v>
      </c>
      <c r="F26" s="26" t="s">
        <v>31</v>
      </c>
      <c r="G26" s="26" t="s">
        <v>6</v>
      </c>
      <c r="H26" s="26" t="s">
        <v>78</v>
      </c>
      <c r="I26" s="27" t="s">
        <v>16</v>
      </c>
      <c r="J26" s="27" t="s">
        <v>18</v>
      </c>
      <c r="K26" s="28">
        <v>157951</v>
      </c>
      <c r="L26" s="28">
        <v>557289</v>
      </c>
      <c r="M26" s="28">
        <v>119039</v>
      </c>
      <c r="N26" s="27" t="s">
        <v>57</v>
      </c>
      <c r="O26" s="31">
        <v>30334415</v>
      </c>
      <c r="P26" s="29">
        <f>'Infrastructure Benchmarks - ref'!$O26/'Infrastructure Benchmarks - ref'!$K26</f>
        <v>192.04952801818285</v>
      </c>
      <c r="Q26" s="29">
        <f>'Infrastructure Benchmarks - ref'!$O26/'Infrastructure Benchmarks - ref'!$L26</f>
        <v>54.432107936815548</v>
      </c>
      <c r="R26" s="29">
        <f>'Infrastructure Benchmarks - ref'!$O26/'Infrastructure Benchmarks - ref'!$M26</f>
        <v>254.82753551357118</v>
      </c>
      <c r="S26" s="30" t="s">
        <v>4</v>
      </c>
    </row>
    <row r="27" spans="1:19" x14ac:dyDescent="0.2">
      <c r="A27" s="25" t="s">
        <v>70</v>
      </c>
      <c r="B27" s="26" t="s">
        <v>2</v>
      </c>
      <c r="C27" s="26" t="s">
        <v>3</v>
      </c>
      <c r="D27" s="26" t="s">
        <v>13</v>
      </c>
      <c r="E27" s="26" t="s">
        <v>94</v>
      </c>
      <c r="F27" s="26" t="s">
        <v>31</v>
      </c>
      <c r="G27" s="26" t="s">
        <v>6</v>
      </c>
      <c r="H27" s="26" t="s">
        <v>78</v>
      </c>
      <c r="I27" s="27" t="s">
        <v>65</v>
      </c>
      <c r="J27" s="27" t="s">
        <v>18</v>
      </c>
      <c r="K27" s="28">
        <v>157951</v>
      </c>
      <c r="L27" s="28">
        <v>557289</v>
      </c>
      <c r="M27" s="28">
        <v>119039</v>
      </c>
      <c r="N27" s="27" t="s">
        <v>58</v>
      </c>
      <c r="O27" s="31">
        <v>18545787</v>
      </c>
      <c r="P27" s="29">
        <f>'Infrastructure Benchmarks - ref'!$O27/'Infrastructure Benchmarks - ref'!$K27</f>
        <v>117.41481218859013</v>
      </c>
      <c r="Q27" s="29">
        <f>'Infrastructure Benchmarks - ref'!$O27/'Infrastructure Benchmarks - ref'!$L27</f>
        <v>33.278580772274353</v>
      </c>
      <c r="R27" s="29">
        <f>'Infrastructure Benchmarks - ref'!$O27/'Infrastructure Benchmarks - ref'!$M27</f>
        <v>155.79589042246658</v>
      </c>
      <c r="S27" s="30" t="s">
        <v>4</v>
      </c>
    </row>
    <row r="28" spans="1:19" x14ac:dyDescent="0.2">
      <c r="A28" s="25" t="s">
        <v>70</v>
      </c>
      <c r="B28" s="26" t="s">
        <v>2</v>
      </c>
      <c r="C28" s="26" t="s">
        <v>3</v>
      </c>
      <c r="D28" s="26" t="s">
        <v>13</v>
      </c>
      <c r="E28" s="26" t="s">
        <v>94</v>
      </c>
      <c r="F28" s="26" t="s">
        <v>31</v>
      </c>
      <c r="G28" s="26" t="s">
        <v>6</v>
      </c>
      <c r="H28" s="26" t="s">
        <v>78</v>
      </c>
      <c r="I28" s="27" t="s">
        <v>65</v>
      </c>
      <c r="J28" s="27" t="s">
        <v>18</v>
      </c>
      <c r="K28" s="28">
        <v>157951</v>
      </c>
      <c r="L28" s="28">
        <v>557289</v>
      </c>
      <c r="M28" s="28">
        <v>119039</v>
      </c>
      <c r="N28" s="27" t="s">
        <v>59</v>
      </c>
      <c r="O28" s="31">
        <v>11519715</v>
      </c>
      <c r="P28" s="29">
        <f>'Infrastructure Benchmarks - ref'!$O28/'Infrastructure Benchmarks - ref'!$K28</f>
        <v>72.932206823635184</v>
      </c>
      <c r="Q28" s="29">
        <f>'Infrastructure Benchmarks - ref'!$O28/'Infrastructure Benchmarks - ref'!$L28</f>
        <v>20.670989378939833</v>
      </c>
      <c r="R28" s="29">
        <f>'Infrastructure Benchmarks - ref'!$O28/'Infrastructure Benchmarks - ref'!$M28</f>
        <v>96.772612337133211</v>
      </c>
      <c r="S28" s="30" t="s">
        <v>4</v>
      </c>
    </row>
    <row r="29" spans="1:19" x14ac:dyDescent="0.2">
      <c r="A29" s="25" t="s">
        <v>70</v>
      </c>
      <c r="B29" s="26" t="s">
        <v>2</v>
      </c>
      <c r="C29" s="26" t="s">
        <v>3</v>
      </c>
      <c r="D29" s="26" t="s">
        <v>13</v>
      </c>
      <c r="E29" s="26" t="s">
        <v>94</v>
      </c>
      <c r="F29" s="26" t="s">
        <v>31</v>
      </c>
      <c r="G29" s="26" t="s">
        <v>6</v>
      </c>
      <c r="H29" s="26" t="s">
        <v>78</v>
      </c>
      <c r="I29" s="27" t="s">
        <v>16</v>
      </c>
      <c r="J29" s="27" t="s">
        <v>18</v>
      </c>
      <c r="K29" s="28">
        <v>157951</v>
      </c>
      <c r="L29" s="28">
        <v>557289</v>
      </c>
      <c r="M29" s="28">
        <v>119039</v>
      </c>
      <c r="N29" s="27" t="s">
        <v>60</v>
      </c>
      <c r="O29" s="28">
        <v>0</v>
      </c>
      <c r="P29" s="29">
        <v>0</v>
      </c>
      <c r="Q29" s="29">
        <v>0</v>
      </c>
      <c r="R29" s="29">
        <v>0</v>
      </c>
      <c r="S29" s="30" t="s">
        <v>4</v>
      </c>
    </row>
    <row r="30" spans="1:19" s="41" customFormat="1" ht="16" thickBot="1" x14ac:dyDescent="0.25">
      <c r="A30" s="35" t="s">
        <v>70</v>
      </c>
      <c r="B30" s="36" t="s">
        <v>2</v>
      </c>
      <c r="C30" s="36" t="s">
        <v>3</v>
      </c>
      <c r="D30" s="36" t="s">
        <v>13</v>
      </c>
      <c r="E30" s="36" t="s">
        <v>94</v>
      </c>
      <c r="F30" s="36" t="s">
        <v>31</v>
      </c>
      <c r="G30" s="36" t="s">
        <v>6</v>
      </c>
      <c r="H30" s="36" t="s">
        <v>78</v>
      </c>
      <c r="I30" s="37" t="s">
        <v>16</v>
      </c>
      <c r="J30" s="37" t="s">
        <v>18</v>
      </c>
      <c r="K30" s="38">
        <v>157951</v>
      </c>
      <c r="L30" s="38">
        <v>557289</v>
      </c>
      <c r="M30" s="38">
        <v>119039</v>
      </c>
      <c r="N30" s="37" t="s">
        <v>61</v>
      </c>
      <c r="O30" s="38">
        <v>0</v>
      </c>
      <c r="P30" s="39">
        <v>0</v>
      </c>
      <c r="Q30" s="39">
        <v>0</v>
      </c>
      <c r="R30" s="39">
        <v>0</v>
      </c>
      <c r="S30" s="40" t="s">
        <v>4</v>
      </c>
    </row>
    <row r="31" spans="1:19" s="48" customFormat="1" ht="16" thickTop="1" x14ac:dyDescent="0.2">
      <c r="A31" s="42" t="s">
        <v>70</v>
      </c>
      <c r="B31" s="43" t="s">
        <v>2</v>
      </c>
      <c r="C31" s="43" t="s">
        <v>3</v>
      </c>
      <c r="D31" s="43" t="s">
        <v>37</v>
      </c>
      <c r="E31" s="43" t="s">
        <v>99</v>
      </c>
      <c r="F31" s="43" t="s">
        <v>36</v>
      </c>
      <c r="G31" s="43" t="s">
        <v>29</v>
      </c>
      <c r="H31" s="43" t="s">
        <v>38</v>
      </c>
      <c r="I31" s="44" t="s">
        <v>16</v>
      </c>
      <c r="J31" s="44" t="s">
        <v>18</v>
      </c>
      <c r="K31" s="45">
        <v>580094</v>
      </c>
      <c r="L31" s="45">
        <v>2044670</v>
      </c>
      <c r="M31" s="45">
        <v>710886</v>
      </c>
      <c r="N31" s="44" t="s">
        <v>24</v>
      </c>
      <c r="O31" s="45">
        <v>19449911</v>
      </c>
      <c r="P31" s="46">
        <f>'Infrastructure Benchmarks - ref'!$O31/'Infrastructure Benchmarks - ref'!$K31</f>
        <v>33.528895316965873</v>
      </c>
      <c r="Q31" s="46">
        <f>'Infrastructure Benchmarks - ref'!$O31/'Infrastructure Benchmarks - ref'!$L31</f>
        <v>9.5124939476785979</v>
      </c>
      <c r="R31" s="46">
        <f>'Infrastructure Benchmarks - ref'!$O31/'Infrastructure Benchmarks - ref'!$M31</f>
        <v>27.3600985249393</v>
      </c>
      <c r="S31" s="47">
        <v>2016</v>
      </c>
    </row>
    <row r="32" spans="1:19" x14ac:dyDescent="0.2">
      <c r="A32" s="25" t="s">
        <v>70</v>
      </c>
      <c r="B32" s="26" t="s">
        <v>2</v>
      </c>
      <c r="C32" s="26" t="s">
        <v>3</v>
      </c>
      <c r="D32" s="26" t="s">
        <v>37</v>
      </c>
      <c r="E32" s="26" t="s">
        <v>99</v>
      </c>
      <c r="F32" s="26" t="s">
        <v>36</v>
      </c>
      <c r="G32" s="26" t="s">
        <v>29</v>
      </c>
      <c r="H32" s="26" t="s">
        <v>38</v>
      </c>
      <c r="I32" s="27" t="s">
        <v>16</v>
      </c>
      <c r="J32" s="27" t="s">
        <v>18</v>
      </c>
      <c r="K32" s="28">
        <v>580094</v>
      </c>
      <c r="L32" s="28">
        <v>2044670</v>
      </c>
      <c r="M32" s="28">
        <v>710886</v>
      </c>
      <c r="N32" s="27" t="s">
        <v>44</v>
      </c>
      <c r="O32" s="28">
        <v>0</v>
      </c>
      <c r="P32" s="29">
        <v>0</v>
      </c>
      <c r="Q32" s="29">
        <v>0</v>
      </c>
      <c r="R32" s="29">
        <v>0</v>
      </c>
      <c r="S32" s="30">
        <v>2016</v>
      </c>
    </row>
    <row r="33" spans="1:19" x14ac:dyDescent="0.2">
      <c r="A33" s="25" t="s">
        <v>70</v>
      </c>
      <c r="B33" s="26" t="s">
        <v>2</v>
      </c>
      <c r="C33" s="26" t="s">
        <v>3</v>
      </c>
      <c r="D33" s="26" t="s">
        <v>37</v>
      </c>
      <c r="E33" s="26" t="s">
        <v>99</v>
      </c>
      <c r="F33" s="26" t="s">
        <v>36</v>
      </c>
      <c r="G33" s="26" t="s">
        <v>29</v>
      </c>
      <c r="H33" s="26" t="s">
        <v>38</v>
      </c>
      <c r="I33" s="27" t="s">
        <v>16</v>
      </c>
      <c r="J33" s="27" t="s">
        <v>18</v>
      </c>
      <c r="K33" s="28">
        <v>580094</v>
      </c>
      <c r="L33" s="28">
        <v>2044670</v>
      </c>
      <c r="M33" s="28">
        <v>710886</v>
      </c>
      <c r="N33" s="27" t="s">
        <v>45</v>
      </c>
      <c r="O33" s="28">
        <v>0</v>
      </c>
      <c r="P33" s="29">
        <f>'Infrastructure Benchmarks - ref'!$O33/'Infrastructure Benchmarks - ref'!$K33</f>
        <v>0</v>
      </c>
      <c r="Q33" s="29">
        <f>'Infrastructure Benchmarks - ref'!$O33/'Infrastructure Benchmarks - ref'!$L33</f>
        <v>0</v>
      </c>
      <c r="R33" s="29">
        <f>'Infrastructure Benchmarks - ref'!$O33/'Infrastructure Benchmarks - ref'!$M33</f>
        <v>0</v>
      </c>
      <c r="S33" s="30">
        <v>2016</v>
      </c>
    </row>
    <row r="34" spans="1:19" x14ac:dyDescent="0.2">
      <c r="A34" s="25" t="s">
        <v>70</v>
      </c>
      <c r="B34" s="26" t="s">
        <v>2</v>
      </c>
      <c r="C34" s="26" t="s">
        <v>3</v>
      </c>
      <c r="D34" s="26" t="s">
        <v>37</v>
      </c>
      <c r="E34" s="26" t="s">
        <v>99</v>
      </c>
      <c r="F34" s="26" t="s">
        <v>36</v>
      </c>
      <c r="G34" s="26" t="s">
        <v>29</v>
      </c>
      <c r="H34" s="26" t="s">
        <v>38</v>
      </c>
      <c r="I34" s="27" t="s">
        <v>16</v>
      </c>
      <c r="J34" s="27" t="s">
        <v>18</v>
      </c>
      <c r="K34" s="28">
        <v>580094</v>
      </c>
      <c r="L34" s="28">
        <v>2044670</v>
      </c>
      <c r="M34" s="28">
        <v>710886</v>
      </c>
      <c r="N34" s="27" t="s">
        <v>14</v>
      </c>
      <c r="O34" s="31">
        <v>33077291</v>
      </c>
      <c r="P34" s="29">
        <f>'Infrastructure Benchmarks - ref'!$O34/'Infrastructure Benchmarks - ref'!$K34</f>
        <v>57.020570804042102</v>
      </c>
      <c r="Q34" s="29">
        <f>'Infrastructure Benchmarks - ref'!$O34/'Infrastructure Benchmarks - ref'!$L34</f>
        <v>16.177324947302008</v>
      </c>
      <c r="R34" s="29">
        <f>'Infrastructure Benchmarks - ref'!$O34/'Infrastructure Benchmarks - ref'!$M34</f>
        <v>46.529670017414887</v>
      </c>
      <c r="S34" s="30">
        <v>2016</v>
      </c>
    </row>
    <row r="35" spans="1:19" x14ac:dyDescent="0.2">
      <c r="A35" s="25" t="s">
        <v>70</v>
      </c>
      <c r="B35" s="26" t="s">
        <v>2</v>
      </c>
      <c r="C35" s="26" t="s">
        <v>3</v>
      </c>
      <c r="D35" s="26" t="s">
        <v>37</v>
      </c>
      <c r="E35" s="26" t="s">
        <v>99</v>
      </c>
      <c r="F35" s="26" t="s">
        <v>36</v>
      </c>
      <c r="G35" s="26" t="s">
        <v>29</v>
      </c>
      <c r="H35" s="26" t="s">
        <v>38</v>
      </c>
      <c r="I35" s="27" t="s">
        <v>16</v>
      </c>
      <c r="J35" s="27" t="s">
        <v>18</v>
      </c>
      <c r="K35" s="28">
        <v>580094</v>
      </c>
      <c r="L35" s="28">
        <v>2044670</v>
      </c>
      <c r="M35" s="28">
        <v>710886</v>
      </c>
      <c r="N35" s="27" t="s">
        <v>22</v>
      </c>
      <c r="O35" s="28">
        <v>33797356</v>
      </c>
      <c r="P35" s="29">
        <f>'Infrastructure Benchmarks - ref'!$O35/'Infrastructure Benchmarks - ref'!$K35</f>
        <v>58.261861008733071</v>
      </c>
      <c r="Q35" s="29">
        <f>'Infrastructure Benchmarks - ref'!$O35/'Infrastructure Benchmarks - ref'!$L35</f>
        <v>16.529491800632865</v>
      </c>
      <c r="R35" s="29">
        <f>'Infrastructure Benchmarks - ref'!$O35/'Infrastructure Benchmarks - ref'!$M35</f>
        <v>47.542582073637689</v>
      </c>
      <c r="S35" s="30">
        <v>2016</v>
      </c>
    </row>
    <row r="36" spans="1:19" x14ac:dyDescent="0.2">
      <c r="A36" s="25" t="s">
        <v>70</v>
      </c>
      <c r="B36" s="26" t="s">
        <v>2</v>
      </c>
      <c r="C36" s="26" t="s">
        <v>3</v>
      </c>
      <c r="D36" s="26" t="s">
        <v>37</v>
      </c>
      <c r="E36" s="26" t="s">
        <v>99</v>
      </c>
      <c r="F36" s="26" t="s">
        <v>36</v>
      </c>
      <c r="G36" s="26" t="s">
        <v>29</v>
      </c>
      <c r="H36" s="26" t="s">
        <v>38</v>
      </c>
      <c r="I36" s="27" t="s">
        <v>16</v>
      </c>
      <c r="J36" s="27" t="s">
        <v>18</v>
      </c>
      <c r="K36" s="28">
        <v>580094</v>
      </c>
      <c r="L36" s="28">
        <v>2044670</v>
      </c>
      <c r="M36" s="28">
        <v>710886</v>
      </c>
      <c r="N36" s="27" t="s">
        <v>20</v>
      </c>
      <c r="O36" s="28">
        <v>27138491</v>
      </c>
      <c r="P36" s="29">
        <f>'Infrastructure Benchmarks - ref'!$O36/'Infrastructure Benchmarks - ref'!$K36</f>
        <v>46.782919664743993</v>
      </c>
      <c r="Q36" s="29">
        <f>'Infrastructure Benchmarks - ref'!$O36/'Infrastructure Benchmarks - ref'!$L36</f>
        <v>13.27279756635545</v>
      </c>
      <c r="R36" s="29">
        <f>'Infrastructure Benchmarks - ref'!$O36/'Infrastructure Benchmarks - ref'!$M36</f>
        <v>38.175587928303557</v>
      </c>
      <c r="S36" s="30">
        <v>2016</v>
      </c>
    </row>
    <row r="37" spans="1:19" x14ac:dyDescent="0.2">
      <c r="A37" s="25" t="s">
        <v>70</v>
      </c>
      <c r="B37" s="26" t="s">
        <v>2</v>
      </c>
      <c r="C37" s="26" t="s">
        <v>3</v>
      </c>
      <c r="D37" s="26" t="s">
        <v>37</v>
      </c>
      <c r="E37" s="26" t="s">
        <v>99</v>
      </c>
      <c r="F37" s="26" t="s">
        <v>36</v>
      </c>
      <c r="G37" s="26" t="s">
        <v>29</v>
      </c>
      <c r="H37" s="26" t="s">
        <v>38</v>
      </c>
      <c r="I37" s="27" t="s">
        <v>16</v>
      </c>
      <c r="J37" s="27" t="s">
        <v>18</v>
      </c>
      <c r="K37" s="28">
        <v>580094</v>
      </c>
      <c r="L37" s="28">
        <v>2044670</v>
      </c>
      <c r="M37" s="28">
        <v>710886</v>
      </c>
      <c r="N37" s="27" t="s">
        <v>23</v>
      </c>
      <c r="O37" s="31">
        <v>23519786</v>
      </c>
      <c r="P37" s="29">
        <f>'Infrastructure Benchmarks - ref'!$O37/'Infrastructure Benchmarks - ref'!$K37</f>
        <v>40.544784121194148</v>
      </c>
      <c r="Q37" s="29">
        <f>'Infrastructure Benchmarks - ref'!$O37/'Infrastructure Benchmarks - ref'!$L37</f>
        <v>11.50297407405596</v>
      </c>
      <c r="R37" s="29">
        <f>'Infrastructure Benchmarks - ref'!$O37/'Infrastructure Benchmarks - ref'!$M37</f>
        <v>33.085172587447211</v>
      </c>
      <c r="S37" s="32">
        <v>2016</v>
      </c>
    </row>
    <row r="38" spans="1:19" x14ac:dyDescent="0.2">
      <c r="A38" s="25" t="s">
        <v>70</v>
      </c>
      <c r="B38" s="26" t="s">
        <v>2</v>
      </c>
      <c r="C38" s="26" t="s">
        <v>3</v>
      </c>
      <c r="D38" s="26" t="s">
        <v>37</v>
      </c>
      <c r="E38" s="26" t="s">
        <v>99</v>
      </c>
      <c r="F38" s="26" t="s">
        <v>36</v>
      </c>
      <c r="G38" s="26" t="s">
        <v>29</v>
      </c>
      <c r="H38" s="26" t="s">
        <v>38</v>
      </c>
      <c r="I38" s="27" t="s">
        <v>16</v>
      </c>
      <c r="J38" s="27" t="s">
        <v>18</v>
      </c>
      <c r="K38" s="28">
        <v>580094</v>
      </c>
      <c r="L38" s="28">
        <v>2044670</v>
      </c>
      <c r="M38" s="28">
        <v>710886</v>
      </c>
      <c r="N38" s="27" t="s">
        <v>43</v>
      </c>
      <c r="O38" s="31">
        <v>22532960</v>
      </c>
      <c r="P38" s="29">
        <f>'Infrastructure Benchmarks - ref'!$O38/'Infrastructure Benchmarks - ref'!$K38</f>
        <v>38.843635686630101</v>
      </c>
      <c r="Q38" s="29">
        <f>'Infrastructure Benchmarks - ref'!$O38/'Infrastructure Benchmarks - ref'!$L38</f>
        <v>11.0203406906738</v>
      </c>
      <c r="R38" s="29">
        <f>'Infrastructure Benchmarks - ref'!$O38/'Infrastructure Benchmarks - ref'!$M38</f>
        <v>31.697009084438292</v>
      </c>
      <c r="S38" s="32">
        <v>2016</v>
      </c>
    </row>
    <row r="39" spans="1:19" x14ac:dyDescent="0.2">
      <c r="A39" s="25" t="s">
        <v>70</v>
      </c>
      <c r="B39" s="26" t="s">
        <v>2</v>
      </c>
      <c r="C39" s="26" t="s">
        <v>3</v>
      </c>
      <c r="D39" s="26" t="s">
        <v>37</v>
      </c>
      <c r="E39" s="26" t="s">
        <v>99</v>
      </c>
      <c r="F39" s="26" t="s">
        <v>36</v>
      </c>
      <c r="G39" s="26" t="s">
        <v>29</v>
      </c>
      <c r="H39" s="26" t="s">
        <v>38</v>
      </c>
      <c r="I39" s="27" t="s">
        <v>16</v>
      </c>
      <c r="J39" s="27" t="s">
        <v>18</v>
      </c>
      <c r="K39" s="28">
        <v>580094</v>
      </c>
      <c r="L39" s="28">
        <v>2044670</v>
      </c>
      <c r="M39" s="28">
        <v>710886</v>
      </c>
      <c r="N39" s="27" t="s">
        <v>46</v>
      </c>
      <c r="O39" s="28">
        <v>0</v>
      </c>
      <c r="P39" s="29">
        <v>0</v>
      </c>
      <c r="Q39" s="29">
        <v>0</v>
      </c>
      <c r="R39" s="29">
        <v>0</v>
      </c>
      <c r="S39" s="32">
        <v>2016</v>
      </c>
    </row>
    <row r="40" spans="1:19" x14ac:dyDescent="0.2">
      <c r="A40" s="25" t="s">
        <v>70</v>
      </c>
      <c r="B40" s="26" t="s">
        <v>2</v>
      </c>
      <c r="C40" s="26" t="s">
        <v>3</v>
      </c>
      <c r="D40" s="26" t="s">
        <v>37</v>
      </c>
      <c r="E40" s="26" t="s">
        <v>99</v>
      </c>
      <c r="F40" s="26" t="s">
        <v>36</v>
      </c>
      <c r="G40" s="26" t="s">
        <v>29</v>
      </c>
      <c r="H40" s="26" t="s">
        <v>38</v>
      </c>
      <c r="I40" s="27" t="s">
        <v>16</v>
      </c>
      <c r="J40" s="27" t="s">
        <v>18</v>
      </c>
      <c r="K40" s="28">
        <v>580094</v>
      </c>
      <c r="L40" s="28">
        <v>2044670</v>
      </c>
      <c r="M40" s="28">
        <v>710886</v>
      </c>
      <c r="N40" s="27" t="s">
        <v>34</v>
      </c>
      <c r="O40" s="31">
        <v>4878211</v>
      </c>
      <c r="P40" s="29">
        <f>'Infrastructure Benchmarks - ref'!$O40/'Infrastructure Benchmarks - ref'!$K40</f>
        <v>8.4093457267270484</v>
      </c>
      <c r="Q40" s="29">
        <f>'Infrastructure Benchmarks - ref'!$O40/'Infrastructure Benchmarks - ref'!$L40</f>
        <v>2.3858182493996587</v>
      </c>
      <c r="R40" s="29">
        <f>'Infrastructure Benchmarks - ref'!$O40/'Infrastructure Benchmarks - ref'!$M40</f>
        <v>6.8621565201734178</v>
      </c>
      <c r="S40" s="32">
        <v>2016</v>
      </c>
    </row>
    <row r="41" spans="1:19" x14ac:dyDescent="0.2">
      <c r="A41" s="25" t="s">
        <v>70</v>
      </c>
      <c r="B41" s="26" t="s">
        <v>2</v>
      </c>
      <c r="C41" s="26" t="s">
        <v>3</v>
      </c>
      <c r="D41" s="26" t="s">
        <v>37</v>
      </c>
      <c r="E41" s="26" t="s">
        <v>99</v>
      </c>
      <c r="F41" s="26" t="s">
        <v>36</v>
      </c>
      <c r="G41" s="26" t="s">
        <v>29</v>
      </c>
      <c r="H41" s="26" t="s">
        <v>38</v>
      </c>
      <c r="I41" s="27" t="s">
        <v>16</v>
      </c>
      <c r="J41" s="27" t="s">
        <v>18</v>
      </c>
      <c r="K41" s="28">
        <v>580094</v>
      </c>
      <c r="L41" s="28">
        <v>2044670</v>
      </c>
      <c r="M41" s="28">
        <v>710886</v>
      </c>
      <c r="N41" s="27" t="s">
        <v>26</v>
      </c>
      <c r="O41" s="31">
        <v>112094638</v>
      </c>
      <c r="P41" s="29">
        <f>'Infrastructure Benchmarks - ref'!$O41/'Infrastructure Benchmarks - ref'!$K41</f>
        <v>193.23529979623993</v>
      </c>
      <c r="Q41" s="29">
        <f>'Infrastructure Benchmarks - ref'!$O41/'Infrastructure Benchmarks - ref'!$L41</f>
        <v>54.822850631153194</v>
      </c>
      <c r="R41" s="29">
        <f>'Infrastructure Benchmarks - ref'!$O41/'Infrastructure Benchmarks - ref'!$M41</f>
        <v>157.68300121257136</v>
      </c>
      <c r="S41" s="32">
        <v>2016</v>
      </c>
    </row>
    <row r="42" spans="1:19" x14ac:dyDescent="0.2">
      <c r="A42" s="25" t="s">
        <v>70</v>
      </c>
      <c r="B42" s="26" t="s">
        <v>2</v>
      </c>
      <c r="C42" s="26" t="s">
        <v>3</v>
      </c>
      <c r="D42" s="26" t="s">
        <v>37</v>
      </c>
      <c r="E42" s="26" t="s">
        <v>99</v>
      </c>
      <c r="F42" s="26" t="s">
        <v>36</v>
      </c>
      <c r="G42" s="26" t="s">
        <v>29</v>
      </c>
      <c r="H42" s="26" t="s">
        <v>38</v>
      </c>
      <c r="I42" s="27" t="s">
        <v>16</v>
      </c>
      <c r="J42" s="27" t="s">
        <v>18</v>
      </c>
      <c r="K42" s="28">
        <v>580094</v>
      </c>
      <c r="L42" s="28">
        <v>2044670</v>
      </c>
      <c r="M42" s="28">
        <v>710886</v>
      </c>
      <c r="N42" s="27" t="s">
        <v>28</v>
      </c>
      <c r="O42" s="31">
        <v>13398795</v>
      </c>
      <c r="P42" s="29">
        <f>'Infrastructure Benchmarks - ref'!$O42/'Infrastructure Benchmarks - ref'!$K42</f>
        <v>23.097627281095821</v>
      </c>
      <c r="Q42" s="29">
        <f>'Infrastructure Benchmarks - ref'!$O42/'Infrastructure Benchmarks - ref'!$L42</f>
        <v>6.55303545315381</v>
      </c>
      <c r="R42" s="29">
        <f>'Infrastructure Benchmarks - ref'!$O42/'Infrastructure Benchmarks - ref'!$M42</f>
        <v>18.84802204572885</v>
      </c>
      <c r="S42" s="32">
        <v>2016</v>
      </c>
    </row>
    <row r="43" spans="1:19" x14ac:dyDescent="0.2">
      <c r="A43" s="25" t="s">
        <v>70</v>
      </c>
      <c r="B43" s="26" t="s">
        <v>2</v>
      </c>
      <c r="C43" s="26" t="s">
        <v>3</v>
      </c>
      <c r="D43" s="26" t="s">
        <v>37</v>
      </c>
      <c r="E43" s="26" t="s">
        <v>99</v>
      </c>
      <c r="F43" s="26" t="s">
        <v>36</v>
      </c>
      <c r="G43" s="26" t="s">
        <v>29</v>
      </c>
      <c r="H43" s="26" t="s">
        <v>38</v>
      </c>
      <c r="I43" s="27" t="s">
        <v>16</v>
      </c>
      <c r="J43" s="27" t="s">
        <v>18</v>
      </c>
      <c r="K43" s="28">
        <v>580094</v>
      </c>
      <c r="L43" s="28">
        <v>2044670</v>
      </c>
      <c r="M43" s="28">
        <v>710886</v>
      </c>
      <c r="N43" s="27" t="s">
        <v>47</v>
      </c>
      <c r="O43" s="28">
        <v>0</v>
      </c>
      <c r="P43" s="29">
        <v>0</v>
      </c>
      <c r="Q43" s="29">
        <v>0</v>
      </c>
      <c r="R43" s="29">
        <v>0</v>
      </c>
      <c r="S43" s="30">
        <v>2016</v>
      </c>
    </row>
    <row r="44" spans="1:19" x14ac:dyDescent="0.2">
      <c r="A44" s="25" t="s">
        <v>70</v>
      </c>
      <c r="B44" s="26" t="s">
        <v>2</v>
      </c>
      <c r="C44" s="26" t="s">
        <v>3</v>
      </c>
      <c r="D44" s="26" t="s">
        <v>37</v>
      </c>
      <c r="E44" s="26" t="s">
        <v>99</v>
      </c>
      <c r="F44" s="26" t="s">
        <v>36</v>
      </c>
      <c r="G44" s="26" t="s">
        <v>29</v>
      </c>
      <c r="H44" s="26" t="s">
        <v>38</v>
      </c>
      <c r="I44" s="27" t="s">
        <v>16</v>
      </c>
      <c r="J44" s="27" t="s">
        <v>18</v>
      </c>
      <c r="K44" s="28">
        <v>580094</v>
      </c>
      <c r="L44" s="28">
        <v>2044670</v>
      </c>
      <c r="M44" s="28">
        <v>710886</v>
      </c>
      <c r="N44" s="27" t="s">
        <v>27</v>
      </c>
      <c r="O44" s="31">
        <v>17874792</v>
      </c>
      <c r="P44" s="29">
        <f>'Infrastructure Benchmarks - ref'!$O44/'Infrastructure Benchmarks - ref'!$K44</f>
        <v>30.813612966174446</v>
      </c>
      <c r="Q44" s="29">
        <f>'Infrastructure Benchmarks - ref'!$O44/'Infrastructure Benchmarks - ref'!$L44</f>
        <v>8.7421402964781603</v>
      </c>
      <c r="R44" s="29">
        <f>'Infrastructure Benchmarks - ref'!$O44/'Infrastructure Benchmarks - ref'!$M44</f>
        <v>25.144386019699361</v>
      </c>
      <c r="S44" s="32">
        <v>2016</v>
      </c>
    </row>
    <row r="45" spans="1:19" x14ac:dyDescent="0.2">
      <c r="A45" s="25" t="s">
        <v>70</v>
      </c>
      <c r="B45" s="26" t="s">
        <v>2</v>
      </c>
      <c r="C45" s="26" t="s">
        <v>3</v>
      </c>
      <c r="D45" s="26" t="s">
        <v>37</v>
      </c>
      <c r="E45" s="26" t="s">
        <v>99</v>
      </c>
      <c r="F45" s="26" t="s">
        <v>36</v>
      </c>
      <c r="G45" s="26" t="s">
        <v>29</v>
      </c>
      <c r="H45" s="26" t="s">
        <v>38</v>
      </c>
      <c r="I45" s="27" t="s">
        <v>16</v>
      </c>
      <c r="J45" s="27" t="s">
        <v>18</v>
      </c>
      <c r="K45" s="28">
        <v>580094</v>
      </c>
      <c r="L45" s="28">
        <v>2044670</v>
      </c>
      <c r="M45" s="28">
        <v>710886</v>
      </c>
      <c r="N45" s="27" t="s">
        <v>48</v>
      </c>
      <c r="O45" s="28">
        <v>0</v>
      </c>
      <c r="P45" s="29">
        <v>0</v>
      </c>
      <c r="Q45" s="29">
        <v>0</v>
      </c>
      <c r="R45" s="29">
        <v>0</v>
      </c>
      <c r="S45" s="32">
        <v>2016</v>
      </c>
    </row>
    <row r="46" spans="1:19" x14ac:dyDescent="0.2">
      <c r="A46" s="25" t="s">
        <v>70</v>
      </c>
      <c r="B46" s="26" t="s">
        <v>2</v>
      </c>
      <c r="C46" s="26" t="s">
        <v>3</v>
      </c>
      <c r="D46" s="26" t="s">
        <v>37</v>
      </c>
      <c r="E46" s="26" t="s">
        <v>99</v>
      </c>
      <c r="F46" s="26" t="s">
        <v>36</v>
      </c>
      <c r="G46" s="26" t="s">
        <v>29</v>
      </c>
      <c r="H46" s="26" t="s">
        <v>38</v>
      </c>
      <c r="I46" s="27" t="s">
        <v>16</v>
      </c>
      <c r="J46" s="27" t="s">
        <v>18</v>
      </c>
      <c r="K46" s="28">
        <v>580094</v>
      </c>
      <c r="L46" s="28">
        <v>2044670</v>
      </c>
      <c r="M46" s="28">
        <v>710886</v>
      </c>
      <c r="N46" s="27" t="s">
        <v>49</v>
      </c>
      <c r="O46" s="28">
        <v>0</v>
      </c>
      <c r="P46" s="29">
        <v>0</v>
      </c>
      <c r="Q46" s="29">
        <v>0</v>
      </c>
      <c r="R46" s="29">
        <v>0</v>
      </c>
      <c r="S46" s="32">
        <v>2016</v>
      </c>
    </row>
    <row r="47" spans="1:19" x14ac:dyDescent="0.2">
      <c r="A47" s="25" t="s">
        <v>70</v>
      </c>
      <c r="B47" s="26" t="s">
        <v>2</v>
      </c>
      <c r="C47" s="26" t="s">
        <v>3</v>
      </c>
      <c r="D47" s="26" t="s">
        <v>37</v>
      </c>
      <c r="E47" s="26" t="s">
        <v>99</v>
      </c>
      <c r="F47" s="26" t="s">
        <v>36</v>
      </c>
      <c r="G47" s="26" t="s">
        <v>29</v>
      </c>
      <c r="H47" s="26" t="s">
        <v>38</v>
      </c>
      <c r="I47" s="27" t="s">
        <v>16</v>
      </c>
      <c r="J47" s="27" t="s">
        <v>18</v>
      </c>
      <c r="K47" s="28">
        <v>580094</v>
      </c>
      <c r="L47" s="28">
        <v>2044670</v>
      </c>
      <c r="M47" s="28">
        <v>710886</v>
      </c>
      <c r="N47" s="27" t="s">
        <v>50</v>
      </c>
      <c r="O47" s="28">
        <v>0</v>
      </c>
      <c r="P47" s="29">
        <v>0</v>
      </c>
      <c r="Q47" s="29">
        <v>0</v>
      </c>
      <c r="R47" s="29">
        <v>0</v>
      </c>
      <c r="S47" s="32">
        <v>2016</v>
      </c>
    </row>
    <row r="48" spans="1:19" x14ac:dyDescent="0.2">
      <c r="A48" s="25" t="s">
        <v>70</v>
      </c>
      <c r="B48" s="26" t="s">
        <v>2</v>
      </c>
      <c r="C48" s="26" t="s">
        <v>3</v>
      </c>
      <c r="D48" s="26" t="s">
        <v>37</v>
      </c>
      <c r="E48" s="26" t="s">
        <v>99</v>
      </c>
      <c r="F48" s="26" t="s">
        <v>36</v>
      </c>
      <c r="G48" s="26" t="s">
        <v>29</v>
      </c>
      <c r="H48" s="26" t="s">
        <v>38</v>
      </c>
      <c r="I48" s="27" t="s">
        <v>16</v>
      </c>
      <c r="J48" s="27" t="s">
        <v>18</v>
      </c>
      <c r="K48" s="28">
        <v>580094</v>
      </c>
      <c r="L48" s="28">
        <v>2044670</v>
      </c>
      <c r="M48" s="28">
        <v>710886</v>
      </c>
      <c r="N48" s="27" t="s">
        <v>51</v>
      </c>
      <c r="O48" s="28">
        <v>0</v>
      </c>
      <c r="P48" s="29">
        <v>0</v>
      </c>
      <c r="Q48" s="29">
        <v>0</v>
      </c>
      <c r="R48" s="29">
        <v>0</v>
      </c>
      <c r="S48" s="32">
        <v>2016</v>
      </c>
    </row>
    <row r="49" spans="1:19" x14ac:dyDescent="0.2">
      <c r="A49" s="25" t="s">
        <v>70</v>
      </c>
      <c r="B49" s="26" t="s">
        <v>2</v>
      </c>
      <c r="C49" s="26" t="s">
        <v>3</v>
      </c>
      <c r="D49" s="26" t="s">
        <v>37</v>
      </c>
      <c r="E49" s="26" t="s">
        <v>99</v>
      </c>
      <c r="F49" s="26" t="s">
        <v>36</v>
      </c>
      <c r="G49" s="26" t="s">
        <v>29</v>
      </c>
      <c r="H49" s="26" t="s">
        <v>38</v>
      </c>
      <c r="I49" s="27" t="s">
        <v>16</v>
      </c>
      <c r="J49" s="27" t="s">
        <v>18</v>
      </c>
      <c r="K49" s="28">
        <v>580094</v>
      </c>
      <c r="L49" s="28">
        <v>2044670</v>
      </c>
      <c r="M49" s="28">
        <v>710886</v>
      </c>
      <c r="N49" s="27" t="s">
        <v>52</v>
      </c>
      <c r="O49" s="28">
        <v>0</v>
      </c>
      <c r="P49" s="29">
        <v>0</v>
      </c>
      <c r="Q49" s="29">
        <v>0</v>
      </c>
      <c r="R49" s="29">
        <v>0</v>
      </c>
      <c r="S49" s="32">
        <v>2016</v>
      </c>
    </row>
    <row r="50" spans="1:19" x14ac:dyDescent="0.2">
      <c r="A50" s="25" t="s">
        <v>70</v>
      </c>
      <c r="B50" s="26" t="s">
        <v>2</v>
      </c>
      <c r="C50" s="26" t="s">
        <v>3</v>
      </c>
      <c r="D50" s="26" t="s">
        <v>37</v>
      </c>
      <c r="E50" s="26" t="s">
        <v>99</v>
      </c>
      <c r="F50" s="26" t="s">
        <v>36</v>
      </c>
      <c r="G50" s="26" t="s">
        <v>29</v>
      </c>
      <c r="H50" s="26" t="s">
        <v>38</v>
      </c>
      <c r="I50" s="27" t="s">
        <v>16</v>
      </c>
      <c r="J50" s="27" t="s">
        <v>18</v>
      </c>
      <c r="K50" s="28">
        <v>580094</v>
      </c>
      <c r="L50" s="28">
        <v>2044670</v>
      </c>
      <c r="M50" s="28">
        <v>710886</v>
      </c>
      <c r="N50" s="27" t="s">
        <v>53</v>
      </c>
      <c r="O50" s="28">
        <v>0</v>
      </c>
      <c r="P50" s="29">
        <v>0</v>
      </c>
      <c r="Q50" s="29">
        <v>0</v>
      </c>
      <c r="R50" s="29">
        <v>0</v>
      </c>
      <c r="S50" s="32">
        <v>2016</v>
      </c>
    </row>
    <row r="51" spans="1:19" x14ac:dyDescent="0.2">
      <c r="A51" s="25" t="s">
        <v>70</v>
      </c>
      <c r="B51" s="26" t="s">
        <v>2</v>
      </c>
      <c r="C51" s="26" t="s">
        <v>3</v>
      </c>
      <c r="D51" s="26" t="s">
        <v>37</v>
      </c>
      <c r="E51" s="26" t="s">
        <v>99</v>
      </c>
      <c r="F51" s="26" t="s">
        <v>36</v>
      </c>
      <c r="G51" s="26" t="s">
        <v>29</v>
      </c>
      <c r="H51" s="26" t="s">
        <v>38</v>
      </c>
      <c r="I51" s="27" t="s">
        <v>16</v>
      </c>
      <c r="J51" s="27" t="s">
        <v>18</v>
      </c>
      <c r="K51" s="28">
        <v>580094</v>
      </c>
      <c r="L51" s="28">
        <v>2044670</v>
      </c>
      <c r="M51" s="28">
        <v>710886</v>
      </c>
      <c r="N51" s="27" t="s">
        <v>54</v>
      </c>
      <c r="O51" s="28">
        <v>0</v>
      </c>
      <c r="P51" s="29">
        <v>0</v>
      </c>
      <c r="Q51" s="29">
        <v>0</v>
      </c>
      <c r="R51" s="29">
        <v>0</v>
      </c>
      <c r="S51" s="32">
        <v>2016</v>
      </c>
    </row>
    <row r="52" spans="1:19" x14ac:dyDescent="0.2">
      <c r="A52" s="25" t="s">
        <v>70</v>
      </c>
      <c r="B52" s="26" t="s">
        <v>2</v>
      </c>
      <c r="C52" s="26" t="s">
        <v>3</v>
      </c>
      <c r="D52" s="26" t="s">
        <v>37</v>
      </c>
      <c r="E52" s="26" t="s">
        <v>99</v>
      </c>
      <c r="F52" s="26" t="s">
        <v>36</v>
      </c>
      <c r="G52" s="26" t="s">
        <v>29</v>
      </c>
      <c r="H52" s="26" t="s">
        <v>38</v>
      </c>
      <c r="I52" s="27" t="s">
        <v>16</v>
      </c>
      <c r="J52" s="27" t="s">
        <v>18</v>
      </c>
      <c r="K52" s="28">
        <v>580094</v>
      </c>
      <c r="L52" s="28">
        <v>2044670</v>
      </c>
      <c r="M52" s="28">
        <v>710886</v>
      </c>
      <c r="N52" s="27" t="s">
        <v>55</v>
      </c>
      <c r="O52" s="28">
        <v>0</v>
      </c>
      <c r="P52" s="29">
        <v>0</v>
      </c>
      <c r="Q52" s="29">
        <v>0</v>
      </c>
      <c r="R52" s="29">
        <v>0</v>
      </c>
      <c r="S52" s="32">
        <v>2016</v>
      </c>
    </row>
    <row r="53" spans="1:19" x14ac:dyDescent="0.2">
      <c r="A53" s="25" t="s">
        <v>70</v>
      </c>
      <c r="B53" s="26" t="s">
        <v>2</v>
      </c>
      <c r="C53" s="26" t="s">
        <v>3</v>
      </c>
      <c r="D53" s="26" t="s">
        <v>37</v>
      </c>
      <c r="E53" s="26" t="s">
        <v>99</v>
      </c>
      <c r="F53" s="26" t="s">
        <v>36</v>
      </c>
      <c r="G53" s="26" t="s">
        <v>29</v>
      </c>
      <c r="H53" s="26" t="s">
        <v>38</v>
      </c>
      <c r="I53" s="27" t="s">
        <v>16</v>
      </c>
      <c r="J53" s="27" t="s">
        <v>18</v>
      </c>
      <c r="K53" s="28">
        <v>580094</v>
      </c>
      <c r="L53" s="28">
        <v>2044670</v>
      </c>
      <c r="M53" s="28">
        <v>710886</v>
      </c>
      <c r="N53" s="27" t="s">
        <v>56</v>
      </c>
      <c r="O53" s="28">
        <v>0</v>
      </c>
      <c r="P53" s="29">
        <v>0</v>
      </c>
      <c r="Q53" s="29">
        <v>0</v>
      </c>
      <c r="R53" s="29">
        <v>0</v>
      </c>
      <c r="S53" s="32">
        <v>2016</v>
      </c>
    </row>
    <row r="54" spans="1:19" x14ac:dyDescent="0.2">
      <c r="A54" s="25" t="s">
        <v>70</v>
      </c>
      <c r="B54" s="26" t="s">
        <v>2</v>
      </c>
      <c r="C54" s="26" t="s">
        <v>3</v>
      </c>
      <c r="D54" s="26" t="s">
        <v>37</v>
      </c>
      <c r="E54" s="26" t="s">
        <v>99</v>
      </c>
      <c r="F54" s="26" t="s">
        <v>36</v>
      </c>
      <c r="G54" s="26" t="s">
        <v>29</v>
      </c>
      <c r="H54" s="26" t="s">
        <v>38</v>
      </c>
      <c r="I54" s="27" t="s">
        <v>16</v>
      </c>
      <c r="J54" s="27" t="s">
        <v>18</v>
      </c>
      <c r="K54" s="28">
        <v>580094</v>
      </c>
      <c r="L54" s="28">
        <v>2044670</v>
      </c>
      <c r="M54" s="28">
        <v>710886</v>
      </c>
      <c r="N54" s="27" t="s">
        <v>73</v>
      </c>
      <c r="O54" s="31">
        <f>50278070+15532735</f>
        <v>65810805</v>
      </c>
      <c r="P54" s="29">
        <f>'Infrastructure Benchmarks - ref'!$O54/'Infrastructure Benchmarks - ref'!$K54</f>
        <v>113.4485186883505</v>
      </c>
      <c r="Q54" s="29">
        <f>'Infrastructure Benchmarks - ref'!$O54/'Infrastructure Benchmarks - ref'!$L54</f>
        <v>32.186516650608652</v>
      </c>
      <c r="R54" s="29">
        <f>'Infrastructure Benchmarks - ref'!$O54/'Infrastructure Benchmarks - ref'!$M54</f>
        <v>92.575750542281042</v>
      </c>
      <c r="S54" s="32">
        <v>2016</v>
      </c>
    </row>
    <row r="55" spans="1:19" x14ac:dyDescent="0.2">
      <c r="A55" s="25" t="s">
        <v>70</v>
      </c>
      <c r="B55" s="26" t="s">
        <v>2</v>
      </c>
      <c r="C55" s="26" t="s">
        <v>3</v>
      </c>
      <c r="D55" s="26" t="s">
        <v>37</v>
      </c>
      <c r="E55" s="26" t="s">
        <v>99</v>
      </c>
      <c r="F55" s="26" t="s">
        <v>36</v>
      </c>
      <c r="G55" s="26" t="s">
        <v>29</v>
      </c>
      <c r="H55" s="26" t="s">
        <v>38</v>
      </c>
      <c r="I55" s="27" t="s">
        <v>16</v>
      </c>
      <c r="J55" s="27" t="s">
        <v>18</v>
      </c>
      <c r="K55" s="28">
        <v>580094</v>
      </c>
      <c r="L55" s="28">
        <v>2044670</v>
      </c>
      <c r="M55" s="28">
        <v>710886</v>
      </c>
      <c r="N55" s="27" t="s">
        <v>57</v>
      </c>
      <c r="O55" s="31">
        <v>75000000</v>
      </c>
      <c r="P55" s="29">
        <f>'Infrastructure Benchmarks - ref'!$O55/'Infrastructure Benchmarks - ref'!$K55</f>
        <v>129.28939102972967</v>
      </c>
      <c r="Q55" s="29">
        <f>'Infrastructure Benchmarks - ref'!$O55/'Infrastructure Benchmarks - ref'!$L55</f>
        <v>36.680735766651829</v>
      </c>
      <c r="R55" s="29">
        <f>'Infrastructure Benchmarks - ref'!$O55/'Infrastructure Benchmarks - ref'!$M55</f>
        <v>105.50214802373377</v>
      </c>
      <c r="S55" s="32">
        <v>2016</v>
      </c>
    </row>
    <row r="56" spans="1:19" x14ac:dyDescent="0.2">
      <c r="A56" s="25" t="s">
        <v>70</v>
      </c>
      <c r="B56" s="26" t="s">
        <v>2</v>
      </c>
      <c r="C56" s="26" t="s">
        <v>3</v>
      </c>
      <c r="D56" s="26" t="s">
        <v>37</v>
      </c>
      <c r="E56" s="26" t="s">
        <v>99</v>
      </c>
      <c r="F56" s="26" t="s">
        <v>36</v>
      </c>
      <c r="G56" s="26" t="s">
        <v>29</v>
      </c>
      <c r="H56" s="26" t="s">
        <v>38</v>
      </c>
      <c r="I56" s="27" t="s">
        <v>16</v>
      </c>
      <c r="J56" s="27" t="s">
        <v>18</v>
      </c>
      <c r="K56" s="28">
        <v>580094</v>
      </c>
      <c r="L56" s="28">
        <v>2044670</v>
      </c>
      <c r="M56" s="28">
        <v>710886</v>
      </c>
      <c r="N56" s="27" t="s">
        <v>58</v>
      </c>
      <c r="O56" s="31">
        <f>159576008-(O57+O55)</f>
        <v>45000000</v>
      </c>
      <c r="P56" s="29">
        <f>'Infrastructure Benchmarks - ref'!$O56/'Infrastructure Benchmarks - ref'!$K56</f>
        <v>77.573634617837797</v>
      </c>
      <c r="Q56" s="29">
        <f>'Infrastructure Benchmarks - ref'!$O56/'Infrastructure Benchmarks - ref'!$L56</f>
        <v>22.008441459991097</v>
      </c>
      <c r="R56" s="29">
        <f>'Infrastructure Benchmarks - ref'!$O56/'Infrastructure Benchmarks - ref'!$M56</f>
        <v>63.301288814240259</v>
      </c>
      <c r="S56" s="32">
        <v>2016</v>
      </c>
    </row>
    <row r="57" spans="1:19" x14ac:dyDescent="0.2">
      <c r="A57" s="25" t="s">
        <v>70</v>
      </c>
      <c r="B57" s="26" t="s">
        <v>2</v>
      </c>
      <c r="C57" s="26" t="s">
        <v>3</v>
      </c>
      <c r="D57" s="26" t="s">
        <v>37</v>
      </c>
      <c r="E57" s="26" t="s">
        <v>99</v>
      </c>
      <c r="F57" s="26" t="s">
        <v>36</v>
      </c>
      <c r="G57" s="26" t="s">
        <v>29</v>
      </c>
      <c r="H57" s="26" t="s">
        <v>38</v>
      </c>
      <c r="I57" s="27" t="s">
        <v>16</v>
      </c>
      <c r="J57" s="27" t="s">
        <v>18</v>
      </c>
      <c r="K57" s="28">
        <v>580094</v>
      </c>
      <c r="L57" s="28">
        <v>2044670</v>
      </c>
      <c r="M57" s="28">
        <v>710886</v>
      </c>
      <c r="N57" s="27" t="s">
        <v>59</v>
      </c>
      <c r="O57" s="31">
        <v>39576008</v>
      </c>
      <c r="P57" s="29">
        <f>'Infrastructure Benchmarks - ref'!$O57/'Infrastructure Benchmarks - ref'!$K57</f>
        <v>68.223439649436131</v>
      </c>
      <c r="Q57" s="29">
        <f>'Infrastructure Benchmarks - ref'!$O57/'Infrastructure Benchmarks - ref'!$L57</f>
        <v>19.355694561958654</v>
      </c>
      <c r="R57" s="29">
        <f>'Infrastructure Benchmarks - ref'!$O57/'Infrastructure Benchmarks - ref'!$M57</f>
        <v>55.671384722726287</v>
      </c>
      <c r="S57" s="32">
        <v>2016</v>
      </c>
    </row>
    <row r="58" spans="1:19" x14ac:dyDescent="0.2">
      <c r="A58" s="25" t="s">
        <v>70</v>
      </c>
      <c r="B58" s="26" t="s">
        <v>2</v>
      </c>
      <c r="C58" s="26" t="s">
        <v>3</v>
      </c>
      <c r="D58" s="26" t="s">
        <v>37</v>
      </c>
      <c r="E58" s="26" t="s">
        <v>99</v>
      </c>
      <c r="F58" s="26" t="s">
        <v>36</v>
      </c>
      <c r="G58" s="26" t="s">
        <v>29</v>
      </c>
      <c r="H58" s="26" t="s">
        <v>38</v>
      </c>
      <c r="I58" s="27" t="s">
        <v>16</v>
      </c>
      <c r="J58" s="27" t="s">
        <v>18</v>
      </c>
      <c r="K58" s="28">
        <v>580094</v>
      </c>
      <c r="L58" s="28">
        <v>2044670</v>
      </c>
      <c r="M58" s="28">
        <v>710886</v>
      </c>
      <c r="N58" s="27" t="s">
        <v>60</v>
      </c>
      <c r="O58" s="28">
        <v>0</v>
      </c>
      <c r="P58" s="29">
        <v>0</v>
      </c>
      <c r="Q58" s="29">
        <v>0</v>
      </c>
      <c r="R58" s="29">
        <v>0</v>
      </c>
      <c r="S58" s="32">
        <v>2016</v>
      </c>
    </row>
    <row r="59" spans="1:19" s="41" customFormat="1" ht="16" thickBot="1" x14ac:dyDescent="0.25">
      <c r="A59" s="35" t="s">
        <v>70</v>
      </c>
      <c r="B59" s="36" t="s">
        <v>2</v>
      </c>
      <c r="C59" s="36" t="s">
        <v>3</v>
      </c>
      <c r="D59" s="36" t="s">
        <v>37</v>
      </c>
      <c r="E59" s="36" t="s">
        <v>99</v>
      </c>
      <c r="F59" s="36" t="s">
        <v>36</v>
      </c>
      <c r="G59" s="36" t="s">
        <v>29</v>
      </c>
      <c r="H59" s="36" t="s">
        <v>38</v>
      </c>
      <c r="I59" s="37" t="s">
        <v>16</v>
      </c>
      <c r="J59" s="37" t="s">
        <v>18</v>
      </c>
      <c r="K59" s="38">
        <v>580094</v>
      </c>
      <c r="L59" s="38">
        <v>2044670</v>
      </c>
      <c r="M59" s="38">
        <v>710886</v>
      </c>
      <c r="N59" s="37" t="s">
        <v>61</v>
      </c>
      <c r="O59" s="49">
        <v>51727097</v>
      </c>
      <c r="P59" s="39">
        <f>'Infrastructure Benchmarks - ref'!$O59/'Infrastructure Benchmarks - ref'!$K59</f>
        <v>89.17019827821008</v>
      </c>
      <c r="Q59" s="39">
        <f>'Infrastructure Benchmarks - ref'!$O59/'Infrastructure Benchmarks - ref'!$L59</f>
        <v>25.298506360439582</v>
      </c>
      <c r="R59" s="39">
        <f>'Infrastructure Benchmarks - ref'!$O59/'Infrastructure Benchmarks - ref'!$M59</f>
        <v>72.764264593760458</v>
      </c>
      <c r="S59" s="50">
        <v>2016</v>
      </c>
    </row>
    <row r="60" spans="1:19" s="48" customFormat="1" ht="16" thickTop="1" x14ac:dyDescent="0.2">
      <c r="A60" s="42" t="s">
        <v>70</v>
      </c>
      <c r="B60" s="43" t="s">
        <v>2</v>
      </c>
      <c r="C60" s="43" t="s">
        <v>3</v>
      </c>
      <c r="D60" s="43" t="s">
        <v>37</v>
      </c>
      <c r="E60" s="43" t="s">
        <v>98</v>
      </c>
      <c r="F60" s="43" t="s">
        <v>74</v>
      </c>
      <c r="G60" s="43" t="s">
        <v>29</v>
      </c>
      <c r="H60" s="43" t="s">
        <v>38</v>
      </c>
      <c r="I60" s="44" t="s">
        <v>16</v>
      </c>
      <c r="J60" s="44" t="s">
        <v>18</v>
      </c>
      <c r="K60" s="45">
        <v>362564</v>
      </c>
      <c r="L60" s="45">
        <v>830616</v>
      </c>
      <c r="M60" s="45">
        <v>230390</v>
      </c>
      <c r="N60" s="44" t="s">
        <v>24</v>
      </c>
      <c r="O60" s="45">
        <v>40271257</v>
      </c>
      <c r="P60" s="46">
        <f>'Infrastructure Benchmarks - ref'!$O60/'Infrastructure Benchmarks - ref'!$K60</f>
        <v>111.07351253847597</v>
      </c>
      <c r="Q60" s="46">
        <f>'Infrastructure Benchmarks - ref'!$O60/'Infrastructure Benchmarks - ref'!$L60</f>
        <v>48.483603735059283</v>
      </c>
      <c r="R60" s="46">
        <f>'Infrastructure Benchmarks - ref'!$O60/'Infrastructure Benchmarks - ref'!$M60</f>
        <v>174.79602847345805</v>
      </c>
      <c r="S60" s="47">
        <v>2016</v>
      </c>
    </row>
    <row r="61" spans="1:19" x14ac:dyDescent="0.2">
      <c r="A61" s="25" t="s">
        <v>70</v>
      </c>
      <c r="B61" s="26" t="s">
        <v>2</v>
      </c>
      <c r="C61" s="26" t="s">
        <v>3</v>
      </c>
      <c r="D61" s="26" t="s">
        <v>37</v>
      </c>
      <c r="E61" s="26" t="s">
        <v>98</v>
      </c>
      <c r="F61" s="26" t="s">
        <v>74</v>
      </c>
      <c r="G61" s="26" t="s">
        <v>29</v>
      </c>
      <c r="H61" s="26" t="s">
        <v>38</v>
      </c>
      <c r="I61" s="27" t="s">
        <v>16</v>
      </c>
      <c r="J61" s="27" t="s">
        <v>18</v>
      </c>
      <c r="K61" s="28">
        <v>362564</v>
      </c>
      <c r="L61" s="28">
        <v>830616</v>
      </c>
      <c r="M61" s="28">
        <v>230390</v>
      </c>
      <c r="N61" s="27" t="s">
        <v>44</v>
      </c>
      <c r="O61" s="28">
        <v>0</v>
      </c>
      <c r="P61" s="29">
        <v>0</v>
      </c>
      <c r="Q61" s="29">
        <v>0</v>
      </c>
      <c r="R61" s="29">
        <v>0</v>
      </c>
      <c r="S61" s="30">
        <v>2016</v>
      </c>
    </row>
    <row r="62" spans="1:19" x14ac:dyDescent="0.2">
      <c r="A62" s="25" t="s">
        <v>70</v>
      </c>
      <c r="B62" s="26" t="s">
        <v>2</v>
      </c>
      <c r="C62" s="26" t="s">
        <v>3</v>
      </c>
      <c r="D62" s="26" t="s">
        <v>37</v>
      </c>
      <c r="E62" s="26" t="s">
        <v>98</v>
      </c>
      <c r="F62" s="26" t="s">
        <v>74</v>
      </c>
      <c r="G62" s="26" t="s">
        <v>29</v>
      </c>
      <c r="H62" s="26" t="s">
        <v>38</v>
      </c>
      <c r="I62" s="27" t="s">
        <v>16</v>
      </c>
      <c r="J62" s="27" t="s">
        <v>18</v>
      </c>
      <c r="K62" s="28">
        <v>362564</v>
      </c>
      <c r="L62" s="28">
        <v>830616</v>
      </c>
      <c r="M62" s="28">
        <v>230390</v>
      </c>
      <c r="N62" s="27" t="s">
        <v>45</v>
      </c>
      <c r="O62" s="28">
        <v>0</v>
      </c>
      <c r="P62" s="29">
        <v>0</v>
      </c>
      <c r="Q62" s="29">
        <v>0</v>
      </c>
      <c r="R62" s="29">
        <v>0</v>
      </c>
      <c r="S62" s="30">
        <v>2016</v>
      </c>
    </row>
    <row r="63" spans="1:19" x14ac:dyDescent="0.2">
      <c r="A63" s="25" t="s">
        <v>70</v>
      </c>
      <c r="B63" s="26" t="s">
        <v>2</v>
      </c>
      <c r="C63" s="26" t="s">
        <v>3</v>
      </c>
      <c r="D63" s="26" t="s">
        <v>37</v>
      </c>
      <c r="E63" s="26" t="s">
        <v>98</v>
      </c>
      <c r="F63" s="26" t="s">
        <v>74</v>
      </c>
      <c r="G63" s="26" t="s">
        <v>29</v>
      </c>
      <c r="H63" s="26" t="s">
        <v>38</v>
      </c>
      <c r="I63" s="27" t="s">
        <v>16</v>
      </c>
      <c r="J63" s="27" t="s">
        <v>18</v>
      </c>
      <c r="K63" s="28">
        <v>362564</v>
      </c>
      <c r="L63" s="28">
        <v>830616</v>
      </c>
      <c r="M63" s="28">
        <v>230390</v>
      </c>
      <c r="N63" s="27" t="s">
        <v>14</v>
      </c>
      <c r="O63" s="31">
        <v>12725794</v>
      </c>
      <c r="P63" s="29">
        <f>'Infrastructure Benchmarks - ref'!$O63/'Infrastructure Benchmarks - ref'!$K63</f>
        <v>35.099441753731753</v>
      </c>
      <c r="Q63" s="29">
        <f>'Infrastructure Benchmarks - ref'!$O63/'Infrastructure Benchmarks - ref'!$L63</f>
        <v>15.320911227330077</v>
      </c>
      <c r="R63" s="29">
        <f>'Infrastructure Benchmarks - ref'!$O63/'Infrastructure Benchmarks - ref'!$M63</f>
        <v>55.235878293328703</v>
      </c>
      <c r="S63" s="30">
        <v>2016</v>
      </c>
    </row>
    <row r="64" spans="1:19" x14ac:dyDescent="0.2">
      <c r="A64" s="25" t="s">
        <v>70</v>
      </c>
      <c r="B64" s="26" t="s">
        <v>2</v>
      </c>
      <c r="C64" s="26" t="s">
        <v>3</v>
      </c>
      <c r="D64" s="26" t="s">
        <v>37</v>
      </c>
      <c r="E64" s="26" t="s">
        <v>98</v>
      </c>
      <c r="F64" s="26" t="s">
        <v>74</v>
      </c>
      <c r="G64" s="26" t="s">
        <v>29</v>
      </c>
      <c r="H64" s="26" t="s">
        <v>38</v>
      </c>
      <c r="I64" s="27" t="s">
        <v>16</v>
      </c>
      <c r="J64" s="27" t="s">
        <v>18</v>
      </c>
      <c r="K64" s="28">
        <v>362564</v>
      </c>
      <c r="L64" s="28">
        <v>830616</v>
      </c>
      <c r="M64" s="28">
        <v>230390</v>
      </c>
      <c r="N64" s="27" t="s">
        <v>22</v>
      </c>
      <c r="O64" s="28">
        <v>30688575</v>
      </c>
      <c r="P64" s="29">
        <f>'Infrastructure Benchmarks - ref'!$O64/'Infrastructure Benchmarks - ref'!$K64</f>
        <v>84.643194029192088</v>
      </c>
      <c r="Q64" s="29">
        <f>'Infrastructure Benchmarks - ref'!$O64/'Infrastructure Benchmarks - ref'!$L64</f>
        <v>36.946766014620472</v>
      </c>
      <c r="R64" s="29">
        <f>'Infrastructure Benchmarks - ref'!$O64/'Infrastructure Benchmarks - ref'!$M64</f>
        <v>133.20272147228613</v>
      </c>
      <c r="S64" s="30">
        <v>2016</v>
      </c>
    </row>
    <row r="65" spans="1:19" x14ac:dyDescent="0.2">
      <c r="A65" s="25" t="s">
        <v>70</v>
      </c>
      <c r="B65" s="26" t="s">
        <v>2</v>
      </c>
      <c r="C65" s="26" t="s">
        <v>3</v>
      </c>
      <c r="D65" s="26" t="s">
        <v>37</v>
      </c>
      <c r="E65" s="26" t="s">
        <v>98</v>
      </c>
      <c r="F65" s="26" t="s">
        <v>74</v>
      </c>
      <c r="G65" s="26" t="s">
        <v>29</v>
      </c>
      <c r="H65" s="26" t="s">
        <v>38</v>
      </c>
      <c r="I65" s="27" t="s">
        <v>16</v>
      </c>
      <c r="J65" s="27" t="s">
        <v>18</v>
      </c>
      <c r="K65" s="28">
        <v>362564</v>
      </c>
      <c r="L65" s="28">
        <v>830616</v>
      </c>
      <c r="M65" s="28">
        <v>230390</v>
      </c>
      <c r="N65" s="27" t="s">
        <v>20</v>
      </c>
      <c r="O65" s="28">
        <v>26997114</v>
      </c>
      <c r="P65" s="29">
        <f>'Infrastructure Benchmarks - ref'!$O65/'Infrastructure Benchmarks - ref'!$K65</f>
        <v>74.461650908529251</v>
      </c>
      <c r="Q65" s="29">
        <f>'Infrastructure Benchmarks - ref'!$O65/'Infrastructure Benchmarks - ref'!$L65</f>
        <v>32.502521020543789</v>
      </c>
      <c r="R65" s="29">
        <f>'Infrastructure Benchmarks - ref'!$O65/'Infrastructure Benchmarks - ref'!$M65</f>
        <v>117.18005989843309</v>
      </c>
      <c r="S65" s="30">
        <v>2016</v>
      </c>
    </row>
    <row r="66" spans="1:19" x14ac:dyDescent="0.2">
      <c r="A66" s="25" t="s">
        <v>70</v>
      </c>
      <c r="B66" s="26" t="s">
        <v>2</v>
      </c>
      <c r="C66" s="26" t="s">
        <v>3</v>
      </c>
      <c r="D66" s="26" t="s">
        <v>37</v>
      </c>
      <c r="E66" s="26" t="s">
        <v>98</v>
      </c>
      <c r="F66" s="26" t="s">
        <v>74</v>
      </c>
      <c r="G66" s="26" t="s">
        <v>29</v>
      </c>
      <c r="H66" s="26" t="s">
        <v>38</v>
      </c>
      <c r="I66" s="27" t="s">
        <v>16</v>
      </c>
      <c r="J66" s="27" t="s">
        <v>18</v>
      </c>
      <c r="K66" s="28">
        <v>362564</v>
      </c>
      <c r="L66" s="28">
        <v>830616</v>
      </c>
      <c r="M66" s="28">
        <v>230390</v>
      </c>
      <c r="N66" s="27" t="s">
        <v>23</v>
      </c>
      <c r="O66" s="31">
        <v>25316052</v>
      </c>
      <c r="P66" s="29">
        <f>'Infrastructure Benchmarks - ref'!$O66/'Infrastructure Benchmarks - ref'!$K66</f>
        <v>69.825057093368343</v>
      </c>
      <c r="Q66" s="29">
        <f>'Infrastructure Benchmarks - ref'!$O66/'Infrastructure Benchmarks - ref'!$L66</f>
        <v>30.478647172700743</v>
      </c>
      <c r="R66" s="29">
        <f>'Infrastructure Benchmarks - ref'!$O66/'Infrastructure Benchmarks - ref'!$M66</f>
        <v>109.88346716437346</v>
      </c>
      <c r="S66" s="32">
        <v>2016</v>
      </c>
    </row>
    <row r="67" spans="1:19" x14ac:dyDescent="0.2">
      <c r="A67" s="25" t="s">
        <v>70</v>
      </c>
      <c r="B67" s="26" t="s">
        <v>2</v>
      </c>
      <c r="C67" s="26" t="s">
        <v>3</v>
      </c>
      <c r="D67" s="26" t="s">
        <v>37</v>
      </c>
      <c r="E67" s="26" t="s">
        <v>98</v>
      </c>
      <c r="F67" s="26" t="s">
        <v>74</v>
      </c>
      <c r="G67" s="26" t="s">
        <v>29</v>
      </c>
      <c r="H67" s="26" t="s">
        <v>38</v>
      </c>
      <c r="I67" s="27" t="s">
        <v>16</v>
      </c>
      <c r="J67" s="27" t="s">
        <v>18</v>
      </c>
      <c r="K67" s="28">
        <v>362564</v>
      </c>
      <c r="L67" s="28">
        <v>830616</v>
      </c>
      <c r="M67" s="28">
        <v>230390</v>
      </c>
      <c r="N67" s="27" t="s">
        <v>43</v>
      </c>
      <c r="O67" s="31">
        <v>26781419</v>
      </c>
      <c r="P67" s="29">
        <f>'Infrastructure Benchmarks - ref'!$O67/'Infrastructure Benchmarks - ref'!$K67</f>
        <v>73.866735252258906</v>
      </c>
      <c r="Q67" s="29">
        <f>'Infrastructure Benchmarks - ref'!$O67/'Infrastructure Benchmarks - ref'!$L67</f>
        <v>32.242840253498606</v>
      </c>
      <c r="R67" s="29">
        <f>'Infrastructure Benchmarks - ref'!$O67/'Infrastructure Benchmarks - ref'!$M67</f>
        <v>116.24384304874343</v>
      </c>
      <c r="S67" s="32">
        <v>2016</v>
      </c>
    </row>
    <row r="68" spans="1:19" x14ac:dyDescent="0.2">
      <c r="A68" s="25" t="s">
        <v>70</v>
      </c>
      <c r="B68" s="26" t="s">
        <v>2</v>
      </c>
      <c r="C68" s="26" t="s">
        <v>3</v>
      </c>
      <c r="D68" s="26" t="s">
        <v>37</v>
      </c>
      <c r="E68" s="26" t="s">
        <v>98</v>
      </c>
      <c r="F68" s="26" t="s">
        <v>74</v>
      </c>
      <c r="G68" s="26" t="s">
        <v>29</v>
      </c>
      <c r="H68" s="26" t="s">
        <v>38</v>
      </c>
      <c r="I68" s="27" t="s">
        <v>16</v>
      </c>
      <c r="J68" s="27" t="s">
        <v>18</v>
      </c>
      <c r="K68" s="28">
        <v>362564</v>
      </c>
      <c r="L68" s="28">
        <v>830616</v>
      </c>
      <c r="M68" s="28">
        <v>230390</v>
      </c>
      <c r="N68" s="27" t="s">
        <v>46</v>
      </c>
      <c r="O68" s="28">
        <v>0</v>
      </c>
      <c r="P68" s="29">
        <v>0</v>
      </c>
      <c r="Q68" s="29">
        <v>0</v>
      </c>
      <c r="R68" s="29">
        <v>0</v>
      </c>
      <c r="S68" s="32">
        <v>2016</v>
      </c>
    </row>
    <row r="69" spans="1:19" x14ac:dyDescent="0.2">
      <c r="A69" s="25" t="s">
        <v>70</v>
      </c>
      <c r="B69" s="26" t="s">
        <v>2</v>
      </c>
      <c r="C69" s="26" t="s">
        <v>3</v>
      </c>
      <c r="D69" s="26" t="s">
        <v>37</v>
      </c>
      <c r="E69" s="26" t="s">
        <v>98</v>
      </c>
      <c r="F69" s="26" t="s">
        <v>74</v>
      </c>
      <c r="G69" s="26" t="s">
        <v>29</v>
      </c>
      <c r="H69" s="26" t="s">
        <v>38</v>
      </c>
      <c r="I69" s="27" t="s">
        <v>16</v>
      </c>
      <c r="J69" s="27" t="s">
        <v>18</v>
      </c>
      <c r="K69" s="28">
        <v>362564</v>
      </c>
      <c r="L69" s="28">
        <v>830616</v>
      </c>
      <c r="M69" s="28">
        <v>230390</v>
      </c>
      <c r="N69" s="27" t="s">
        <v>34</v>
      </c>
      <c r="O69" s="31">
        <v>7571767</v>
      </c>
      <c r="P69" s="29">
        <f>'Infrastructure Benchmarks - ref'!$O69/'Infrastructure Benchmarks - ref'!$K69</f>
        <v>20.883946006773975</v>
      </c>
      <c r="Q69" s="29">
        <f>'Infrastructure Benchmarks - ref'!$O69/'Infrastructure Benchmarks - ref'!$L69</f>
        <v>9.1158453485124298</v>
      </c>
      <c r="R69" s="29">
        <f>'Infrastructure Benchmarks - ref'!$O69/'Infrastructure Benchmarks - ref'!$M69</f>
        <v>32.864998480836839</v>
      </c>
      <c r="S69" s="32">
        <v>2016</v>
      </c>
    </row>
    <row r="70" spans="1:19" x14ac:dyDescent="0.2">
      <c r="A70" s="25" t="s">
        <v>70</v>
      </c>
      <c r="B70" s="26" t="s">
        <v>2</v>
      </c>
      <c r="C70" s="26" t="s">
        <v>3</v>
      </c>
      <c r="D70" s="26" t="s">
        <v>37</v>
      </c>
      <c r="E70" s="26" t="s">
        <v>98</v>
      </c>
      <c r="F70" s="26" t="s">
        <v>74</v>
      </c>
      <c r="G70" s="26" t="s">
        <v>29</v>
      </c>
      <c r="H70" s="26" t="s">
        <v>38</v>
      </c>
      <c r="I70" s="27" t="s">
        <v>16</v>
      </c>
      <c r="J70" s="27" t="s">
        <v>18</v>
      </c>
      <c r="K70" s="28">
        <v>362564</v>
      </c>
      <c r="L70" s="28">
        <v>830616</v>
      </c>
      <c r="M70" s="28">
        <v>230390</v>
      </c>
      <c r="N70" s="27" t="s">
        <v>26</v>
      </c>
      <c r="O70" s="31">
        <v>79549870</v>
      </c>
      <c r="P70" s="29">
        <f>'Infrastructure Benchmarks - ref'!$O70/'Infrastructure Benchmarks - ref'!$K70</f>
        <v>219.40918017232821</v>
      </c>
      <c r="Q70" s="29">
        <f>'Infrastructure Benchmarks - ref'!$O70/'Infrastructure Benchmarks - ref'!$L70</f>
        <v>95.772137786895513</v>
      </c>
      <c r="R70" s="29">
        <f>'Infrastructure Benchmarks - ref'!$O70/'Infrastructure Benchmarks - ref'!$M70</f>
        <v>345.28351924996747</v>
      </c>
      <c r="S70" s="32">
        <v>2016</v>
      </c>
    </row>
    <row r="71" spans="1:19" x14ac:dyDescent="0.2">
      <c r="A71" s="25" t="s">
        <v>70</v>
      </c>
      <c r="B71" s="26" t="s">
        <v>2</v>
      </c>
      <c r="C71" s="26" t="s">
        <v>3</v>
      </c>
      <c r="D71" s="26" t="s">
        <v>37</v>
      </c>
      <c r="E71" s="26" t="s">
        <v>98</v>
      </c>
      <c r="F71" s="26" t="s">
        <v>74</v>
      </c>
      <c r="G71" s="26" t="s">
        <v>29</v>
      </c>
      <c r="H71" s="26" t="s">
        <v>38</v>
      </c>
      <c r="I71" s="27" t="s">
        <v>16</v>
      </c>
      <c r="J71" s="27" t="s">
        <v>18</v>
      </c>
      <c r="K71" s="28">
        <v>362564</v>
      </c>
      <c r="L71" s="28">
        <v>830616</v>
      </c>
      <c r="M71" s="28">
        <v>230390</v>
      </c>
      <c r="N71" s="27" t="s">
        <v>28</v>
      </c>
      <c r="O71" s="31">
        <v>13192103</v>
      </c>
      <c r="P71" s="29">
        <f>'Infrastructure Benchmarks - ref'!$O71/'Infrastructure Benchmarks - ref'!$K71</f>
        <v>36.385584338213391</v>
      </c>
      <c r="Q71" s="29">
        <f>'Infrastructure Benchmarks - ref'!$O71/'Infrastructure Benchmarks - ref'!$L71</f>
        <v>15.882312645073053</v>
      </c>
      <c r="R71" s="29">
        <f>'Infrastructure Benchmarks - ref'!$O71/'Infrastructure Benchmarks - ref'!$M71</f>
        <v>57.259876730760887</v>
      </c>
      <c r="S71" s="32">
        <v>2016</v>
      </c>
    </row>
    <row r="72" spans="1:19" x14ac:dyDescent="0.2">
      <c r="A72" s="25" t="s">
        <v>70</v>
      </c>
      <c r="B72" s="26" t="s">
        <v>2</v>
      </c>
      <c r="C72" s="26" t="s">
        <v>3</v>
      </c>
      <c r="D72" s="26" t="s">
        <v>37</v>
      </c>
      <c r="E72" s="26" t="s">
        <v>98</v>
      </c>
      <c r="F72" s="26" t="s">
        <v>74</v>
      </c>
      <c r="G72" s="26" t="s">
        <v>29</v>
      </c>
      <c r="H72" s="26" t="s">
        <v>38</v>
      </c>
      <c r="I72" s="27" t="s">
        <v>16</v>
      </c>
      <c r="J72" s="27" t="s">
        <v>18</v>
      </c>
      <c r="K72" s="28">
        <v>362564</v>
      </c>
      <c r="L72" s="28">
        <v>830616</v>
      </c>
      <c r="M72" s="28">
        <v>230390</v>
      </c>
      <c r="N72" s="27" t="s">
        <v>47</v>
      </c>
      <c r="O72" s="28">
        <v>2298374</v>
      </c>
      <c r="P72" s="29">
        <f>'Infrastructure Benchmarks - ref'!$O72/'Infrastructure Benchmarks - ref'!$K72</f>
        <v>6.3392228682384353</v>
      </c>
      <c r="Q72" s="29">
        <f>'Infrastructure Benchmarks - ref'!$O72/'Infrastructure Benchmarks - ref'!$L72</f>
        <v>2.7670716672927083</v>
      </c>
      <c r="R72" s="29">
        <f>'Infrastructure Benchmarks - ref'!$O72/'Infrastructure Benchmarks - ref'!$M72</f>
        <v>9.9760145839663181</v>
      </c>
      <c r="S72" s="30">
        <v>2016</v>
      </c>
    </row>
    <row r="73" spans="1:19" x14ac:dyDescent="0.2">
      <c r="A73" s="25" t="s">
        <v>70</v>
      </c>
      <c r="B73" s="26" t="s">
        <v>2</v>
      </c>
      <c r="C73" s="26" t="s">
        <v>3</v>
      </c>
      <c r="D73" s="26" t="s">
        <v>37</v>
      </c>
      <c r="E73" s="26" t="s">
        <v>98</v>
      </c>
      <c r="F73" s="26" t="s">
        <v>74</v>
      </c>
      <c r="G73" s="26" t="s">
        <v>29</v>
      </c>
      <c r="H73" s="26" t="s">
        <v>38</v>
      </c>
      <c r="I73" s="27" t="s">
        <v>16</v>
      </c>
      <c r="J73" s="27" t="s">
        <v>18</v>
      </c>
      <c r="K73" s="28">
        <v>362564</v>
      </c>
      <c r="L73" s="28">
        <v>830616</v>
      </c>
      <c r="M73" s="28">
        <v>230390</v>
      </c>
      <c r="N73" s="27" t="s">
        <v>27</v>
      </c>
      <c r="O73" s="31">
        <v>6484521</v>
      </c>
      <c r="P73" s="29">
        <f>'Infrastructure Benchmarks - ref'!$O73/'Infrastructure Benchmarks - ref'!$K73</f>
        <v>17.885176134420405</v>
      </c>
      <c r="Q73" s="29">
        <f>'Infrastructure Benchmarks - ref'!$O73/'Infrastructure Benchmarks - ref'!$L73</f>
        <v>7.806881880435725</v>
      </c>
      <c r="R73" s="29">
        <f>'Infrastructure Benchmarks - ref'!$O73/'Infrastructure Benchmarks - ref'!$M73</f>
        <v>28.14584400364599</v>
      </c>
      <c r="S73" s="32">
        <v>2016</v>
      </c>
    </row>
    <row r="74" spans="1:19" x14ac:dyDescent="0.2">
      <c r="A74" s="25" t="s">
        <v>70</v>
      </c>
      <c r="B74" s="26" t="s">
        <v>2</v>
      </c>
      <c r="C74" s="26" t="s">
        <v>3</v>
      </c>
      <c r="D74" s="26" t="s">
        <v>37</v>
      </c>
      <c r="E74" s="26" t="s">
        <v>98</v>
      </c>
      <c r="F74" s="26" t="s">
        <v>74</v>
      </c>
      <c r="G74" s="26" t="s">
        <v>29</v>
      </c>
      <c r="H74" s="26" t="s">
        <v>38</v>
      </c>
      <c r="I74" s="27" t="s">
        <v>16</v>
      </c>
      <c r="J74" s="27" t="s">
        <v>18</v>
      </c>
      <c r="K74" s="28">
        <v>362564</v>
      </c>
      <c r="L74" s="28">
        <v>830616</v>
      </c>
      <c r="M74" s="28">
        <v>230390</v>
      </c>
      <c r="N74" s="27" t="s">
        <v>48</v>
      </c>
      <c r="O74" s="28">
        <v>0</v>
      </c>
      <c r="P74" s="29">
        <v>0</v>
      </c>
      <c r="Q74" s="29">
        <v>0</v>
      </c>
      <c r="R74" s="29">
        <v>0</v>
      </c>
      <c r="S74" s="32">
        <v>2016</v>
      </c>
    </row>
    <row r="75" spans="1:19" x14ac:dyDescent="0.2">
      <c r="A75" s="25" t="s">
        <v>70</v>
      </c>
      <c r="B75" s="26" t="s">
        <v>2</v>
      </c>
      <c r="C75" s="26" t="s">
        <v>3</v>
      </c>
      <c r="D75" s="26" t="s">
        <v>37</v>
      </c>
      <c r="E75" s="26" t="s">
        <v>98</v>
      </c>
      <c r="F75" s="26" t="s">
        <v>74</v>
      </c>
      <c r="G75" s="26" t="s">
        <v>29</v>
      </c>
      <c r="H75" s="26" t="s">
        <v>38</v>
      </c>
      <c r="I75" s="27" t="s">
        <v>16</v>
      </c>
      <c r="J75" s="27" t="s">
        <v>18</v>
      </c>
      <c r="K75" s="28">
        <v>362564</v>
      </c>
      <c r="L75" s="28">
        <v>830616</v>
      </c>
      <c r="M75" s="28">
        <v>230390</v>
      </c>
      <c r="N75" s="27" t="s">
        <v>49</v>
      </c>
      <c r="O75" s="28">
        <v>0</v>
      </c>
      <c r="P75" s="29">
        <v>0</v>
      </c>
      <c r="Q75" s="29">
        <v>0</v>
      </c>
      <c r="R75" s="29">
        <v>0</v>
      </c>
      <c r="S75" s="32">
        <v>2016</v>
      </c>
    </row>
    <row r="76" spans="1:19" x14ac:dyDescent="0.2">
      <c r="A76" s="25" t="s">
        <v>70</v>
      </c>
      <c r="B76" s="26" t="s">
        <v>2</v>
      </c>
      <c r="C76" s="26" t="s">
        <v>3</v>
      </c>
      <c r="D76" s="26" t="s">
        <v>37</v>
      </c>
      <c r="E76" s="26" t="s">
        <v>98</v>
      </c>
      <c r="F76" s="26" t="s">
        <v>74</v>
      </c>
      <c r="G76" s="26" t="s">
        <v>29</v>
      </c>
      <c r="H76" s="26" t="s">
        <v>38</v>
      </c>
      <c r="I76" s="27" t="s">
        <v>16</v>
      </c>
      <c r="J76" s="27" t="s">
        <v>18</v>
      </c>
      <c r="K76" s="28">
        <v>362564</v>
      </c>
      <c r="L76" s="28">
        <v>830616</v>
      </c>
      <c r="M76" s="28">
        <v>230390</v>
      </c>
      <c r="N76" s="27" t="s">
        <v>50</v>
      </c>
      <c r="O76" s="28">
        <v>0</v>
      </c>
      <c r="P76" s="29">
        <v>0</v>
      </c>
      <c r="Q76" s="29">
        <v>0</v>
      </c>
      <c r="R76" s="29">
        <v>0</v>
      </c>
      <c r="S76" s="32">
        <v>2016</v>
      </c>
    </row>
    <row r="77" spans="1:19" x14ac:dyDescent="0.2">
      <c r="A77" s="25" t="s">
        <v>70</v>
      </c>
      <c r="B77" s="26" t="s">
        <v>2</v>
      </c>
      <c r="C77" s="26" t="s">
        <v>3</v>
      </c>
      <c r="D77" s="26" t="s">
        <v>37</v>
      </c>
      <c r="E77" s="26" t="s">
        <v>98</v>
      </c>
      <c r="F77" s="26" t="s">
        <v>74</v>
      </c>
      <c r="G77" s="26" t="s">
        <v>29</v>
      </c>
      <c r="H77" s="26" t="s">
        <v>38</v>
      </c>
      <c r="I77" s="27" t="s">
        <v>16</v>
      </c>
      <c r="J77" s="27" t="s">
        <v>18</v>
      </c>
      <c r="K77" s="28">
        <v>362564</v>
      </c>
      <c r="L77" s="28">
        <v>830616</v>
      </c>
      <c r="M77" s="28">
        <v>230390</v>
      </c>
      <c r="N77" s="27" t="s">
        <v>51</v>
      </c>
      <c r="O77" s="28">
        <v>14574097</v>
      </c>
      <c r="P77" s="29">
        <f>'Infrastructure Benchmarks - ref'!$O77/'Infrastructure Benchmarks - ref'!$K77</f>
        <v>40.197308613100034</v>
      </c>
      <c r="Q77" s="29">
        <f>'Infrastructure Benchmarks - ref'!$O77/'Infrastructure Benchmarks - ref'!$L77</f>
        <v>17.546130823388907</v>
      </c>
      <c r="R77" s="29">
        <f>'Infrastructure Benchmarks - ref'!$O77/'Infrastructure Benchmarks - ref'!$M77</f>
        <v>63.258374929467422</v>
      </c>
      <c r="S77" s="32">
        <v>2016</v>
      </c>
    </row>
    <row r="78" spans="1:19" x14ac:dyDescent="0.2">
      <c r="A78" s="25" t="s">
        <v>70</v>
      </c>
      <c r="B78" s="26" t="s">
        <v>2</v>
      </c>
      <c r="C78" s="26" t="s">
        <v>3</v>
      </c>
      <c r="D78" s="26" t="s">
        <v>37</v>
      </c>
      <c r="E78" s="26" t="s">
        <v>98</v>
      </c>
      <c r="F78" s="26" t="s">
        <v>74</v>
      </c>
      <c r="G78" s="26" t="s">
        <v>29</v>
      </c>
      <c r="H78" s="26" t="s">
        <v>38</v>
      </c>
      <c r="I78" s="27" t="s">
        <v>16</v>
      </c>
      <c r="J78" s="27" t="s">
        <v>18</v>
      </c>
      <c r="K78" s="28">
        <v>362564</v>
      </c>
      <c r="L78" s="28">
        <v>830616</v>
      </c>
      <c r="M78" s="28">
        <v>230390</v>
      </c>
      <c r="N78" s="27" t="s">
        <v>52</v>
      </c>
      <c r="O78" s="28">
        <v>11973767</v>
      </c>
      <c r="P78" s="29">
        <f>'Infrastructure Benchmarks - ref'!$O78/'Infrastructure Benchmarks - ref'!$K78</f>
        <v>33.025250714356638</v>
      </c>
      <c r="Q78" s="29">
        <f>'Infrastructure Benchmarks - ref'!$O78/'Infrastructure Benchmarks - ref'!$L78</f>
        <v>14.415526548970885</v>
      </c>
      <c r="R78" s="29">
        <f>'Infrastructure Benchmarks - ref'!$O78/'Infrastructure Benchmarks - ref'!$M78</f>
        <v>51.97173054386041</v>
      </c>
      <c r="S78" s="32">
        <v>2016</v>
      </c>
    </row>
    <row r="79" spans="1:19" x14ac:dyDescent="0.2">
      <c r="A79" s="25" t="s">
        <v>70</v>
      </c>
      <c r="B79" s="26" t="s">
        <v>2</v>
      </c>
      <c r="C79" s="26" t="s">
        <v>3</v>
      </c>
      <c r="D79" s="26" t="s">
        <v>37</v>
      </c>
      <c r="E79" s="26" t="s">
        <v>98</v>
      </c>
      <c r="F79" s="26" t="s">
        <v>74</v>
      </c>
      <c r="G79" s="26" t="s">
        <v>29</v>
      </c>
      <c r="H79" s="26" t="s">
        <v>38</v>
      </c>
      <c r="I79" s="27" t="s">
        <v>16</v>
      </c>
      <c r="J79" s="27" t="s">
        <v>18</v>
      </c>
      <c r="K79" s="28">
        <v>362564</v>
      </c>
      <c r="L79" s="28">
        <v>830616</v>
      </c>
      <c r="M79" s="28">
        <v>230390</v>
      </c>
      <c r="N79" s="27" t="s">
        <v>53</v>
      </c>
      <c r="O79" s="28">
        <v>0</v>
      </c>
      <c r="P79" s="29">
        <v>0</v>
      </c>
      <c r="Q79" s="29">
        <v>0</v>
      </c>
      <c r="R79" s="29">
        <v>0</v>
      </c>
      <c r="S79" s="32">
        <v>2016</v>
      </c>
    </row>
    <row r="80" spans="1:19" x14ac:dyDescent="0.2">
      <c r="A80" s="25" t="s">
        <v>70</v>
      </c>
      <c r="B80" s="26" t="s">
        <v>2</v>
      </c>
      <c r="C80" s="26" t="s">
        <v>3</v>
      </c>
      <c r="D80" s="26" t="s">
        <v>37</v>
      </c>
      <c r="E80" s="26" t="s">
        <v>98</v>
      </c>
      <c r="F80" s="26" t="s">
        <v>74</v>
      </c>
      <c r="G80" s="26" t="s">
        <v>29</v>
      </c>
      <c r="H80" s="26" t="s">
        <v>38</v>
      </c>
      <c r="I80" s="27" t="s">
        <v>16</v>
      </c>
      <c r="J80" s="27" t="s">
        <v>18</v>
      </c>
      <c r="K80" s="28">
        <v>362564</v>
      </c>
      <c r="L80" s="28">
        <v>830616</v>
      </c>
      <c r="M80" s="28">
        <v>230390</v>
      </c>
      <c r="N80" s="27" t="s">
        <v>54</v>
      </c>
      <c r="O80" s="28">
        <v>0</v>
      </c>
      <c r="P80" s="29">
        <v>0</v>
      </c>
      <c r="Q80" s="29">
        <v>0</v>
      </c>
      <c r="R80" s="29">
        <v>0</v>
      </c>
      <c r="S80" s="32">
        <v>2016</v>
      </c>
    </row>
    <row r="81" spans="1:19" x14ac:dyDescent="0.2">
      <c r="A81" s="25" t="s">
        <v>70</v>
      </c>
      <c r="B81" s="26" t="s">
        <v>2</v>
      </c>
      <c r="C81" s="26" t="s">
        <v>3</v>
      </c>
      <c r="D81" s="26" t="s">
        <v>37</v>
      </c>
      <c r="E81" s="26" t="s">
        <v>98</v>
      </c>
      <c r="F81" s="26" t="s">
        <v>74</v>
      </c>
      <c r="G81" s="26" t="s">
        <v>29</v>
      </c>
      <c r="H81" s="26" t="s">
        <v>38</v>
      </c>
      <c r="I81" s="27" t="s">
        <v>16</v>
      </c>
      <c r="J81" s="27" t="s">
        <v>18</v>
      </c>
      <c r="K81" s="28">
        <v>362564</v>
      </c>
      <c r="L81" s="28">
        <v>830616</v>
      </c>
      <c r="M81" s="28">
        <v>230390</v>
      </c>
      <c r="N81" s="27" t="s">
        <v>55</v>
      </c>
      <c r="O81" s="28">
        <v>0</v>
      </c>
      <c r="P81" s="29">
        <v>0</v>
      </c>
      <c r="Q81" s="29">
        <v>0</v>
      </c>
      <c r="R81" s="29">
        <v>0</v>
      </c>
      <c r="S81" s="32">
        <v>2016</v>
      </c>
    </row>
    <row r="82" spans="1:19" x14ac:dyDescent="0.2">
      <c r="A82" s="25" t="s">
        <v>70</v>
      </c>
      <c r="B82" s="26" t="s">
        <v>2</v>
      </c>
      <c r="C82" s="26" t="s">
        <v>3</v>
      </c>
      <c r="D82" s="26" t="s">
        <v>37</v>
      </c>
      <c r="E82" s="26" t="s">
        <v>98</v>
      </c>
      <c r="F82" s="26" t="s">
        <v>74</v>
      </c>
      <c r="G82" s="26" t="s">
        <v>29</v>
      </c>
      <c r="H82" s="26" t="s">
        <v>38</v>
      </c>
      <c r="I82" s="27" t="s">
        <v>16</v>
      </c>
      <c r="J82" s="27" t="s">
        <v>18</v>
      </c>
      <c r="K82" s="28">
        <v>362564</v>
      </c>
      <c r="L82" s="28">
        <v>830616</v>
      </c>
      <c r="M82" s="28">
        <v>230390</v>
      </c>
      <c r="N82" s="27" t="s">
        <v>56</v>
      </c>
      <c r="O82" s="28">
        <v>0</v>
      </c>
      <c r="P82" s="29">
        <v>0</v>
      </c>
      <c r="Q82" s="29">
        <v>0</v>
      </c>
      <c r="R82" s="29">
        <v>0</v>
      </c>
      <c r="S82" s="32">
        <v>2016</v>
      </c>
    </row>
    <row r="83" spans="1:19" x14ac:dyDescent="0.2">
      <c r="A83" s="25" t="s">
        <v>70</v>
      </c>
      <c r="B83" s="26" t="s">
        <v>2</v>
      </c>
      <c r="C83" s="26" t="s">
        <v>3</v>
      </c>
      <c r="D83" s="26" t="s">
        <v>37</v>
      </c>
      <c r="E83" s="26" t="s">
        <v>98</v>
      </c>
      <c r="F83" s="26" t="s">
        <v>74</v>
      </c>
      <c r="G83" s="26" t="s">
        <v>29</v>
      </c>
      <c r="H83" s="26" t="s">
        <v>38</v>
      </c>
      <c r="I83" s="27" t="s">
        <v>16</v>
      </c>
      <c r="J83" s="27" t="s">
        <v>18</v>
      </c>
      <c r="K83" s="28">
        <v>362564</v>
      </c>
      <c r="L83" s="28">
        <v>830616</v>
      </c>
      <c r="M83" s="28">
        <v>230390</v>
      </c>
      <c r="N83" s="27" t="s">
        <v>73</v>
      </c>
      <c r="O83" s="31">
        <f>24307731+6017634</f>
        <v>30325365</v>
      </c>
      <c r="P83" s="29">
        <f>'Infrastructure Benchmarks - ref'!$O83/'Infrastructure Benchmarks - ref'!$K83</f>
        <v>83.641412274798384</v>
      </c>
      <c r="Q83" s="29">
        <f>'Infrastructure Benchmarks - ref'!$O83/'Infrastructure Benchmarks - ref'!$L83</f>
        <v>36.509488138923402</v>
      </c>
      <c r="R83" s="29">
        <f>'Infrastructure Benchmarks - ref'!$O83/'Infrastructure Benchmarks - ref'!$M83</f>
        <v>131.62622075610921</v>
      </c>
      <c r="S83" s="32">
        <v>2016</v>
      </c>
    </row>
    <row r="84" spans="1:19" x14ac:dyDescent="0.2">
      <c r="A84" s="25" t="s">
        <v>70</v>
      </c>
      <c r="B84" s="26" t="s">
        <v>2</v>
      </c>
      <c r="C84" s="26" t="s">
        <v>3</v>
      </c>
      <c r="D84" s="26" t="s">
        <v>37</v>
      </c>
      <c r="E84" s="26" t="s">
        <v>98</v>
      </c>
      <c r="F84" s="26" t="s">
        <v>74</v>
      </c>
      <c r="G84" s="26" t="s">
        <v>29</v>
      </c>
      <c r="H84" s="26" t="s">
        <v>38</v>
      </c>
      <c r="I84" s="27" t="s">
        <v>16</v>
      </c>
      <c r="J84" s="27" t="s">
        <v>18</v>
      </c>
      <c r="K84" s="28">
        <v>362564</v>
      </c>
      <c r="L84" s="28">
        <v>830616</v>
      </c>
      <c r="M84" s="28">
        <v>230390</v>
      </c>
      <c r="N84" s="27" t="s">
        <v>57</v>
      </c>
      <c r="O84" s="31">
        <v>36000000</v>
      </c>
      <c r="P84" s="29">
        <f>'Infrastructure Benchmarks - ref'!$O84/'Infrastructure Benchmarks - ref'!$K84</f>
        <v>99.292814509989967</v>
      </c>
      <c r="Q84" s="29">
        <f>'Infrastructure Benchmarks - ref'!$O84/'Infrastructure Benchmarks - ref'!$L84</f>
        <v>43.341327400387179</v>
      </c>
      <c r="R84" s="29">
        <f>'Infrastructure Benchmarks - ref'!$O84/'Infrastructure Benchmarks - ref'!$M84</f>
        <v>156.25678197838448</v>
      </c>
      <c r="S84" s="32">
        <v>2016</v>
      </c>
    </row>
    <row r="85" spans="1:19" x14ac:dyDescent="0.2">
      <c r="A85" s="25" t="s">
        <v>70</v>
      </c>
      <c r="B85" s="26" t="s">
        <v>2</v>
      </c>
      <c r="C85" s="26" t="s">
        <v>3</v>
      </c>
      <c r="D85" s="26" t="s">
        <v>37</v>
      </c>
      <c r="E85" s="26" t="s">
        <v>98</v>
      </c>
      <c r="F85" s="26" t="s">
        <v>74</v>
      </c>
      <c r="G85" s="26" t="s">
        <v>29</v>
      </c>
      <c r="H85" s="26" t="s">
        <v>38</v>
      </c>
      <c r="I85" s="27" t="s">
        <v>16</v>
      </c>
      <c r="J85" s="27" t="s">
        <v>18</v>
      </c>
      <c r="K85" s="28">
        <v>362564</v>
      </c>
      <c r="L85" s="28">
        <v>830616</v>
      </c>
      <c r="M85" s="28">
        <v>230390</v>
      </c>
      <c r="N85" s="27" t="s">
        <v>58</v>
      </c>
      <c r="O85" s="31">
        <f>(73276983)-(O86+O84)</f>
        <v>25276983</v>
      </c>
      <c r="P85" s="29">
        <f>'Infrastructure Benchmarks - ref'!$O85/'Infrastructure Benchmarks - ref'!$K85</f>
        <v>69.717299566421374</v>
      </c>
      <c r="Q85" s="29">
        <f>'Infrastructure Benchmarks - ref'!$O85/'Infrastructure Benchmarks - ref'!$L85</f>
        <v>30.431610997139472</v>
      </c>
      <c r="R85" s="29">
        <f>'Infrastructure Benchmarks - ref'!$O85/'Infrastructure Benchmarks - ref'!$M85</f>
        <v>109.71388949173141</v>
      </c>
      <c r="S85" s="32">
        <v>2016</v>
      </c>
    </row>
    <row r="86" spans="1:19" x14ac:dyDescent="0.2">
      <c r="A86" s="25" t="s">
        <v>70</v>
      </c>
      <c r="B86" s="26" t="s">
        <v>2</v>
      </c>
      <c r="C86" s="26" t="s">
        <v>3</v>
      </c>
      <c r="D86" s="26" t="s">
        <v>37</v>
      </c>
      <c r="E86" s="26" t="s">
        <v>98</v>
      </c>
      <c r="F86" s="26" t="s">
        <v>74</v>
      </c>
      <c r="G86" s="26" t="s">
        <v>29</v>
      </c>
      <c r="H86" s="26" t="s">
        <v>38</v>
      </c>
      <c r="I86" s="27" t="s">
        <v>16</v>
      </c>
      <c r="J86" s="27" t="s">
        <v>18</v>
      </c>
      <c r="K86" s="28">
        <v>362564</v>
      </c>
      <c r="L86" s="28">
        <v>830616</v>
      </c>
      <c r="M86" s="28">
        <v>230390</v>
      </c>
      <c r="N86" s="27" t="s">
        <v>59</v>
      </c>
      <c r="O86" s="31">
        <v>12000000</v>
      </c>
      <c r="P86" s="29">
        <f>'Infrastructure Benchmarks - ref'!$O86/'Infrastructure Benchmarks - ref'!$K86</f>
        <v>33.097604836663322</v>
      </c>
      <c r="Q86" s="29">
        <f>'Infrastructure Benchmarks - ref'!$O86/'Infrastructure Benchmarks - ref'!$L86</f>
        <v>14.447109133462394</v>
      </c>
      <c r="R86" s="29">
        <f>'Infrastructure Benchmarks - ref'!$O86/'Infrastructure Benchmarks - ref'!$M86</f>
        <v>52.085593992794827</v>
      </c>
      <c r="S86" s="32">
        <v>2016</v>
      </c>
    </row>
    <row r="87" spans="1:19" x14ac:dyDescent="0.2">
      <c r="A87" s="25" t="s">
        <v>70</v>
      </c>
      <c r="B87" s="26" t="s">
        <v>2</v>
      </c>
      <c r="C87" s="26" t="s">
        <v>3</v>
      </c>
      <c r="D87" s="26" t="s">
        <v>37</v>
      </c>
      <c r="E87" s="26" t="s">
        <v>98</v>
      </c>
      <c r="F87" s="26" t="s">
        <v>74</v>
      </c>
      <c r="G87" s="26" t="s">
        <v>29</v>
      </c>
      <c r="H87" s="26" t="s">
        <v>38</v>
      </c>
      <c r="I87" s="27" t="s">
        <v>16</v>
      </c>
      <c r="J87" s="27" t="s">
        <v>18</v>
      </c>
      <c r="K87" s="28">
        <v>362564</v>
      </c>
      <c r="L87" s="28">
        <v>830616</v>
      </c>
      <c r="M87" s="28">
        <v>230390</v>
      </c>
      <c r="N87" s="27" t="s">
        <v>60</v>
      </c>
      <c r="O87" s="28">
        <v>11126209</v>
      </c>
      <c r="P87" s="29">
        <f>'Infrastructure Benchmarks - ref'!$O87/'Infrastructure Benchmarks - ref'!$K87</f>
        <v>30.687572401010581</v>
      </c>
      <c r="Q87" s="29">
        <f>'Infrastructure Benchmarks - ref'!$O87/'Infrastructure Benchmarks - ref'!$L87</f>
        <v>13.395129638725958</v>
      </c>
      <c r="R87" s="29">
        <f>'Infrastructure Benchmarks - ref'!$O87/'Infrastructure Benchmarks - ref'!$M87</f>
        <v>48.292933721081646</v>
      </c>
      <c r="S87" s="32">
        <v>2016</v>
      </c>
    </row>
    <row r="88" spans="1:19" s="41" customFormat="1" ht="16" thickBot="1" x14ac:dyDescent="0.25">
      <c r="A88" s="35" t="s">
        <v>70</v>
      </c>
      <c r="B88" s="36" t="s">
        <v>2</v>
      </c>
      <c r="C88" s="36" t="s">
        <v>3</v>
      </c>
      <c r="D88" s="36" t="s">
        <v>37</v>
      </c>
      <c r="E88" s="36" t="s">
        <v>98</v>
      </c>
      <c r="F88" s="36" t="s">
        <v>74</v>
      </c>
      <c r="G88" s="36" t="s">
        <v>29</v>
      </c>
      <c r="H88" s="36" t="s">
        <v>38</v>
      </c>
      <c r="I88" s="37" t="s">
        <v>16</v>
      </c>
      <c r="J88" s="37" t="s">
        <v>18</v>
      </c>
      <c r="K88" s="38">
        <v>362564</v>
      </c>
      <c r="L88" s="38">
        <v>830616</v>
      </c>
      <c r="M88" s="38">
        <v>230390</v>
      </c>
      <c r="N88" s="37" t="s">
        <v>61</v>
      </c>
      <c r="O88" s="38">
        <v>0</v>
      </c>
      <c r="P88" s="39">
        <v>0</v>
      </c>
      <c r="Q88" s="39">
        <v>0</v>
      </c>
      <c r="R88" s="39">
        <v>0</v>
      </c>
      <c r="S88" s="50">
        <v>2016</v>
      </c>
    </row>
    <row r="89" spans="1:19" s="48" customFormat="1" ht="16" thickTop="1" x14ac:dyDescent="0.2">
      <c r="A89" s="42" t="s">
        <v>70</v>
      </c>
      <c r="B89" s="43" t="s">
        <v>2</v>
      </c>
      <c r="C89" s="43" t="s">
        <v>3</v>
      </c>
      <c r="D89" s="43" t="s">
        <v>75</v>
      </c>
      <c r="E89" s="43" t="s">
        <v>97</v>
      </c>
      <c r="F89" s="43" t="s">
        <v>75</v>
      </c>
      <c r="G89" s="43" t="s">
        <v>29</v>
      </c>
      <c r="H89" s="43" t="s">
        <v>38</v>
      </c>
      <c r="I89" s="44" t="s">
        <v>16</v>
      </c>
      <c r="J89" s="44" t="s">
        <v>18</v>
      </c>
      <c r="K89" s="45">
        <v>121133</v>
      </c>
      <c r="L89" s="45">
        <v>446985</v>
      </c>
      <c r="M89" s="45">
        <v>282420</v>
      </c>
      <c r="N89" s="44" t="s">
        <v>24</v>
      </c>
      <c r="O89" s="45">
        <v>19630039</v>
      </c>
      <c r="P89" s="46">
        <f>'Infrastructure Benchmarks - ref'!$O89/'Infrastructure Benchmarks - ref'!$K89</f>
        <v>162.05360223886143</v>
      </c>
      <c r="Q89" s="46">
        <f>'Infrastructure Benchmarks - ref'!$O89/'Infrastructure Benchmarks - ref'!$L89</f>
        <v>43.916549772363723</v>
      </c>
      <c r="R89" s="46">
        <f>'Infrastructure Benchmarks - ref'!$O89/'Infrastructure Benchmarks - ref'!$M89</f>
        <v>69.506546986757314</v>
      </c>
      <c r="S89" s="47">
        <v>2016</v>
      </c>
    </row>
    <row r="90" spans="1:19" x14ac:dyDescent="0.2">
      <c r="A90" s="25" t="s">
        <v>70</v>
      </c>
      <c r="B90" s="26" t="s">
        <v>2</v>
      </c>
      <c r="C90" s="26" t="s">
        <v>3</v>
      </c>
      <c r="D90" s="26" t="s">
        <v>75</v>
      </c>
      <c r="E90" s="26" t="s">
        <v>97</v>
      </c>
      <c r="F90" s="26" t="s">
        <v>75</v>
      </c>
      <c r="G90" s="26" t="s">
        <v>29</v>
      </c>
      <c r="H90" s="26" t="s">
        <v>38</v>
      </c>
      <c r="I90" s="27" t="s">
        <v>16</v>
      </c>
      <c r="J90" s="27" t="s">
        <v>18</v>
      </c>
      <c r="K90" s="28">
        <v>121133</v>
      </c>
      <c r="L90" s="28">
        <v>446985</v>
      </c>
      <c r="M90" s="28">
        <v>282420</v>
      </c>
      <c r="N90" s="27" t="s">
        <v>44</v>
      </c>
      <c r="O90" s="28">
        <v>0</v>
      </c>
      <c r="P90" s="29">
        <v>0</v>
      </c>
      <c r="Q90" s="29">
        <v>0</v>
      </c>
      <c r="R90" s="29">
        <v>0</v>
      </c>
      <c r="S90" s="30">
        <v>2016</v>
      </c>
    </row>
    <row r="91" spans="1:19" x14ac:dyDescent="0.2">
      <c r="A91" s="25" t="s">
        <v>70</v>
      </c>
      <c r="B91" s="26" t="s">
        <v>2</v>
      </c>
      <c r="C91" s="26" t="s">
        <v>3</v>
      </c>
      <c r="D91" s="26" t="s">
        <v>75</v>
      </c>
      <c r="E91" s="26" t="s">
        <v>97</v>
      </c>
      <c r="F91" s="26" t="s">
        <v>75</v>
      </c>
      <c r="G91" s="26" t="s">
        <v>29</v>
      </c>
      <c r="H91" s="26" t="s">
        <v>38</v>
      </c>
      <c r="I91" s="27" t="s">
        <v>16</v>
      </c>
      <c r="J91" s="27" t="s">
        <v>18</v>
      </c>
      <c r="K91" s="28">
        <v>121133</v>
      </c>
      <c r="L91" s="28">
        <v>446985</v>
      </c>
      <c r="M91" s="28">
        <v>282420</v>
      </c>
      <c r="N91" s="27" t="s">
        <v>45</v>
      </c>
      <c r="O91" s="31">
        <v>121770</v>
      </c>
      <c r="P91" s="29">
        <f>'Infrastructure Benchmarks - ref'!$O91/'Infrastructure Benchmarks - ref'!$K91</f>
        <v>1.0052586826050705</v>
      </c>
      <c r="Q91" s="29">
        <f>'Infrastructure Benchmarks - ref'!$O91/'Infrastructure Benchmarks - ref'!$L91</f>
        <v>0.27242524916943522</v>
      </c>
      <c r="R91" s="29">
        <f>'Infrastructure Benchmarks - ref'!$O91/'Infrastructure Benchmarks - ref'!$M91</f>
        <v>0.43116634799235182</v>
      </c>
      <c r="S91" s="30">
        <v>2016</v>
      </c>
    </row>
    <row r="92" spans="1:19" x14ac:dyDescent="0.2">
      <c r="A92" s="25" t="s">
        <v>70</v>
      </c>
      <c r="B92" s="26" t="s">
        <v>2</v>
      </c>
      <c r="C92" s="26" t="s">
        <v>3</v>
      </c>
      <c r="D92" s="26" t="s">
        <v>75</v>
      </c>
      <c r="E92" s="26" t="s">
        <v>97</v>
      </c>
      <c r="F92" s="26" t="s">
        <v>75</v>
      </c>
      <c r="G92" s="26" t="s">
        <v>29</v>
      </c>
      <c r="H92" s="26" t="s">
        <v>38</v>
      </c>
      <c r="I92" s="27" t="s">
        <v>16</v>
      </c>
      <c r="J92" s="27" t="s">
        <v>18</v>
      </c>
      <c r="K92" s="28">
        <v>121133</v>
      </c>
      <c r="L92" s="28">
        <v>446985</v>
      </c>
      <c r="M92" s="28">
        <v>282420</v>
      </c>
      <c r="N92" s="27" t="s">
        <v>14</v>
      </c>
      <c r="O92" s="31">
        <v>530184</v>
      </c>
      <c r="P92" s="29">
        <f>'Infrastructure Benchmarks - ref'!$O92/'Infrastructure Benchmarks - ref'!$K92</f>
        <v>4.3768750051596177</v>
      </c>
      <c r="Q92" s="29">
        <f>'Infrastructure Benchmarks - ref'!$O92/'Infrastructure Benchmarks - ref'!$L92</f>
        <v>1.1861337628779489</v>
      </c>
      <c r="R92" s="29">
        <f>'Infrastructure Benchmarks - ref'!$O92/'Infrastructure Benchmarks - ref'!$M92</f>
        <v>1.8772891438283408</v>
      </c>
      <c r="S92" s="30">
        <v>2016</v>
      </c>
    </row>
    <row r="93" spans="1:19" x14ac:dyDescent="0.2">
      <c r="A93" s="25" t="s">
        <v>70</v>
      </c>
      <c r="B93" s="26" t="s">
        <v>2</v>
      </c>
      <c r="C93" s="26" t="s">
        <v>3</v>
      </c>
      <c r="D93" s="26" t="s">
        <v>75</v>
      </c>
      <c r="E93" s="26" t="s">
        <v>97</v>
      </c>
      <c r="F93" s="26" t="s">
        <v>75</v>
      </c>
      <c r="G93" s="26" t="s">
        <v>29</v>
      </c>
      <c r="H93" s="26" t="s">
        <v>38</v>
      </c>
      <c r="I93" s="27" t="s">
        <v>16</v>
      </c>
      <c r="J93" s="27" t="s">
        <v>18</v>
      </c>
      <c r="K93" s="28">
        <v>121133</v>
      </c>
      <c r="L93" s="28">
        <v>446985</v>
      </c>
      <c r="M93" s="28">
        <v>282420</v>
      </c>
      <c r="N93" s="27" t="s">
        <v>22</v>
      </c>
      <c r="O93" s="28">
        <v>7580384</v>
      </c>
      <c r="P93" s="29">
        <f>'Infrastructure Benchmarks - ref'!$O93/'Infrastructure Benchmarks - ref'!$K93</f>
        <v>62.579016452989691</v>
      </c>
      <c r="Q93" s="29">
        <f>'Infrastructure Benchmarks - ref'!$O93/'Infrastructure Benchmarks - ref'!$L93</f>
        <v>16.958922558922559</v>
      </c>
      <c r="R93" s="29">
        <f>'Infrastructure Benchmarks - ref'!$O93/'Infrastructure Benchmarks - ref'!$M93</f>
        <v>26.840818638906594</v>
      </c>
      <c r="S93" s="30">
        <v>2016</v>
      </c>
    </row>
    <row r="94" spans="1:19" x14ac:dyDescent="0.2">
      <c r="A94" s="25" t="s">
        <v>70</v>
      </c>
      <c r="B94" s="26" t="s">
        <v>2</v>
      </c>
      <c r="C94" s="26" t="s">
        <v>3</v>
      </c>
      <c r="D94" s="26" t="s">
        <v>75</v>
      </c>
      <c r="E94" s="26" t="s">
        <v>97</v>
      </c>
      <c r="F94" s="26" t="s">
        <v>75</v>
      </c>
      <c r="G94" s="26" t="s">
        <v>29</v>
      </c>
      <c r="H94" s="26" t="s">
        <v>38</v>
      </c>
      <c r="I94" s="27" t="s">
        <v>16</v>
      </c>
      <c r="J94" s="27" t="s">
        <v>18</v>
      </c>
      <c r="K94" s="28">
        <v>121133</v>
      </c>
      <c r="L94" s="28">
        <v>446985</v>
      </c>
      <c r="M94" s="28">
        <v>282420</v>
      </c>
      <c r="N94" s="27" t="s">
        <v>20</v>
      </c>
      <c r="O94" s="28">
        <v>7444687</v>
      </c>
      <c r="P94" s="29">
        <f>'Infrastructure Benchmarks - ref'!$O94/'Infrastructure Benchmarks - ref'!$K94</f>
        <v>61.458784971890402</v>
      </c>
      <c r="Q94" s="29">
        <f>'Infrastructure Benchmarks - ref'!$O94/'Infrastructure Benchmarks - ref'!$L94</f>
        <v>16.655339664641989</v>
      </c>
      <c r="R94" s="29">
        <f>'Infrastructure Benchmarks - ref'!$O94/'Infrastructure Benchmarks - ref'!$M94</f>
        <v>26.36033921110403</v>
      </c>
      <c r="S94" s="30">
        <v>2016</v>
      </c>
    </row>
    <row r="95" spans="1:19" x14ac:dyDescent="0.2">
      <c r="A95" s="25" t="s">
        <v>70</v>
      </c>
      <c r="B95" s="26" t="s">
        <v>2</v>
      </c>
      <c r="C95" s="26" t="s">
        <v>3</v>
      </c>
      <c r="D95" s="26" t="s">
        <v>75</v>
      </c>
      <c r="E95" s="26" t="s">
        <v>97</v>
      </c>
      <c r="F95" s="26" t="s">
        <v>75</v>
      </c>
      <c r="G95" s="26" t="s">
        <v>29</v>
      </c>
      <c r="H95" s="26" t="s">
        <v>38</v>
      </c>
      <c r="I95" s="27" t="s">
        <v>16</v>
      </c>
      <c r="J95" s="27" t="s">
        <v>18</v>
      </c>
      <c r="K95" s="28">
        <v>121133</v>
      </c>
      <c r="L95" s="28">
        <v>446985</v>
      </c>
      <c r="M95" s="28">
        <v>282420</v>
      </c>
      <c r="N95" s="27" t="s">
        <v>23</v>
      </c>
      <c r="O95" s="31">
        <v>6907053</v>
      </c>
      <c r="P95" s="29">
        <f>'Infrastructure Benchmarks - ref'!$O95/'Infrastructure Benchmarks - ref'!$K95</f>
        <v>57.020407320878704</v>
      </c>
      <c r="Q95" s="29">
        <f>'Infrastructure Benchmarks - ref'!$O95/'Infrastructure Benchmarks - ref'!$L95</f>
        <v>15.452538675794489</v>
      </c>
      <c r="R95" s="29">
        <f>'Infrastructure Benchmarks - ref'!$O95/'Infrastructure Benchmarks - ref'!$M95</f>
        <v>24.456670915657533</v>
      </c>
      <c r="S95" s="32">
        <v>2016</v>
      </c>
    </row>
    <row r="96" spans="1:19" x14ac:dyDescent="0.2">
      <c r="A96" s="25" t="s">
        <v>70</v>
      </c>
      <c r="B96" s="26" t="s">
        <v>2</v>
      </c>
      <c r="C96" s="26" t="s">
        <v>3</v>
      </c>
      <c r="D96" s="26" t="s">
        <v>75</v>
      </c>
      <c r="E96" s="26" t="s">
        <v>97</v>
      </c>
      <c r="F96" s="26" t="s">
        <v>75</v>
      </c>
      <c r="G96" s="26" t="s">
        <v>29</v>
      </c>
      <c r="H96" s="26" t="s">
        <v>38</v>
      </c>
      <c r="I96" s="27" t="s">
        <v>16</v>
      </c>
      <c r="J96" s="27" t="s">
        <v>18</v>
      </c>
      <c r="K96" s="28">
        <v>121133</v>
      </c>
      <c r="L96" s="28">
        <v>446985</v>
      </c>
      <c r="M96" s="28">
        <v>282420</v>
      </c>
      <c r="N96" s="27" t="s">
        <v>43</v>
      </c>
      <c r="O96" s="31">
        <v>9697658</v>
      </c>
      <c r="P96" s="29">
        <f>'Infrastructure Benchmarks - ref'!$O96/'Infrastructure Benchmarks - ref'!$K96</f>
        <v>80.057936317931535</v>
      </c>
      <c r="Q96" s="29">
        <f>'Infrastructure Benchmarks - ref'!$O96/'Infrastructure Benchmarks - ref'!$L96</f>
        <v>21.695712384084477</v>
      </c>
      <c r="R96" s="29">
        <f>'Infrastructure Benchmarks - ref'!$O96/'Infrastructure Benchmarks - ref'!$M96</f>
        <v>34.337716875575381</v>
      </c>
      <c r="S96" s="32">
        <v>2016</v>
      </c>
    </row>
    <row r="97" spans="1:19" x14ac:dyDescent="0.2">
      <c r="A97" s="25" t="s">
        <v>70</v>
      </c>
      <c r="B97" s="26" t="s">
        <v>2</v>
      </c>
      <c r="C97" s="26" t="s">
        <v>3</v>
      </c>
      <c r="D97" s="26" t="s">
        <v>75</v>
      </c>
      <c r="E97" s="26" t="s">
        <v>97</v>
      </c>
      <c r="F97" s="26" t="s">
        <v>75</v>
      </c>
      <c r="G97" s="26" t="s">
        <v>29</v>
      </c>
      <c r="H97" s="26" t="s">
        <v>38</v>
      </c>
      <c r="I97" s="27" t="s">
        <v>16</v>
      </c>
      <c r="J97" s="27" t="s">
        <v>18</v>
      </c>
      <c r="K97" s="28">
        <v>121133</v>
      </c>
      <c r="L97" s="28">
        <v>446985</v>
      </c>
      <c r="M97" s="28">
        <v>282420</v>
      </c>
      <c r="N97" s="27" t="s">
        <v>46</v>
      </c>
      <c r="O97" s="28">
        <v>0</v>
      </c>
      <c r="P97" s="29">
        <v>0</v>
      </c>
      <c r="Q97" s="29">
        <v>0</v>
      </c>
      <c r="R97" s="29">
        <v>0</v>
      </c>
      <c r="S97" s="32">
        <v>2016</v>
      </c>
    </row>
    <row r="98" spans="1:19" x14ac:dyDescent="0.2">
      <c r="A98" s="25" t="s">
        <v>70</v>
      </c>
      <c r="B98" s="26" t="s">
        <v>2</v>
      </c>
      <c r="C98" s="26" t="s">
        <v>3</v>
      </c>
      <c r="D98" s="26" t="s">
        <v>75</v>
      </c>
      <c r="E98" s="26" t="s">
        <v>97</v>
      </c>
      <c r="F98" s="26" t="s">
        <v>75</v>
      </c>
      <c r="G98" s="26" t="s">
        <v>29</v>
      </c>
      <c r="H98" s="26" t="s">
        <v>38</v>
      </c>
      <c r="I98" s="27" t="s">
        <v>16</v>
      </c>
      <c r="J98" s="27" t="s">
        <v>18</v>
      </c>
      <c r="K98" s="28">
        <v>121133</v>
      </c>
      <c r="L98" s="28">
        <v>446985</v>
      </c>
      <c r="M98" s="28">
        <v>282420</v>
      </c>
      <c r="N98" s="27" t="s">
        <v>34</v>
      </c>
      <c r="O98" s="31">
        <v>1455302</v>
      </c>
      <c r="P98" s="29">
        <f>'Infrastructure Benchmarks - ref'!$O98/'Infrastructure Benchmarks - ref'!$K98</f>
        <v>12.014083693130692</v>
      </c>
      <c r="Q98" s="29">
        <f>'Infrastructure Benchmarks - ref'!$O98/'Infrastructure Benchmarks - ref'!$L98</f>
        <v>3.2558184279114513</v>
      </c>
      <c r="R98" s="29">
        <f>'Infrastructure Benchmarks - ref'!$O98/'Infrastructure Benchmarks - ref'!$M98</f>
        <v>5.1529707527795479</v>
      </c>
      <c r="S98" s="32">
        <v>2016</v>
      </c>
    </row>
    <row r="99" spans="1:19" x14ac:dyDescent="0.2">
      <c r="A99" s="25" t="s">
        <v>70</v>
      </c>
      <c r="B99" s="26" t="s">
        <v>2</v>
      </c>
      <c r="C99" s="26" t="s">
        <v>3</v>
      </c>
      <c r="D99" s="26" t="s">
        <v>75</v>
      </c>
      <c r="E99" s="26" t="s">
        <v>97</v>
      </c>
      <c r="F99" s="26" t="s">
        <v>75</v>
      </c>
      <c r="G99" s="26" t="s">
        <v>29</v>
      </c>
      <c r="H99" s="26" t="s">
        <v>38</v>
      </c>
      <c r="I99" s="27" t="s">
        <v>16</v>
      </c>
      <c r="J99" s="27" t="s">
        <v>18</v>
      </c>
      <c r="K99" s="28">
        <v>121133</v>
      </c>
      <c r="L99" s="28">
        <v>446985</v>
      </c>
      <c r="M99" s="28">
        <v>282420</v>
      </c>
      <c r="N99" s="27" t="s">
        <v>26</v>
      </c>
      <c r="O99" s="31">
        <v>41746288</v>
      </c>
      <c r="P99" s="29">
        <f>'Infrastructure Benchmarks - ref'!$O99/'Infrastructure Benchmarks - ref'!$K99</f>
        <v>344.63183442992414</v>
      </c>
      <c r="Q99" s="29">
        <f>'Infrastructure Benchmarks - ref'!$O99/'Infrastructure Benchmarks - ref'!$L99</f>
        <v>93.395277246440031</v>
      </c>
      <c r="R99" s="29">
        <f>'Infrastructure Benchmarks - ref'!$O99/'Infrastructure Benchmarks - ref'!$M99</f>
        <v>147.81633028822321</v>
      </c>
      <c r="S99" s="32">
        <v>2016</v>
      </c>
    </row>
    <row r="100" spans="1:19" x14ac:dyDescent="0.2">
      <c r="A100" s="25" t="s">
        <v>70</v>
      </c>
      <c r="B100" s="26" t="s">
        <v>2</v>
      </c>
      <c r="C100" s="26" t="s">
        <v>3</v>
      </c>
      <c r="D100" s="26" t="s">
        <v>75</v>
      </c>
      <c r="E100" s="26" t="s">
        <v>97</v>
      </c>
      <c r="F100" s="26" t="s">
        <v>75</v>
      </c>
      <c r="G100" s="26" t="s">
        <v>29</v>
      </c>
      <c r="H100" s="26" t="s">
        <v>38</v>
      </c>
      <c r="I100" s="27" t="s">
        <v>16</v>
      </c>
      <c r="J100" s="27" t="s">
        <v>18</v>
      </c>
      <c r="K100" s="28">
        <v>121133</v>
      </c>
      <c r="L100" s="28">
        <v>446985</v>
      </c>
      <c r="M100" s="28">
        <v>282420</v>
      </c>
      <c r="N100" s="27" t="s">
        <v>28</v>
      </c>
      <c r="O100" s="31">
        <v>5850657</v>
      </c>
      <c r="P100" s="29">
        <f>'Infrastructure Benchmarks - ref'!$O100/'Infrastructure Benchmarks - ref'!$K100</f>
        <v>48.299447714495635</v>
      </c>
      <c r="Q100" s="29">
        <f>'Infrastructure Benchmarks - ref'!$O100/'Infrastructure Benchmarks - ref'!$L100</f>
        <v>13.089157354273633</v>
      </c>
      <c r="R100" s="29">
        <f>'Infrastructure Benchmarks - ref'!$O100/'Infrastructure Benchmarks - ref'!$M100</f>
        <v>20.716156787762905</v>
      </c>
      <c r="S100" s="32">
        <v>2016</v>
      </c>
    </row>
    <row r="101" spans="1:19" x14ac:dyDescent="0.2">
      <c r="A101" s="25" t="s">
        <v>70</v>
      </c>
      <c r="B101" s="26" t="s">
        <v>2</v>
      </c>
      <c r="C101" s="26" t="s">
        <v>3</v>
      </c>
      <c r="D101" s="26" t="s">
        <v>75</v>
      </c>
      <c r="E101" s="26" t="s">
        <v>97</v>
      </c>
      <c r="F101" s="26" t="s">
        <v>75</v>
      </c>
      <c r="G101" s="26" t="s">
        <v>29</v>
      </c>
      <c r="H101" s="26" t="s">
        <v>38</v>
      </c>
      <c r="I101" s="27" t="s">
        <v>16</v>
      </c>
      <c r="J101" s="27" t="s">
        <v>18</v>
      </c>
      <c r="K101" s="28">
        <v>121133</v>
      </c>
      <c r="L101" s="28">
        <v>446985</v>
      </c>
      <c r="M101" s="28">
        <v>282420</v>
      </c>
      <c r="N101" s="27" t="s">
        <v>47</v>
      </c>
      <c r="O101" s="28">
        <v>0</v>
      </c>
      <c r="P101" s="29">
        <v>0</v>
      </c>
      <c r="Q101" s="29">
        <v>0</v>
      </c>
      <c r="R101" s="29">
        <v>0</v>
      </c>
      <c r="S101" s="30">
        <v>2016</v>
      </c>
    </row>
    <row r="102" spans="1:19" x14ac:dyDescent="0.2">
      <c r="A102" s="25" t="s">
        <v>70</v>
      </c>
      <c r="B102" s="26" t="s">
        <v>2</v>
      </c>
      <c r="C102" s="26" t="s">
        <v>3</v>
      </c>
      <c r="D102" s="26" t="s">
        <v>75</v>
      </c>
      <c r="E102" s="26" t="s">
        <v>97</v>
      </c>
      <c r="F102" s="26" t="s">
        <v>75</v>
      </c>
      <c r="G102" s="26" t="s">
        <v>29</v>
      </c>
      <c r="H102" s="26" t="s">
        <v>38</v>
      </c>
      <c r="I102" s="27" t="s">
        <v>16</v>
      </c>
      <c r="J102" s="27" t="s">
        <v>18</v>
      </c>
      <c r="K102" s="28">
        <v>121133</v>
      </c>
      <c r="L102" s="28">
        <v>446985</v>
      </c>
      <c r="M102" s="28">
        <v>282420</v>
      </c>
      <c r="N102" s="27" t="s">
        <v>27</v>
      </c>
      <c r="O102" s="31">
        <v>7288258</v>
      </c>
      <c r="P102" s="29">
        <f>'Infrastructure Benchmarks - ref'!$O102/'Infrastructure Benchmarks - ref'!$K102</f>
        <v>60.167402772159527</v>
      </c>
      <c r="Q102" s="29">
        <f>'Infrastructure Benchmarks - ref'!$O102/'Infrastructure Benchmarks - ref'!$L102</f>
        <v>16.305374900723738</v>
      </c>
      <c r="R102" s="29">
        <f>'Infrastructure Benchmarks - ref'!$O102/'Infrastructure Benchmarks - ref'!$M102</f>
        <v>25.806451384462857</v>
      </c>
      <c r="S102" s="32">
        <v>2016</v>
      </c>
    </row>
    <row r="103" spans="1:19" x14ac:dyDescent="0.2">
      <c r="A103" s="25" t="s">
        <v>70</v>
      </c>
      <c r="B103" s="26" t="s">
        <v>2</v>
      </c>
      <c r="C103" s="26" t="s">
        <v>3</v>
      </c>
      <c r="D103" s="26" t="s">
        <v>75</v>
      </c>
      <c r="E103" s="26" t="s">
        <v>97</v>
      </c>
      <c r="F103" s="26" t="s">
        <v>75</v>
      </c>
      <c r="G103" s="26" t="s">
        <v>29</v>
      </c>
      <c r="H103" s="26" t="s">
        <v>38</v>
      </c>
      <c r="I103" s="27" t="s">
        <v>16</v>
      </c>
      <c r="J103" s="27" t="s">
        <v>18</v>
      </c>
      <c r="K103" s="28">
        <v>121133</v>
      </c>
      <c r="L103" s="28">
        <v>446985</v>
      </c>
      <c r="M103" s="28">
        <v>282420</v>
      </c>
      <c r="N103" s="27" t="s">
        <v>48</v>
      </c>
      <c r="O103" s="28">
        <v>0</v>
      </c>
      <c r="P103" s="29">
        <v>0</v>
      </c>
      <c r="Q103" s="29">
        <v>0</v>
      </c>
      <c r="R103" s="29">
        <v>0</v>
      </c>
      <c r="S103" s="32">
        <v>2016</v>
      </c>
    </row>
    <row r="104" spans="1:19" x14ac:dyDescent="0.2">
      <c r="A104" s="25" t="s">
        <v>70</v>
      </c>
      <c r="B104" s="26" t="s">
        <v>2</v>
      </c>
      <c r="C104" s="26" t="s">
        <v>3</v>
      </c>
      <c r="D104" s="26" t="s">
        <v>75</v>
      </c>
      <c r="E104" s="26" t="s">
        <v>97</v>
      </c>
      <c r="F104" s="26" t="s">
        <v>75</v>
      </c>
      <c r="G104" s="26" t="s">
        <v>29</v>
      </c>
      <c r="H104" s="26" t="s">
        <v>38</v>
      </c>
      <c r="I104" s="27" t="s">
        <v>16</v>
      </c>
      <c r="J104" s="27" t="s">
        <v>18</v>
      </c>
      <c r="K104" s="28">
        <v>121133</v>
      </c>
      <c r="L104" s="28">
        <v>446985</v>
      </c>
      <c r="M104" s="28">
        <v>282420</v>
      </c>
      <c r="N104" s="27" t="s">
        <v>49</v>
      </c>
      <c r="O104" s="28">
        <v>0</v>
      </c>
      <c r="P104" s="29">
        <v>0</v>
      </c>
      <c r="Q104" s="29">
        <v>0</v>
      </c>
      <c r="R104" s="29">
        <v>0</v>
      </c>
      <c r="S104" s="32">
        <v>2016</v>
      </c>
    </row>
    <row r="105" spans="1:19" x14ac:dyDescent="0.2">
      <c r="A105" s="25" t="s">
        <v>70</v>
      </c>
      <c r="B105" s="26" t="s">
        <v>2</v>
      </c>
      <c r="C105" s="26" t="s">
        <v>3</v>
      </c>
      <c r="D105" s="26" t="s">
        <v>75</v>
      </c>
      <c r="E105" s="26" t="s">
        <v>97</v>
      </c>
      <c r="F105" s="26" t="s">
        <v>75</v>
      </c>
      <c r="G105" s="26" t="s">
        <v>29</v>
      </c>
      <c r="H105" s="26" t="s">
        <v>38</v>
      </c>
      <c r="I105" s="27" t="s">
        <v>16</v>
      </c>
      <c r="J105" s="27" t="s">
        <v>18</v>
      </c>
      <c r="K105" s="28">
        <v>121133</v>
      </c>
      <c r="L105" s="28">
        <v>446985</v>
      </c>
      <c r="M105" s="28">
        <v>282420</v>
      </c>
      <c r="N105" s="27" t="s">
        <v>50</v>
      </c>
      <c r="O105" s="28">
        <v>0</v>
      </c>
      <c r="P105" s="29">
        <v>0</v>
      </c>
      <c r="Q105" s="29">
        <v>0</v>
      </c>
      <c r="R105" s="29">
        <v>0</v>
      </c>
      <c r="S105" s="32">
        <v>2016</v>
      </c>
    </row>
    <row r="106" spans="1:19" x14ac:dyDescent="0.2">
      <c r="A106" s="25" t="s">
        <v>70</v>
      </c>
      <c r="B106" s="26" t="s">
        <v>2</v>
      </c>
      <c r="C106" s="26" t="s">
        <v>3</v>
      </c>
      <c r="D106" s="26" t="s">
        <v>75</v>
      </c>
      <c r="E106" s="26" t="s">
        <v>97</v>
      </c>
      <c r="F106" s="26" t="s">
        <v>75</v>
      </c>
      <c r="G106" s="26" t="s">
        <v>29</v>
      </c>
      <c r="H106" s="26" t="s">
        <v>38</v>
      </c>
      <c r="I106" s="27" t="s">
        <v>16</v>
      </c>
      <c r="J106" s="27" t="s">
        <v>18</v>
      </c>
      <c r="K106" s="28">
        <v>121133</v>
      </c>
      <c r="L106" s="28">
        <v>446985</v>
      </c>
      <c r="M106" s="28">
        <v>282420</v>
      </c>
      <c r="N106" s="27" t="s">
        <v>51</v>
      </c>
      <c r="O106" s="28">
        <v>3506876</v>
      </c>
      <c r="P106" s="29">
        <f>'Infrastructure Benchmarks - ref'!$O106/'Infrastructure Benchmarks - ref'!$K106</f>
        <v>28.950624520155532</v>
      </c>
      <c r="Q106" s="29">
        <f>'Infrastructure Benchmarks - ref'!$O106/'Infrastructure Benchmarks - ref'!$L106</f>
        <v>7.8456234549257804</v>
      </c>
      <c r="R106" s="29">
        <f>'Infrastructure Benchmarks - ref'!$O106/'Infrastructure Benchmarks - ref'!$M106</f>
        <v>12.417236739607677</v>
      </c>
      <c r="S106" s="32">
        <v>2016</v>
      </c>
    </row>
    <row r="107" spans="1:19" x14ac:dyDescent="0.2">
      <c r="A107" s="25" t="s">
        <v>70</v>
      </c>
      <c r="B107" s="26" t="s">
        <v>2</v>
      </c>
      <c r="C107" s="26" t="s">
        <v>3</v>
      </c>
      <c r="D107" s="26" t="s">
        <v>75</v>
      </c>
      <c r="E107" s="26" t="s">
        <v>97</v>
      </c>
      <c r="F107" s="26" t="s">
        <v>75</v>
      </c>
      <c r="G107" s="26" t="s">
        <v>29</v>
      </c>
      <c r="H107" s="26" t="s">
        <v>38</v>
      </c>
      <c r="I107" s="27" t="s">
        <v>16</v>
      </c>
      <c r="J107" s="27" t="s">
        <v>18</v>
      </c>
      <c r="K107" s="28">
        <v>121133</v>
      </c>
      <c r="L107" s="28">
        <v>446985</v>
      </c>
      <c r="M107" s="28">
        <v>282420</v>
      </c>
      <c r="N107" s="27" t="s">
        <v>52</v>
      </c>
      <c r="O107" s="28">
        <v>0</v>
      </c>
      <c r="P107" s="29">
        <v>0</v>
      </c>
      <c r="Q107" s="29">
        <v>0</v>
      </c>
      <c r="R107" s="29">
        <v>0</v>
      </c>
      <c r="S107" s="32">
        <v>2016</v>
      </c>
    </row>
    <row r="108" spans="1:19" x14ac:dyDescent="0.2">
      <c r="A108" s="25" t="s">
        <v>70</v>
      </c>
      <c r="B108" s="26" t="s">
        <v>2</v>
      </c>
      <c r="C108" s="26" t="s">
        <v>3</v>
      </c>
      <c r="D108" s="26" t="s">
        <v>75</v>
      </c>
      <c r="E108" s="26" t="s">
        <v>97</v>
      </c>
      <c r="F108" s="26" t="s">
        <v>75</v>
      </c>
      <c r="G108" s="26" t="s">
        <v>29</v>
      </c>
      <c r="H108" s="26" t="s">
        <v>38</v>
      </c>
      <c r="I108" s="27" t="s">
        <v>16</v>
      </c>
      <c r="J108" s="27" t="s">
        <v>18</v>
      </c>
      <c r="K108" s="28">
        <v>121133</v>
      </c>
      <c r="L108" s="28">
        <v>446985</v>
      </c>
      <c r="M108" s="28">
        <v>282420</v>
      </c>
      <c r="N108" s="27" t="s">
        <v>53</v>
      </c>
      <c r="O108" s="28">
        <v>0</v>
      </c>
      <c r="P108" s="29">
        <v>0</v>
      </c>
      <c r="Q108" s="29">
        <v>0</v>
      </c>
      <c r="R108" s="29">
        <v>0</v>
      </c>
      <c r="S108" s="32">
        <v>2016</v>
      </c>
    </row>
    <row r="109" spans="1:19" x14ac:dyDescent="0.2">
      <c r="A109" s="25" t="s">
        <v>70</v>
      </c>
      <c r="B109" s="26" t="s">
        <v>2</v>
      </c>
      <c r="C109" s="26" t="s">
        <v>3</v>
      </c>
      <c r="D109" s="26" t="s">
        <v>75</v>
      </c>
      <c r="E109" s="26" t="s">
        <v>97</v>
      </c>
      <c r="F109" s="26" t="s">
        <v>75</v>
      </c>
      <c r="G109" s="26" t="s">
        <v>29</v>
      </c>
      <c r="H109" s="26" t="s">
        <v>38</v>
      </c>
      <c r="I109" s="27" t="s">
        <v>16</v>
      </c>
      <c r="J109" s="27" t="s">
        <v>18</v>
      </c>
      <c r="K109" s="28">
        <v>121133</v>
      </c>
      <c r="L109" s="28">
        <v>446985</v>
      </c>
      <c r="M109" s="28">
        <v>282420</v>
      </c>
      <c r="N109" s="27" t="s">
        <v>54</v>
      </c>
      <c r="O109" s="28">
        <v>0</v>
      </c>
      <c r="P109" s="29">
        <v>0</v>
      </c>
      <c r="Q109" s="29">
        <v>0</v>
      </c>
      <c r="R109" s="29">
        <v>0</v>
      </c>
      <c r="S109" s="32">
        <v>2016</v>
      </c>
    </row>
    <row r="110" spans="1:19" x14ac:dyDescent="0.2">
      <c r="A110" s="25" t="s">
        <v>70</v>
      </c>
      <c r="B110" s="26" t="s">
        <v>2</v>
      </c>
      <c r="C110" s="26" t="s">
        <v>3</v>
      </c>
      <c r="D110" s="26" t="s">
        <v>75</v>
      </c>
      <c r="E110" s="26" t="s">
        <v>97</v>
      </c>
      <c r="F110" s="26" t="s">
        <v>75</v>
      </c>
      <c r="G110" s="26" t="s">
        <v>29</v>
      </c>
      <c r="H110" s="26" t="s">
        <v>38</v>
      </c>
      <c r="I110" s="27" t="s">
        <v>16</v>
      </c>
      <c r="J110" s="27" t="s">
        <v>18</v>
      </c>
      <c r="K110" s="28">
        <v>121133</v>
      </c>
      <c r="L110" s="28">
        <v>446985</v>
      </c>
      <c r="M110" s="28">
        <v>282420</v>
      </c>
      <c r="N110" s="27" t="s">
        <v>55</v>
      </c>
      <c r="O110" s="28">
        <v>0</v>
      </c>
      <c r="P110" s="29">
        <v>0</v>
      </c>
      <c r="Q110" s="29">
        <v>0</v>
      </c>
      <c r="R110" s="29">
        <v>0</v>
      </c>
      <c r="S110" s="32">
        <v>2016</v>
      </c>
    </row>
    <row r="111" spans="1:19" x14ac:dyDescent="0.2">
      <c r="A111" s="25" t="s">
        <v>70</v>
      </c>
      <c r="B111" s="26" t="s">
        <v>2</v>
      </c>
      <c r="C111" s="26" t="s">
        <v>3</v>
      </c>
      <c r="D111" s="26" t="s">
        <v>75</v>
      </c>
      <c r="E111" s="26" t="s">
        <v>97</v>
      </c>
      <c r="F111" s="26" t="s">
        <v>75</v>
      </c>
      <c r="G111" s="26" t="s">
        <v>29</v>
      </c>
      <c r="H111" s="26" t="s">
        <v>38</v>
      </c>
      <c r="I111" s="27" t="s">
        <v>16</v>
      </c>
      <c r="J111" s="27" t="s">
        <v>18</v>
      </c>
      <c r="K111" s="28">
        <v>121133</v>
      </c>
      <c r="L111" s="28">
        <v>446985</v>
      </c>
      <c r="M111" s="28">
        <v>282420</v>
      </c>
      <c r="N111" s="27" t="s">
        <v>56</v>
      </c>
      <c r="O111" s="28">
        <v>0</v>
      </c>
      <c r="P111" s="29">
        <v>0</v>
      </c>
      <c r="Q111" s="29">
        <v>0</v>
      </c>
      <c r="R111" s="29">
        <v>0</v>
      </c>
      <c r="S111" s="32">
        <v>2016</v>
      </c>
    </row>
    <row r="112" spans="1:19" x14ac:dyDescent="0.2">
      <c r="A112" s="25" t="s">
        <v>70</v>
      </c>
      <c r="B112" s="26" t="s">
        <v>2</v>
      </c>
      <c r="C112" s="26" t="s">
        <v>3</v>
      </c>
      <c r="D112" s="26" t="s">
        <v>75</v>
      </c>
      <c r="E112" s="26" t="s">
        <v>97</v>
      </c>
      <c r="F112" s="26" t="s">
        <v>75</v>
      </c>
      <c r="G112" s="26" t="s">
        <v>29</v>
      </c>
      <c r="H112" s="26" t="s">
        <v>38</v>
      </c>
      <c r="I112" s="27" t="s">
        <v>16</v>
      </c>
      <c r="J112" s="27" t="s">
        <v>18</v>
      </c>
      <c r="K112" s="28">
        <v>121133</v>
      </c>
      <c r="L112" s="28">
        <v>446985</v>
      </c>
      <c r="M112" s="28">
        <v>282420</v>
      </c>
      <c r="N112" s="27" t="s">
        <v>73</v>
      </c>
      <c r="O112" s="31">
        <v>14953541</v>
      </c>
      <c r="P112" s="29">
        <f>'Infrastructure Benchmarks - ref'!$O112/'Infrastructure Benchmarks - ref'!$K112</f>
        <v>123.44729347081308</v>
      </c>
      <c r="Q112" s="29">
        <f>'Infrastructure Benchmarks - ref'!$O112/'Infrastructure Benchmarks - ref'!$L112</f>
        <v>33.454234482141459</v>
      </c>
      <c r="R112" s="29">
        <f>'Infrastructure Benchmarks - ref'!$O112/'Infrastructure Benchmarks - ref'!$M112</f>
        <v>52.947882586219109</v>
      </c>
      <c r="S112" s="32">
        <v>2016</v>
      </c>
    </row>
    <row r="113" spans="1:19" x14ac:dyDescent="0.2">
      <c r="A113" s="25" t="s">
        <v>70</v>
      </c>
      <c r="B113" s="26" t="s">
        <v>2</v>
      </c>
      <c r="C113" s="26" t="s">
        <v>3</v>
      </c>
      <c r="D113" s="26" t="s">
        <v>75</v>
      </c>
      <c r="E113" s="26" t="s">
        <v>97</v>
      </c>
      <c r="F113" s="26" t="s">
        <v>75</v>
      </c>
      <c r="G113" s="26" t="s">
        <v>29</v>
      </c>
      <c r="H113" s="26" t="s">
        <v>38</v>
      </c>
      <c r="I113" s="27" t="s">
        <v>16</v>
      </c>
      <c r="J113" s="27" t="s">
        <v>18</v>
      </c>
      <c r="K113" s="28">
        <v>121133</v>
      </c>
      <c r="L113" s="28">
        <v>446985</v>
      </c>
      <c r="M113" s="28">
        <v>282420</v>
      </c>
      <c r="N113" s="27" t="s">
        <v>57</v>
      </c>
      <c r="O113" s="31">
        <v>10000000</v>
      </c>
      <c r="P113" s="29">
        <f>'Infrastructure Benchmarks - ref'!$O113/'Infrastructure Benchmarks - ref'!$K113</f>
        <v>82.553887049771745</v>
      </c>
      <c r="Q113" s="29">
        <f>'Infrastructure Benchmarks - ref'!$O113/'Infrastructure Benchmarks - ref'!$L113</f>
        <v>22.37211539537121</v>
      </c>
      <c r="R113" s="29">
        <f>'Infrastructure Benchmarks - ref'!$O113/'Infrastructure Benchmarks - ref'!$M113</f>
        <v>35.408257205580341</v>
      </c>
      <c r="S113" s="32">
        <v>2016</v>
      </c>
    </row>
    <row r="114" spans="1:19" x14ac:dyDescent="0.2">
      <c r="A114" s="25" t="s">
        <v>70</v>
      </c>
      <c r="B114" s="26" t="s">
        <v>2</v>
      </c>
      <c r="C114" s="26" t="s">
        <v>3</v>
      </c>
      <c r="D114" s="26" t="s">
        <v>75</v>
      </c>
      <c r="E114" s="26" t="s">
        <v>97</v>
      </c>
      <c r="F114" s="26" t="s">
        <v>75</v>
      </c>
      <c r="G114" s="26" t="s">
        <v>29</v>
      </c>
      <c r="H114" s="26" t="s">
        <v>38</v>
      </c>
      <c r="I114" s="27" t="s">
        <v>16</v>
      </c>
      <c r="J114" s="27" t="s">
        <v>18</v>
      </c>
      <c r="K114" s="28">
        <v>121133</v>
      </c>
      <c r="L114" s="28">
        <v>446985</v>
      </c>
      <c r="M114" s="28">
        <v>282420</v>
      </c>
      <c r="N114" s="27" t="s">
        <v>58</v>
      </c>
      <c r="O114" s="31">
        <v>18000000</v>
      </c>
      <c r="P114" s="29">
        <f>'Infrastructure Benchmarks - ref'!$O114/'Infrastructure Benchmarks - ref'!$K114</f>
        <v>148.59699668958913</v>
      </c>
      <c r="Q114" s="29">
        <f>'Infrastructure Benchmarks - ref'!$O114/'Infrastructure Benchmarks - ref'!$L114</f>
        <v>40.269807711668179</v>
      </c>
      <c r="R114" s="29">
        <f>'Infrastructure Benchmarks - ref'!$O114/'Infrastructure Benchmarks - ref'!$M114</f>
        <v>63.734862970044617</v>
      </c>
      <c r="S114" s="32">
        <v>2016</v>
      </c>
    </row>
    <row r="115" spans="1:19" x14ac:dyDescent="0.2">
      <c r="A115" s="25" t="s">
        <v>70</v>
      </c>
      <c r="B115" s="26" t="s">
        <v>2</v>
      </c>
      <c r="C115" s="26" t="s">
        <v>3</v>
      </c>
      <c r="D115" s="26" t="s">
        <v>75</v>
      </c>
      <c r="E115" s="26" t="s">
        <v>97</v>
      </c>
      <c r="F115" s="26" t="s">
        <v>75</v>
      </c>
      <c r="G115" s="26" t="s">
        <v>29</v>
      </c>
      <c r="H115" s="26" t="s">
        <v>38</v>
      </c>
      <c r="I115" s="27" t="s">
        <v>16</v>
      </c>
      <c r="J115" s="27" t="s">
        <v>18</v>
      </c>
      <c r="K115" s="28">
        <v>121133</v>
      </c>
      <c r="L115" s="28">
        <v>446985</v>
      </c>
      <c r="M115" s="28">
        <v>282420</v>
      </c>
      <c r="N115" s="27" t="s">
        <v>59</v>
      </c>
      <c r="O115" s="31">
        <v>1950000</v>
      </c>
      <c r="P115" s="29">
        <f>'Infrastructure Benchmarks - ref'!$O115/'Infrastructure Benchmarks - ref'!$K115</f>
        <v>16.098007974705489</v>
      </c>
      <c r="Q115" s="29">
        <f>'Infrastructure Benchmarks - ref'!$O115/'Infrastructure Benchmarks - ref'!$L115</f>
        <v>4.3625625020973855</v>
      </c>
      <c r="R115" s="29">
        <f>'Infrastructure Benchmarks - ref'!$O115/'Infrastructure Benchmarks - ref'!$M115</f>
        <v>6.9046101550881662</v>
      </c>
      <c r="S115" s="32">
        <v>2016</v>
      </c>
    </row>
    <row r="116" spans="1:19" x14ac:dyDescent="0.2">
      <c r="A116" s="25" t="s">
        <v>70</v>
      </c>
      <c r="B116" s="26" t="s">
        <v>2</v>
      </c>
      <c r="C116" s="26" t="s">
        <v>3</v>
      </c>
      <c r="D116" s="26" t="s">
        <v>75</v>
      </c>
      <c r="E116" s="26" t="s">
        <v>97</v>
      </c>
      <c r="F116" s="26" t="s">
        <v>75</v>
      </c>
      <c r="G116" s="26" t="s">
        <v>29</v>
      </c>
      <c r="H116" s="26" t="s">
        <v>38</v>
      </c>
      <c r="I116" s="27" t="s">
        <v>16</v>
      </c>
      <c r="J116" s="27" t="s">
        <v>18</v>
      </c>
      <c r="K116" s="28">
        <v>121133</v>
      </c>
      <c r="L116" s="28">
        <v>446985</v>
      </c>
      <c r="M116" s="28">
        <v>282420</v>
      </c>
      <c r="N116" s="27" t="s">
        <v>60</v>
      </c>
      <c r="O116" s="28">
        <v>0</v>
      </c>
      <c r="P116" s="29">
        <v>0</v>
      </c>
      <c r="Q116" s="29">
        <v>0</v>
      </c>
      <c r="R116" s="29">
        <v>0</v>
      </c>
      <c r="S116" s="32">
        <v>2016</v>
      </c>
    </row>
    <row r="117" spans="1:19" s="41" customFormat="1" ht="16" thickBot="1" x14ac:dyDescent="0.25">
      <c r="A117" s="35" t="s">
        <v>70</v>
      </c>
      <c r="B117" s="36" t="s">
        <v>2</v>
      </c>
      <c r="C117" s="36" t="s">
        <v>3</v>
      </c>
      <c r="D117" s="36" t="s">
        <v>75</v>
      </c>
      <c r="E117" s="36" t="s">
        <v>97</v>
      </c>
      <c r="F117" s="36" t="s">
        <v>75</v>
      </c>
      <c r="G117" s="36" t="s">
        <v>29</v>
      </c>
      <c r="H117" s="36" t="s">
        <v>38</v>
      </c>
      <c r="I117" s="37" t="s">
        <v>16</v>
      </c>
      <c r="J117" s="37" t="s">
        <v>18</v>
      </c>
      <c r="K117" s="38">
        <v>121133</v>
      </c>
      <c r="L117" s="38">
        <v>446985</v>
      </c>
      <c r="M117" s="38">
        <v>282420</v>
      </c>
      <c r="N117" s="37" t="s">
        <v>61</v>
      </c>
      <c r="O117" s="38">
        <v>14347888</v>
      </c>
      <c r="P117" s="39">
        <f>'Infrastructure Benchmarks - ref'!$O117/'Infrastructure Benchmarks - ref'!$K117</f>
        <v>118.44739253547753</v>
      </c>
      <c r="Q117" s="39">
        <f>'Infrastructure Benchmarks - ref'!$O117/'Infrastructure Benchmarks - ref'!$L117</f>
        <v>32.099260601586181</v>
      </c>
      <c r="R117" s="39">
        <f>'Infrastructure Benchmarks - ref'!$O117/'Infrastructure Benchmarks - ref'!$M117</f>
        <v>50.80337086608597</v>
      </c>
      <c r="S117" s="50">
        <v>2016</v>
      </c>
    </row>
    <row r="118" spans="1:19" ht="16" thickTop="1" x14ac:dyDescent="0.2">
      <c r="A118" s="33" t="s">
        <v>70</v>
      </c>
      <c r="B118" s="1" t="s">
        <v>2</v>
      </c>
      <c r="C118" s="1" t="s">
        <v>3</v>
      </c>
      <c r="D118" s="1" t="s">
        <v>76</v>
      </c>
      <c r="E118" s="1" t="s">
        <v>96</v>
      </c>
      <c r="F118" s="1" t="s">
        <v>76</v>
      </c>
      <c r="G118" s="1" t="s">
        <v>29</v>
      </c>
      <c r="H118" s="1" t="s">
        <v>38</v>
      </c>
      <c r="I118" s="4" t="s">
        <v>16</v>
      </c>
      <c r="J118" s="4" t="s">
        <v>18</v>
      </c>
      <c r="K118" s="7">
        <v>222037</v>
      </c>
      <c r="L118" s="7">
        <v>645627</v>
      </c>
      <c r="M118" s="7">
        <v>310994</v>
      </c>
      <c r="N118" s="4" t="s">
        <v>24</v>
      </c>
      <c r="O118" s="7">
        <v>21403986</v>
      </c>
      <c r="P118" s="2">
        <f>'Infrastructure Benchmarks - ref'!$O118/'Infrastructure Benchmarks - ref'!$K118</f>
        <v>96.398284970522937</v>
      </c>
      <c r="Q118" s="2">
        <f>'Infrastructure Benchmarks - ref'!$O118/'Infrastructure Benchmarks - ref'!$L118</f>
        <v>33.152247350250221</v>
      </c>
      <c r="R118" s="2">
        <f>'Infrastructure Benchmarks - ref'!$O118/'Infrastructure Benchmarks - ref'!$M118</f>
        <v>68.824433911908272</v>
      </c>
      <c r="S118" s="34">
        <v>2016</v>
      </c>
    </row>
    <row r="119" spans="1:19" x14ac:dyDescent="0.2">
      <c r="A119" s="25" t="s">
        <v>70</v>
      </c>
      <c r="B119" s="26" t="s">
        <v>2</v>
      </c>
      <c r="C119" s="26" t="s">
        <v>3</v>
      </c>
      <c r="D119" s="26" t="s">
        <v>76</v>
      </c>
      <c r="E119" s="26" t="s">
        <v>96</v>
      </c>
      <c r="F119" s="26" t="s">
        <v>76</v>
      </c>
      <c r="G119" s="26" t="s">
        <v>29</v>
      </c>
      <c r="H119" s="26" t="s">
        <v>38</v>
      </c>
      <c r="I119" s="27" t="s">
        <v>16</v>
      </c>
      <c r="J119" s="27" t="s">
        <v>18</v>
      </c>
      <c r="K119" s="28">
        <v>222037</v>
      </c>
      <c r="L119" s="28">
        <v>645627</v>
      </c>
      <c r="M119" s="28">
        <v>310994</v>
      </c>
      <c r="N119" s="27" t="s">
        <v>44</v>
      </c>
      <c r="O119" s="28">
        <v>0</v>
      </c>
      <c r="P119" s="29">
        <v>0</v>
      </c>
      <c r="Q119" s="29">
        <v>0</v>
      </c>
      <c r="R119" s="29">
        <v>0</v>
      </c>
      <c r="S119" s="30">
        <v>2016</v>
      </c>
    </row>
    <row r="120" spans="1:19" x14ac:dyDescent="0.2">
      <c r="A120" s="25" t="s">
        <v>70</v>
      </c>
      <c r="B120" s="26" t="s">
        <v>2</v>
      </c>
      <c r="C120" s="26" t="s">
        <v>3</v>
      </c>
      <c r="D120" s="26" t="s">
        <v>76</v>
      </c>
      <c r="E120" s="26" t="s">
        <v>96</v>
      </c>
      <c r="F120" s="26" t="s">
        <v>76</v>
      </c>
      <c r="G120" s="26" t="s">
        <v>29</v>
      </c>
      <c r="H120" s="26" t="s">
        <v>38</v>
      </c>
      <c r="I120" s="27" t="s">
        <v>16</v>
      </c>
      <c r="J120" s="27" t="s">
        <v>18</v>
      </c>
      <c r="K120" s="28">
        <v>222037</v>
      </c>
      <c r="L120" s="28">
        <v>645627</v>
      </c>
      <c r="M120" s="28">
        <v>310994</v>
      </c>
      <c r="N120" s="27" t="s">
        <v>45</v>
      </c>
      <c r="O120" s="31">
        <v>2074781</v>
      </c>
      <c r="P120" s="29">
        <f>'Infrastructure Benchmarks - ref'!$O120/'Infrastructure Benchmarks - ref'!$K120</f>
        <v>9.3443029765309387</v>
      </c>
      <c r="Q120" s="29">
        <f>'Infrastructure Benchmarks - ref'!$O120/'Infrastructure Benchmarks - ref'!$L120</f>
        <v>3.2135908194669676</v>
      </c>
      <c r="R120" s="29">
        <f>'Infrastructure Benchmarks - ref'!$O120/'Infrastructure Benchmarks - ref'!$M120</f>
        <v>6.671450253059545</v>
      </c>
      <c r="S120" s="30">
        <v>2016</v>
      </c>
    </row>
    <row r="121" spans="1:19" x14ac:dyDescent="0.2">
      <c r="A121" s="25" t="s">
        <v>70</v>
      </c>
      <c r="B121" s="26" t="s">
        <v>2</v>
      </c>
      <c r="C121" s="26" t="s">
        <v>3</v>
      </c>
      <c r="D121" s="26" t="s">
        <v>76</v>
      </c>
      <c r="E121" s="26" t="s">
        <v>96</v>
      </c>
      <c r="F121" s="26" t="s">
        <v>76</v>
      </c>
      <c r="G121" s="26" t="s">
        <v>29</v>
      </c>
      <c r="H121" s="26" t="s">
        <v>38</v>
      </c>
      <c r="I121" s="27" t="s">
        <v>16</v>
      </c>
      <c r="J121" s="27" t="s">
        <v>18</v>
      </c>
      <c r="K121" s="28">
        <v>222037</v>
      </c>
      <c r="L121" s="28">
        <v>645627</v>
      </c>
      <c r="M121" s="28">
        <v>310994</v>
      </c>
      <c r="N121" s="27" t="s">
        <v>14</v>
      </c>
      <c r="O121" s="31">
        <v>9962199</v>
      </c>
      <c r="P121" s="29">
        <f>'Infrastructure Benchmarks - ref'!$O121/'Infrastructure Benchmarks - ref'!$K121</f>
        <v>44.86729238820557</v>
      </c>
      <c r="Q121" s="29">
        <f>'Infrastructure Benchmarks - ref'!$O121/'Infrastructure Benchmarks - ref'!$L121</f>
        <v>15.430270109521443</v>
      </c>
      <c r="R121" s="29">
        <f>'Infrastructure Benchmarks - ref'!$O121/'Infrastructure Benchmarks - ref'!$M121</f>
        <v>32.033412220171449</v>
      </c>
      <c r="S121" s="30">
        <v>2016</v>
      </c>
    </row>
    <row r="122" spans="1:19" x14ac:dyDescent="0.2">
      <c r="A122" s="25" t="s">
        <v>70</v>
      </c>
      <c r="B122" s="26" t="s">
        <v>2</v>
      </c>
      <c r="C122" s="26" t="s">
        <v>3</v>
      </c>
      <c r="D122" s="26" t="s">
        <v>76</v>
      </c>
      <c r="E122" s="26" t="s">
        <v>96</v>
      </c>
      <c r="F122" s="26" t="s">
        <v>76</v>
      </c>
      <c r="G122" s="26" t="s">
        <v>29</v>
      </c>
      <c r="H122" s="26" t="s">
        <v>38</v>
      </c>
      <c r="I122" s="27" t="s">
        <v>16</v>
      </c>
      <c r="J122" s="27" t="s">
        <v>18</v>
      </c>
      <c r="K122" s="28">
        <v>222037</v>
      </c>
      <c r="L122" s="28">
        <v>645627</v>
      </c>
      <c r="M122" s="28">
        <v>310994</v>
      </c>
      <c r="N122" s="27" t="s">
        <v>22</v>
      </c>
      <c r="O122" s="28">
        <v>12680714</v>
      </c>
      <c r="P122" s="29">
        <f>'Infrastructure Benchmarks - ref'!$O122/'Infrastructure Benchmarks - ref'!$K122</f>
        <v>57.110814864189301</v>
      </c>
      <c r="Q122" s="29">
        <f>'Infrastructure Benchmarks - ref'!$O122/'Infrastructure Benchmarks - ref'!$L122</f>
        <v>19.640928895476801</v>
      </c>
      <c r="R122" s="29">
        <f>'Infrastructure Benchmarks - ref'!$O122/'Infrastructure Benchmarks - ref'!$M122</f>
        <v>40.774786651832514</v>
      </c>
      <c r="S122" s="30">
        <v>2016</v>
      </c>
    </row>
    <row r="123" spans="1:19" x14ac:dyDescent="0.2">
      <c r="A123" s="25" t="s">
        <v>70</v>
      </c>
      <c r="B123" s="26" t="s">
        <v>2</v>
      </c>
      <c r="C123" s="26" t="s">
        <v>3</v>
      </c>
      <c r="D123" s="26" t="s">
        <v>76</v>
      </c>
      <c r="E123" s="26" t="s">
        <v>96</v>
      </c>
      <c r="F123" s="26" t="s">
        <v>76</v>
      </c>
      <c r="G123" s="26" t="s">
        <v>29</v>
      </c>
      <c r="H123" s="26" t="s">
        <v>38</v>
      </c>
      <c r="I123" s="27" t="s">
        <v>16</v>
      </c>
      <c r="J123" s="27" t="s">
        <v>18</v>
      </c>
      <c r="K123" s="28">
        <v>222037</v>
      </c>
      <c r="L123" s="28">
        <v>645627</v>
      </c>
      <c r="M123" s="28">
        <v>310994</v>
      </c>
      <c r="N123" s="27" t="s">
        <v>20</v>
      </c>
      <c r="O123" s="28">
        <v>18666427</v>
      </c>
      <c r="P123" s="29">
        <f>'Infrastructure Benchmarks - ref'!$O123/'Infrastructure Benchmarks - ref'!$K123</f>
        <v>84.068993005670222</v>
      </c>
      <c r="Q123" s="29">
        <f>'Infrastructure Benchmarks - ref'!$O123/'Infrastructure Benchmarks - ref'!$L123</f>
        <v>28.912091656637656</v>
      </c>
      <c r="R123" s="29">
        <f>'Infrastructure Benchmarks - ref'!$O123/'Infrastructure Benchmarks - ref'!$M123</f>
        <v>60.021823572158951</v>
      </c>
      <c r="S123" s="30">
        <v>2016</v>
      </c>
    </row>
    <row r="124" spans="1:19" x14ac:dyDescent="0.2">
      <c r="A124" s="25" t="s">
        <v>70</v>
      </c>
      <c r="B124" s="26" t="s">
        <v>2</v>
      </c>
      <c r="C124" s="26" t="s">
        <v>3</v>
      </c>
      <c r="D124" s="26" t="s">
        <v>76</v>
      </c>
      <c r="E124" s="26" t="s">
        <v>96</v>
      </c>
      <c r="F124" s="26" t="s">
        <v>76</v>
      </c>
      <c r="G124" s="26" t="s">
        <v>29</v>
      </c>
      <c r="H124" s="26" t="s">
        <v>38</v>
      </c>
      <c r="I124" s="27" t="s">
        <v>16</v>
      </c>
      <c r="J124" s="27" t="s">
        <v>18</v>
      </c>
      <c r="K124" s="28">
        <v>222037</v>
      </c>
      <c r="L124" s="28">
        <v>645627</v>
      </c>
      <c r="M124" s="28">
        <v>310994</v>
      </c>
      <c r="N124" s="27" t="s">
        <v>23</v>
      </c>
      <c r="O124" s="31">
        <v>12618555</v>
      </c>
      <c r="P124" s="29">
        <f>'Infrastructure Benchmarks - ref'!$O124/'Infrastructure Benchmarks - ref'!$K124</f>
        <v>56.830866026833363</v>
      </c>
      <c r="Q124" s="29">
        <f>'Infrastructure Benchmarks - ref'!$O124/'Infrastructure Benchmarks - ref'!$L124</f>
        <v>19.54465194299495</v>
      </c>
      <c r="R124" s="29">
        <f>'Infrastructure Benchmarks - ref'!$O124/'Infrastructure Benchmarks - ref'!$M124</f>
        <v>40.574914628578043</v>
      </c>
      <c r="S124" s="32">
        <v>2016</v>
      </c>
    </row>
    <row r="125" spans="1:19" x14ac:dyDescent="0.2">
      <c r="A125" s="25" t="s">
        <v>70</v>
      </c>
      <c r="B125" s="26" t="s">
        <v>2</v>
      </c>
      <c r="C125" s="26" t="s">
        <v>3</v>
      </c>
      <c r="D125" s="26" t="s">
        <v>76</v>
      </c>
      <c r="E125" s="26" t="s">
        <v>96</v>
      </c>
      <c r="F125" s="26" t="s">
        <v>76</v>
      </c>
      <c r="G125" s="26" t="s">
        <v>29</v>
      </c>
      <c r="H125" s="26" t="s">
        <v>38</v>
      </c>
      <c r="I125" s="27" t="s">
        <v>16</v>
      </c>
      <c r="J125" s="27" t="s">
        <v>18</v>
      </c>
      <c r="K125" s="28">
        <v>222037</v>
      </c>
      <c r="L125" s="28">
        <v>645627</v>
      </c>
      <c r="M125" s="28">
        <v>310994</v>
      </c>
      <c r="N125" s="27" t="s">
        <v>43</v>
      </c>
      <c r="O125" s="31">
        <v>14591633</v>
      </c>
      <c r="P125" s="29">
        <f>'Infrastructure Benchmarks - ref'!$O125/'Infrastructure Benchmarks - ref'!$K125</f>
        <v>65.717123722622802</v>
      </c>
      <c r="Q125" s="29">
        <f>'Infrastructure Benchmarks - ref'!$O125/'Infrastructure Benchmarks - ref'!$L125</f>
        <v>22.600716822561633</v>
      </c>
      <c r="R125" s="29">
        <f>'Infrastructure Benchmarks - ref'!$O125/'Infrastructure Benchmarks - ref'!$M125</f>
        <v>46.919339279857489</v>
      </c>
      <c r="S125" s="32">
        <v>2016</v>
      </c>
    </row>
    <row r="126" spans="1:19" x14ac:dyDescent="0.2">
      <c r="A126" s="25" t="s">
        <v>70</v>
      </c>
      <c r="B126" s="26" t="s">
        <v>2</v>
      </c>
      <c r="C126" s="26" t="s">
        <v>3</v>
      </c>
      <c r="D126" s="26" t="s">
        <v>76</v>
      </c>
      <c r="E126" s="26" t="s">
        <v>96</v>
      </c>
      <c r="F126" s="26" t="s">
        <v>76</v>
      </c>
      <c r="G126" s="26" t="s">
        <v>29</v>
      </c>
      <c r="H126" s="26" t="s">
        <v>38</v>
      </c>
      <c r="I126" s="27" t="s">
        <v>16</v>
      </c>
      <c r="J126" s="27" t="s">
        <v>18</v>
      </c>
      <c r="K126" s="28">
        <v>222037</v>
      </c>
      <c r="L126" s="28">
        <v>645627</v>
      </c>
      <c r="M126" s="28">
        <v>310994</v>
      </c>
      <c r="N126" s="27" t="s">
        <v>46</v>
      </c>
      <c r="O126" s="28">
        <v>0</v>
      </c>
      <c r="P126" s="29">
        <v>0</v>
      </c>
      <c r="Q126" s="29">
        <v>0</v>
      </c>
      <c r="R126" s="29">
        <v>0</v>
      </c>
      <c r="S126" s="32">
        <v>2016</v>
      </c>
    </row>
    <row r="127" spans="1:19" x14ac:dyDescent="0.2">
      <c r="A127" s="25" t="s">
        <v>70</v>
      </c>
      <c r="B127" s="26" t="s">
        <v>2</v>
      </c>
      <c r="C127" s="26" t="s">
        <v>3</v>
      </c>
      <c r="D127" s="26" t="s">
        <v>76</v>
      </c>
      <c r="E127" s="26" t="s">
        <v>96</v>
      </c>
      <c r="F127" s="26" t="s">
        <v>76</v>
      </c>
      <c r="G127" s="26" t="s">
        <v>29</v>
      </c>
      <c r="H127" s="26" t="s">
        <v>38</v>
      </c>
      <c r="I127" s="27" t="s">
        <v>16</v>
      </c>
      <c r="J127" s="27" t="s">
        <v>18</v>
      </c>
      <c r="K127" s="28">
        <v>222037</v>
      </c>
      <c r="L127" s="28">
        <v>645627</v>
      </c>
      <c r="M127" s="28">
        <v>310994</v>
      </c>
      <c r="N127" s="27" t="s">
        <v>34</v>
      </c>
      <c r="O127" s="31">
        <v>3600347</v>
      </c>
      <c r="P127" s="29">
        <f>'Infrastructure Benchmarks - ref'!$O127/'Infrastructure Benchmarks - ref'!$K127</f>
        <v>16.215076766484867</v>
      </c>
      <c r="Q127" s="29">
        <f>'Infrastructure Benchmarks - ref'!$O127/'Infrastructure Benchmarks - ref'!$L127</f>
        <v>5.5765124444919438</v>
      </c>
      <c r="R127" s="29">
        <f>'Infrastructure Benchmarks - ref'!$O127/'Infrastructure Benchmarks - ref'!$M127</f>
        <v>11.576901805179521</v>
      </c>
      <c r="S127" s="32">
        <v>2016</v>
      </c>
    </row>
    <row r="128" spans="1:19" x14ac:dyDescent="0.2">
      <c r="A128" s="25" t="s">
        <v>70</v>
      </c>
      <c r="B128" s="26" t="s">
        <v>2</v>
      </c>
      <c r="C128" s="26" t="s">
        <v>3</v>
      </c>
      <c r="D128" s="26" t="s">
        <v>76</v>
      </c>
      <c r="E128" s="26" t="s">
        <v>96</v>
      </c>
      <c r="F128" s="26" t="s">
        <v>76</v>
      </c>
      <c r="G128" s="26" t="s">
        <v>29</v>
      </c>
      <c r="H128" s="26" t="s">
        <v>38</v>
      </c>
      <c r="I128" s="27" t="s">
        <v>16</v>
      </c>
      <c r="J128" s="27" t="s">
        <v>18</v>
      </c>
      <c r="K128" s="28">
        <v>222037</v>
      </c>
      <c r="L128" s="28">
        <v>645627</v>
      </c>
      <c r="M128" s="28">
        <v>310994</v>
      </c>
      <c r="N128" s="27" t="s">
        <v>26</v>
      </c>
      <c r="O128" s="31">
        <v>49209846</v>
      </c>
      <c r="P128" s="29">
        <f>'Infrastructure Benchmarks - ref'!$O128/'Infrastructure Benchmarks - ref'!$K128</f>
        <v>221.62903480050622</v>
      </c>
      <c r="Q128" s="29">
        <f>'Infrastructure Benchmarks - ref'!$O128/'Infrastructure Benchmarks - ref'!$L128</f>
        <v>76.220241718515496</v>
      </c>
      <c r="R128" s="29">
        <f>'Infrastructure Benchmarks - ref'!$O128/'Infrastructure Benchmarks - ref'!$M128</f>
        <v>158.23406882447892</v>
      </c>
      <c r="S128" s="32">
        <v>2016</v>
      </c>
    </row>
    <row r="129" spans="1:19" x14ac:dyDescent="0.2">
      <c r="A129" s="25" t="s">
        <v>70</v>
      </c>
      <c r="B129" s="26" t="s">
        <v>2</v>
      </c>
      <c r="C129" s="26" t="s">
        <v>3</v>
      </c>
      <c r="D129" s="26" t="s">
        <v>76</v>
      </c>
      <c r="E129" s="26" t="s">
        <v>96</v>
      </c>
      <c r="F129" s="26" t="s">
        <v>76</v>
      </c>
      <c r="G129" s="26" t="s">
        <v>29</v>
      </c>
      <c r="H129" s="26" t="s">
        <v>38</v>
      </c>
      <c r="I129" s="27" t="s">
        <v>16</v>
      </c>
      <c r="J129" s="27" t="s">
        <v>18</v>
      </c>
      <c r="K129" s="28">
        <v>222037</v>
      </c>
      <c r="L129" s="28">
        <v>645627</v>
      </c>
      <c r="M129" s="28">
        <v>310994</v>
      </c>
      <c r="N129" s="27" t="s">
        <v>28</v>
      </c>
      <c r="O129" s="31">
        <v>6141800</v>
      </c>
      <c r="P129" s="29">
        <f>'Infrastructure Benchmarks - ref'!$O129/'Infrastructure Benchmarks - ref'!$K129</f>
        <v>27.661155573170237</v>
      </c>
      <c r="Q129" s="29">
        <f>'Infrastructure Benchmarks - ref'!$O129/'Infrastructure Benchmarks - ref'!$L129</f>
        <v>9.5129230964628189</v>
      </c>
      <c r="R129" s="29">
        <f>'Infrastructure Benchmarks - ref'!$O129/'Infrastructure Benchmarks - ref'!$M129</f>
        <v>19.748934063036586</v>
      </c>
      <c r="S129" s="32">
        <v>2016</v>
      </c>
    </row>
    <row r="130" spans="1:19" x14ac:dyDescent="0.2">
      <c r="A130" s="25" t="s">
        <v>70</v>
      </c>
      <c r="B130" s="26" t="s">
        <v>2</v>
      </c>
      <c r="C130" s="26" t="s">
        <v>3</v>
      </c>
      <c r="D130" s="26" t="s">
        <v>76</v>
      </c>
      <c r="E130" s="26" t="s">
        <v>96</v>
      </c>
      <c r="F130" s="26" t="s">
        <v>76</v>
      </c>
      <c r="G130" s="26" t="s">
        <v>29</v>
      </c>
      <c r="H130" s="26" t="s">
        <v>38</v>
      </c>
      <c r="I130" s="27" t="s">
        <v>16</v>
      </c>
      <c r="J130" s="27" t="s">
        <v>18</v>
      </c>
      <c r="K130" s="28">
        <v>222037</v>
      </c>
      <c r="L130" s="28">
        <v>645627</v>
      </c>
      <c r="M130" s="28">
        <v>310994</v>
      </c>
      <c r="N130" s="27" t="s">
        <v>47</v>
      </c>
      <c r="O130" s="28">
        <v>2714367</v>
      </c>
      <c r="P130" s="29">
        <f>'Infrastructure Benchmarks - ref'!$O130/'Infrastructure Benchmarks - ref'!$K130</f>
        <v>12.224840904894229</v>
      </c>
      <c r="Q130" s="29">
        <f>'Infrastructure Benchmarks - ref'!$O130/'Infrastructure Benchmarks - ref'!$L130</f>
        <v>4.204234023670014</v>
      </c>
      <c r="R130" s="29">
        <f>'Infrastructure Benchmarks - ref'!$O130/'Infrastructure Benchmarks - ref'!$M130</f>
        <v>8.7280365537598801</v>
      </c>
      <c r="S130" s="30">
        <v>2016</v>
      </c>
    </row>
    <row r="131" spans="1:19" x14ac:dyDescent="0.2">
      <c r="A131" s="25" t="s">
        <v>70</v>
      </c>
      <c r="B131" s="26" t="s">
        <v>2</v>
      </c>
      <c r="C131" s="26" t="s">
        <v>3</v>
      </c>
      <c r="D131" s="26" t="s">
        <v>76</v>
      </c>
      <c r="E131" s="26" t="s">
        <v>96</v>
      </c>
      <c r="F131" s="26" t="s">
        <v>76</v>
      </c>
      <c r="G131" s="26" t="s">
        <v>29</v>
      </c>
      <c r="H131" s="26" t="s">
        <v>38</v>
      </c>
      <c r="I131" s="27" t="s">
        <v>16</v>
      </c>
      <c r="J131" s="27" t="s">
        <v>18</v>
      </c>
      <c r="K131" s="28">
        <v>222037</v>
      </c>
      <c r="L131" s="28">
        <v>645627</v>
      </c>
      <c r="M131" s="28">
        <v>310994</v>
      </c>
      <c r="N131" s="27" t="s">
        <v>27</v>
      </c>
      <c r="O131" s="31">
        <v>6634695</v>
      </c>
      <c r="P131" s="29">
        <f>'Infrastructure Benchmarks - ref'!$O131/'Infrastructure Benchmarks - ref'!$K131</f>
        <v>29.881033341289964</v>
      </c>
      <c r="Q131" s="29">
        <f>'Infrastructure Benchmarks - ref'!$O131/'Infrastructure Benchmarks - ref'!$L131</f>
        <v>10.276359260068119</v>
      </c>
      <c r="R131" s="29">
        <f>'Infrastructure Benchmarks - ref'!$O131/'Infrastructure Benchmarks - ref'!$M131</f>
        <v>21.333836022559922</v>
      </c>
      <c r="S131" s="32">
        <v>2016</v>
      </c>
    </row>
    <row r="132" spans="1:19" x14ac:dyDescent="0.2">
      <c r="A132" s="25" t="s">
        <v>70</v>
      </c>
      <c r="B132" s="26" t="s">
        <v>2</v>
      </c>
      <c r="C132" s="26" t="s">
        <v>3</v>
      </c>
      <c r="D132" s="26" t="s">
        <v>76</v>
      </c>
      <c r="E132" s="26" t="s">
        <v>96</v>
      </c>
      <c r="F132" s="26" t="s">
        <v>76</v>
      </c>
      <c r="G132" s="26" t="s">
        <v>29</v>
      </c>
      <c r="H132" s="26" t="s">
        <v>38</v>
      </c>
      <c r="I132" s="27" t="s">
        <v>16</v>
      </c>
      <c r="J132" s="27" t="s">
        <v>18</v>
      </c>
      <c r="K132" s="28">
        <v>222037</v>
      </c>
      <c r="L132" s="28">
        <v>645627</v>
      </c>
      <c r="M132" s="28">
        <v>310994</v>
      </c>
      <c r="N132" s="27" t="s">
        <v>48</v>
      </c>
      <c r="O132" s="28">
        <v>0</v>
      </c>
      <c r="P132" s="29">
        <v>0</v>
      </c>
      <c r="Q132" s="29">
        <v>0</v>
      </c>
      <c r="R132" s="29">
        <v>0</v>
      </c>
      <c r="S132" s="32">
        <v>2016</v>
      </c>
    </row>
    <row r="133" spans="1:19" x14ac:dyDescent="0.2">
      <c r="A133" s="25" t="s">
        <v>70</v>
      </c>
      <c r="B133" s="26" t="s">
        <v>2</v>
      </c>
      <c r="C133" s="26" t="s">
        <v>3</v>
      </c>
      <c r="D133" s="26" t="s">
        <v>76</v>
      </c>
      <c r="E133" s="26" t="s">
        <v>96</v>
      </c>
      <c r="F133" s="26" t="s">
        <v>76</v>
      </c>
      <c r="G133" s="26" t="s">
        <v>29</v>
      </c>
      <c r="H133" s="26" t="s">
        <v>38</v>
      </c>
      <c r="I133" s="27" t="s">
        <v>16</v>
      </c>
      <c r="J133" s="27" t="s">
        <v>18</v>
      </c>
      <c r="K133" s="28">
        <v>222037</v>
      </c>
      <c r="L133" s="28">
        <v>645627</v>
      </c>
      <c r="M133" s="28">
        <v>310994</v>
      </c>
      <c r="N133" s="27" t="s">
        <v>49</v>
      </c>
      <c r="O133" s="28">
        <v>0</v>
      </c>
      <c r="P133" s="29">
        <v>0</v>
      </c>
      <c r="Q133" s="29">
        <v>0</v>
      </c>
      <c r="R133" s="29">
        <v>0</v>
      </c>
      <c r="S133" s="32">
        <v>2016</v>
      </c>
    </row>
    <row r="134" spans="1:19" x14ac:dyDescent="0.2">
      <c r="A134" s="25" t="s">
        <v>70</v>
      </c>
      <c r="B134" s="26" t="s">
        <v>2</v>
      </c>
      <c r="C134" s="26" t="s">
        <v>3</v>
      </c>
      <c r="D134" s="26" t="s">
        <v>76</v>
      </c>
      <c r="E134" s="26" t="s">
        <v>96</v>
      </c>
      <c r="F134" s="26" t="s">
        <v>76</v>
      </c>
      <c r="G134" s="26" t="s">
        <v>29</v>
      </c>
      <c r="H134" s="26" t="s">
        <v>38</v>
      </c>
      <c r="I134" s="27" t="s">
        <v>16</v>
      </c>
      <c r="J134" s="27" t="s">
        <v>18</v>
      </c>
      <c r="K134" s="28">
        <v>222037</v>
      </c>
      <c r="L134" s="28">
        <v>645627</v>
      </c>
      <c r="M134" s="28">
        <v>310994</v>
      </c>
      <c r="N134" s="27" t="s">
        <v>50</v>
      </c>
      <c r="O134" s="28">
        <v>0</v>
      </c>
      <c r="P134" s="29">
        <v>0</v>
      </c>
      <c r="Q134" s="29">
        <v>0</v>
      </c>
      <c r="R134" s="29">
        <v>0</v>
      </c>
      <c r="S134" s="32">
        <v>2016</v>
      </c>
    </row>
    <row r="135" spans="1:19" x14ac:dyDescent="0.2">
      <c r="A135" s="25" t="s">
        <v>70</v>
      </c>
      <c r="B135" s="26" t="s">
        <v>2</v>
      </c>
      <c r="C135" s="26" t="s">
        <v>3</v>
      </c>
      <c r="D135" s="26" t="s">
        <v>76</v>
      </c>
      <c r="E135" s="26" t="s">
        <v>96</v>
      </c>
      <c r="F135" s="26" t="s">
        <v>76</v>
      </c>
      <c r="G135" s="26" t="s">
        <v>29</v>
      </c>
      <c r="H135" s="26" t="s">
        <v>38</v>
      </c>
      <c r="I135" s="27" t="s">
        <v>16</v>
      </c>
      <c r="J135" s="27" t="s">
        <v>18</v>
      </c>
      <c r="K135" s="28">
        <v>222037</v>
      </c>
      <c r="L135" s="28">
        <v>645627</v>
      </c>
      <c r="M135" s="28">
        <v>310994</v>
      </c>
      <c r="N135" s="27" t="s">
        <v>51</v>
      </c>
      <c r="O135" s="28">
        <v>3731615</v>
      </c>
      <c r="P135" s="29">
        <f>'Infrastructure Benchmarks - ref'!$O135/'Infrastructure Benchmarks - ref'!$K135</f>
        <v>16.806275530654801</v>
      </c>
      <c r="Q135" s="29">
        <f>'Infrastructure Benchmarks - ref'!$O135/'Infrastructure Benchmarks - ref'!$L135</f>
        <v>5.7798310789356702</v>
      </c>
      <c r="R135" s="29">
        <f>'Infrastructure Benchmarks - ref'!$O135/'Infrastructure Benchmarks - ref'!$M135</f>
        <v>11.998993549714786</v>
      </c>
      <c r="S135" s="32">
        <v>2016</v>
      </c>
    </row>
    <row r="136" spans="1:19" x14ac:dyDescent="0.2">
      <c r="A136" s="25" t="s">
        <v>70</v>
      </c>
      <c r="B136" s="26" t="s">
        <v>2</v>
      </c>
      <c r="C136" s="26" t="s">
        <v>3</v>
      </c>
      <c r="D136" s="26" t="s">
        <v>76</v>
      </c>
      <c r="E136" s="26" t="s">
        <v>96</v>
      </c>
      <c r="F136" s="26" t="s">
        <v>76</v>
      </c>
      <c r="G136" s="26" t="s">
        <v>29</v>
      </c>
      <c r="H136" s="26" t="s">
        <v>38</v>
      </c>
      <c r="I136" s="27" t="s">
        <v>16</v>
      </c>
      <c r="J136" s="27" t="s">
        <v>18</v>
      </c>
      <c r="K136" s="28">
        <v>222037</v>
      </c>
      <c r="L136" s="28">
        <v>645627</v>
      </c>
      <c r="M136" s="28">
        <v>310994</v>
      </c>
      <c r="N136" s="27" t="s">
        <v>52</v>
      </c>
      <c r="O136" s="28">
        <v>0</v>
      </c>
      <c r="P136" s="29">
        <v>0</v>
      </c>
      <c r="Q136" s="29">
        <v>0</v>
      </c>
      <c r="R136" s="29">
        <v>0</v>
      </c>
      <c r="S136" s="32">
        <v>2016</v>
      </c>
    </row>
    <row r="137" spans="1:19" x14ac:dyDescent="0.2">
      <c r="A137" s="25" t="s">
        <v>70</v>
      </c>
      <c r="B137" s="26" t="s">
        <v>2</v>
      </c>
      <c r="C137" s="26" t="s">
        <v>3</v>
      </c>
      <c r="D137" s="26" t="s">
        <v>76</v>
      </c>
      <c r="E137" s="26" t="s">
        <v>96</v>
      </c>
      <c r="F137" s="26" t="s">
        <v>76</v>
      </c>
      <c r="G137" s="26" t="s">
        <v>29</v>
      </c>
      <c r="H137" s="26" t="s">
        <v>38</v>
      </c>
      <c r="I137" s="27" t="s">
        <v>16</v>
      </c>
      <c r="J137" s="27" t="s">
        <v>18</v>
      </c>
      <c r="K137" s="28">
        <v>222037</v>
      </c>
      <c r="L137" s="28">
        <v>645627</v>
      </c>
      <c r="M137" s="28">
        <v>310994</v>
      </c>
      <c r="N137" s="27" t="s">
        <v>53</v>
      </c>
      <c r="O137" s="28">
        <v>0</v>
      </c>
      <c r="P137" s="29">
        <v>0</v>
      </c>
      <c r="Q137" s="29">
        <v>0</v>
      </c>
      <c r="R137" s="29">
        <v>0</v>
      </c>
      <c r="S137" s="32">
        <v>2016</v>
      </c>
    </row>
    <row r="138" spans="1:19" x14ac:dyDescent="0.2">
      <c r="A138" s="25" t="s">
        <v>70</v>
      </c>
      <c r="B138" s="26" t="s">
        <v>2</v>
      </c>
      <c r="C138" s="26" t="s">
        <v>3</v>
      </c>
      <c r="D138" s="26" t="s">
        <v>76</v>
      </c>
      <c r="E138" s="26" t="s">
        <v>96</v>
      </c>
      <c r="F138" s="26" t="s">
        <v>76</v>
      </c>
      <c r="G138" s="26" t="s">
        <v>29</v>
      </c>
      <c r="H138" s="26" t="s">
        <v>38</v>
      </c>
      <c r="I138" s="27" t="s">
        <v>16</v>
      </c>
      <c r="J138" s="27" t="s">
        <v>18</v>
      </c>
      <c r="K138" s="28">
        <v>222037</v>
      </c>
      <c r="L138" s="28">
        <v>645627</v>
      </c>
      <c r="M138" s="28">
        <v>310994</v>
      </c>
      <c r="N138" s="27" t="s">
        <v>54</v>
      </c>
      <c r="O138" s="28">
        <v>0</v>
      </c>
      <c r="P138" s="29">
        <v>0</v>
      </c>
      <c r="Q138" s="29">
        <v>0</v>
      </c>
      <c r="R138" s="29">
        <v>0</v>
      </c>
      <c r="S138" s="32">
        <v>2016</v>
      </c>
    </row>
    <row r="139" spans="1:19" x14ac:dyDescent="0.2">
      <c r="A139" s="25" t="s">
        <v>70</v>
      </c>
      <c r="B139" s="26" t="s">
        <v>2</v>
      </c>
      <c r="C139" s="26" t="s">
        <v>3</v>
      </c>
      <c r="D139" s="26" t="s">
        <v>76</v>
      </c>
      <c r="E139" s="26" t="s">
        <v>96</v>
      </c>
      <c r="F139" s="26" t="s">
        <v>76</v>
      </c>
      <c r="G139" s="26" t="s">
        <v>29</v>
      </c>
      <c r="H139" s="26" t="s">
        <v>38</v>
      </c>
      <c r="I139" s="27" t="s">
        <v>16</v>
      </c>
      <c r="J139" s="27" t="s">
        <v>18</v>
      </c>
      <c r="K139" s="28">
        <v>222037</v>
      </c>
      <c r="L139" s="28">
        <v>645627</v>
      </c>
      <c r="M139" s="28">
        <v>310994</v>
      </c>
      <c r="N139" s="27" t="s">
        <v>55</v>
      </c>
      <c r="O139" s="28">
        <v>0</v>
      </c>
      <c r="P139" s="29">
        <v>0</v>
      </c>
      <c r="Q139" s="29">
        <v>0</v>
      </c>
      <c r="R139" s="29">
        <v>0</v>
      </c>
      <c r="S139" s="32">
        <v>2016</v>
      </c>
    </row>
    <row r="140" spans="1:19" x14ac:dyDescent="0.2">
      <c r="A140" s="25" t="s">
        <v>70</v>
      </c>
      <c r="B140" s="26" t="s">
        <v>2</v>
      </c>
      <c r="C140" s="26" t="s">
        <v>3</v>
      </c>
      <c r="D140" s="26" t="s">
        <v>76</v>
      </c>
      <c r="E140" s="26" t="s">
        <v>96</v>
      </c>
      <c r="F140" s="26" t="s">
        <v>76</v>
      </c>
      <c r="G140" s="26" t="s">
        <v>29</v>
      </c>
      <c r="H140" s="26" t="s">
        <v>38</v>
      </c>
      <c r="I140" s="27" t="s">
        <v>16</v>
      </c>
      <c r="J140" s="27" t="s">
        <v>18</v>
      </c>
      <c r="K140" s="28">
        <v>222037</v>
      </c>
      <c r="L140" s="28">
        <v>645627</v>
      </c>
      <c r="M140" s="28">
        <v>310994</v>
      </c>
      <c r="N140" s="27" t="s">
        <v>56</v>
      </c>
      <c r="O140" s="28">
        <v>0</v>
      </c>
      <c r="P140" s="29">
        <v>0</v>
      </c>
      <c r="Q140" s="29">
        <v>0</v>
      </c>
      <c r="R140" s="29">
        <v>0</v>
      </c>
      <c r="S140" s="32">
        <v>2016</v>
      </c>
    </row>
    <row r="141" spans="1:19" x14ac:dyDescent="0.2">
      <c r="A141" s="25" t="s">
        <v>70</v>
      </c>
      <c r="B141" s="26" t="s">
        <v>2</v>
      </c>
      <c r="C141" s="26" t="s">
        <v>3</v>
      </c>
      <c r="D141" s="26" t="s">
        <v>76</v>
      </c>
      <c r="E141" s="26" t="s">
        <v>96</v>
      </c>
      <c r="F141" s="26" t="s">
        <v>76</v>
      </c>
      <c r="G141" s="26" t="s">
        <v>29</v>
      </c>
      <c r="H141" s="26" t="s">
        <v>38</v>
      </c>
      <c r="I141" s="27" t="s">
        <v>16</v>
      </c>
      <c r="J141" s="27" t="s">
        <v>18</v>
      </c>
      <c r="K141" s="28">
        <v>222037</v>
      </c>
      <c r="L141" s="28">
        <v>645627</v>
      </c>
      <c r="M141" s="28">
        <v>310994</v>
      </c>
      <c r="N141" s="27" t="s">
        <v>73</v>
      </c>
      <c r="O141" s="31">
        <v>15387727</v>
      </c>
      <c r="P141" s="29">
        <f>'Infrastructure Benchmarks - ref'!$O141/'Infrastructure Benchmarks - ref'!$K141</f>
        <v>69.302535163058408</v>
      </c>
      <c r="Q141" s="29">
        <f>'Infrastructure Benchmarks - ref'!$O141/'Infrastructure Benchmarks - ref'!$L141</f>
        <v>23.833772441363202</v>
      </c>
      <c r="R141" s="29">
        <f>'Infrastructure Benchmarks - ref'!$O141/'Infrastructure Benchmarks - ref'!$M141</f>
        <v>49.47917644713403</v>
      </c>
      <c r="S141" s="32">
        <v>2016</v>
      </c>
    </row>
    <row r="142" spans="1:19" x14ac:dyDescent="0.2">
      <c r="A142" s="25" t="s">
        <v>70</v>
      </c>
      <c r="B142" s="26" t="s">
        <v>2</v>
      </c>
      <c r="C142" s="26" t="s">
        <v>3</v>
      </c>
      <c r="D142" s="26" t="s">
        <v>76</v>
      </c>
      <c r="E142" s="26" t="s">
        <v>96</v>
      </c>
      <c r="F142" s="26" t="s">
        <v>76</v>
      </c>
      <c r="G142" s="26" t="s">
        <v>29</v>
      </c>
      <c r="H142" s="26" t="s">
        <v>38</v>
      </c>
      <c r="I142" s="27" t="s">
        <v>16</v>
      </c>
      <c r="J142" s="27" t="s">
        <v>18</v>
      </c>
      <c r="K142" s="28">
        <v>222037</v>
      </c>
      <c r="L142" s="28">
        <v>645627</v>
      </c>
      <c r="M142" s="28">
        <v>310994</v>
      </c>
      <c r="N142" s="27" t="s">
        <v>57</v>
      </c>
      <c r="O142" s="31">
        <v>20000000</v>
      </c>
      <c r="P142" s="29">
        <f>'Infrastructure Benchmarks - ref'!$O142/'Infrastructure Benchmarks - ref'!$K142</f>
        <v>90.07507757716057</v>
      </c>
      <c r="Q142" s="29">
        <f>'Infrastructure Benchmarks - ref'!$O142/'Infrastructure Benchmarks - ref'!$L142</f>
        <v>30.977638791438402</v>
      </c>
      <c r="R142" s="29">
        <f>'Infrastructure Benchmarks - ref'!$O142/'Infrastructure Benchmarks - ref'!$M142</f>
        <v>64.309922377923684</v>
      </c>
      <c r="S142" s="32">
        <v>2016</v>
      </c>
    </row>
    <row r="143" spans="1:19" x14ac:dyDescent="0.2">
      <c r="A143" s="25" t="s">
        <v>70</v>
      </c>
      <c r="B143" s="26" t="s">
        <v>2</v>
      </c>
      <c r="C143" s="26" t="s">
        <v>3</v>
      </c>
      <c r="D143" s="26" t="s">
        <v>76</v>
      </c>
      <c r="E143" s="26" t="s">
        <v>96</v>
      </c>
      <c r="F143" s="26" t="s">
        <v>76</v>
      </c>
      <c r="G143" s="26" t="s">
        <v>29</v>
      </c>
      <c r="H143" s="26" t="s">
        <v>38</v>
      </c>
      <c r="I143" s="27" t="s">
        <v>16</v>
      </c>
      <c r="J143" s="27" t="s">
        <v>18</v>
      </c>
      <c r="K143" s="28">
        <v>222037</v>
      </c>
      <c r="L143" s="28">
        <v>645627</v>
      </c>
      <c r="M143" s="28">
        <v>310994</v>
      </c>
      <c r="N143" s="27" t="s">
        <v>58</v>
      </c>
      <c r="O143" s="31">
        <v>20000000</v>
      </c>
      <c r="P143" s="29">
        <f>'Infrastructure Benchmarks - ref'!$O143/'Infrastructure Benchmarks - ref'!$K143</f>
        <v>90.07507757716057</v>
      </c>
      <c r="Q143" s="29">
        <f>'Infrastructure Benchmarks - ref'!$O143/'Infrastructure Benchmarks - ref'!$L143</f>
        <v>30.977638791438402</v>
      </c>
      <c r="R143" s="29">
        <f>'Infrastructure Benchmarks - ref'!$O143/'Infrastructure Benchmarks - ref'!$M143</f>
        <v>64.309922377923684</v>
      </c>
      <c r="S143" s="32">
        <v>2016</v>
      </c>
    </row>
    <row r="144" spans="1:19" x14ac:dyDescent="0.2">
      <c r="A144" s="25" t="s">
        <v>70</v>
      </c>
      <c r="B144" s="26" t="s">
        <v>2</v>
      </c>
      <c r="C144" s="26" t="s">
        <v>3</v>
      </c>
      <c r="D144" s="26" t="s">
        <v>76</v>
      </c>
      <c r="E144" s="26" t="s">
        <v>96</v>
      </c>
      <c r="F144" s="26" t="s">
        <v>76</v>
      </c>
      <c r="G144" s="26" t="s">
        <v>29</v>
      </c>
      <c r="H144" s="26" t="s">
        <v>38</v>
      </c>
      <c r="I144" s="27" t="s">
        <v>16</v>
      </c>
      <c r="J144" s="27" t="s">
        <v>18</v>
      </c>
      <c r="K144" s="28">
        <v>222037</v>
      </c>
      <c r="L144" s="28">
        <v>645627</v>
      </c>
      <c r="M144" s="28">
        <v>310994</v>
      </c>
      <c r="N144" s="27" t="s">
        <v>59</v>
      </c>
      <c r="O144" s="31">
        <v>4500000</v>
      </c>
      <c r="P144" s="29">
        <f>'Infrastructure Benchmarks - ref'!$O144/'Infrastructure Benchmarks - ref'!$K144</f>
        <v>20.266892454861125</v>
      </c>
      <c r="Q144" s="29">
        <f>'Infrastructure Benchmarks - ref'!$O144/'Infrastructure Benchmarks - ref'!$L144</f>
        <v>6.9699687280736402</v>
      </c>
      <c r="R144" s="29">
        <f>'Infrastructure Benchmarks - ref'!$O144/'Infrastructure Benchmarks - ref'!$M144</f>
        <v>14.469732535032831</v>
      </c>
      <c r="S144" s="32">
        <v>2016</v>
      </c>
    </row>
    <row r="145" spans="1:19" x14ac:dyDescent="0.2">
      <c r="A145" s="25" t="s">
        <v>70</v>
      </c>
      <c r="B145" s="26" t="s">
        <v>2</v>
      </c>
      <c r="C145" s="26" t="s">
        <v>3</v>
      </c>
      <c r="D145" s="26" t="s">
        <v>76</v>
      </c>
      <c r="E145" s="26" t="s">
        <v>96</v>
      </c>
      <c r="F145" s="26" t="s">
        <v>76</v>
      </c>
      <c r="G145" s="26" t="s">
        <v>29</v>
      </c>
      <c r="H145" s="26" t="s">
        <v>38</v>
      </c>
      <c r="I145" s="27" t="s">
        <v>16</v>
      </c>
      <c r="J145" s="27" t="s">
        <v>18</v>
      </c>
      <c r="K145" s="28">
        <v>222037</v>
      </c>
      <c r="L145" s="28">
        <v>645627</v>
      </c>
      <c r="M145" s="28">
        <v>310994</v>
      </c>
      <c r="N145" s="27" t="s">
        <v>60</v>
      </c>
      <c r="O145" s="28">
        <v>0</v>
      </c>
      <c r="P145" s="29">
        <v>0</v>
      </c>
      <c r="Q145" s="29">
        <v>0</v>
      </c>
      <c r="R145" s="29">
        <v>0</v>
      </c>
      <c r="S145" s="32">
        <v>2016</v>
      </c>
    </row>
    <row r="146" spans="1:19" s="41" customFormat="1" ht="16" thickBot="1" x14ac:dyDescent="0.25">
      <c r="A146" s="35" t="s">
        <v>70</v>
      </c>
      <c r="B146" s="36" t="s">
        <v>2</v>
      </c>
      <c r="C146" s="36" t="s">
        <v>3</v>
      </c>
      <c r="D146" s="36" t="s">
        <v>76</v>
      </c>
      <c r="E146" s="36" t="s">
        <v>96</v>
      </c>
      <c r="F146" s="36" t="s">
        <v>76</v>
      </c>
      <c r="G146" s="36" t="s">
        <v>29</v>
      </c>
      <c r="H146" s="36" t="s">
        <v>38</v>
      </c>
      <c r="I146" s="37" t="s">
        <v>16</v>
      </c>
      <c r="J146" s="37" t="s">
        <v>18</v>
      </c>
      <c r="K146" s="38">
        <v>222037</v>
      </c>
      <c r="L146" s="38">
        <v>645627</v>
      </c>
      <c r="M146" s="38">
        <v>310994</v>
      </c>
      <c r="N146" s="37" t="s">
        <v>61</v>
      </c>
      <c r="O146" s="38">
        <v>0</v>
      </c>
      <c r="P146" s="39">
        <v>0</v>
      </c>
      <c r="Q146" s="39">
        <v>0</v>
      </c>
      <c r="R146" s="39">
        <v>0</v>
      </c>
      <c r="S146" s="50">
        <v>2016</v>
      </c>
    </row>
    <row r="147" spans="1:19" ht="16" thickTop="1" x14ac:dyDescent="0.2">
      <c r="A147" s="33" t="s">
        <v>70</v>
      </c>
      <c r="B147" s="1" t="s">
        <v>2</v>
      </c>
      <c r="C147" s="1" t="s">
        <v>3</v>
      </c>
      <c r="D147" s="1" t="s">
        <v>32</v>
      </c>
      <c r="E147" s="1" t="s">
        <v>93</v>
      </c>
      <c r="F147" s="1" t="s">
        <v>33</v>
      </c>
      <c r="G147" s="1" t="s">
        <v>29</v>
      </c>
      <c r="H147" s="1" t="s">
        <v>78</v>
      </c>
      <c r="I147" s="4" t="s">
        <v>16</v>
      </c>
      <c r="J147" s="4" t="s">
        <v>18</v>
      </c>
      <c r="K147" s="7">
        <v>100434</v>
      </c>
      <c r="L147" s="7">
        <v>223475</v>
      </c>
      <c r="M147" s="7">
        <v>150223</v>
      </c>
      <c r="N147" s="4" t="s">
        <v>24</v>
      </c>
      <c r="O147" s="7">
        <v>3229230</v>
      </c>
      <c r="P147" s="2">
        <f>'Infrastructure Benchmarks - ref'!$O147/'Infrastructure Benchmarks - ref'!$K147</f>
        <v>32.152757034470397</v>
      </c>
      <c r="Q147" s="2">
        <f>'Infrastructure Benchmarks - ref'!$O147/'Infrastructure Benchmarks - ref'!$L147</f>
        <v>14.450072715068799</v>
      </c>
      <c r="R147" s="2">
        <f>'Infrastructure Benchmarks - ref'!$O147/'Infrastructure Benchmarks - ref'!$M147</f>
        <v>21.496242253183599</v>
      </c>
      <c r="S147" s="34">
        <v>2016</v>
      </c>
    </row>
    <row r="148" spans="1:19" x14ac:dyDescent="0.2">
      <c r="A148" s="25" t="s">
        <v>70</v>
      </c>
      <c r="B148" s="26" t="s">
        <v>2</v>
      </c>
      <c r="C148" s="26" t="s">
        <v>3</v>
      </c>
      <c r="D148" s="26" t="s">
        <v>32</v>
      </c>
      <c r="E148" s="26" t="s">
        <v>93</v>
      </c>
      <c r="F148" s="26" t="s">
        <v>33</v>
      </c>
      <c r="G148" s="26" t="s">
        <v>29</v>
      </c>
      <c r="H148" s="26" t="s">
        <v>78</v>
      </c>
      <c r="I148" s="27" t="s">
        <v>16</v>
      </c>
      <c r="J148" s="27" t="s">
        <v>18</v>
      </c>
      <c r="K148" s="28">
        <v>100434</v>
      </c>
      <c r="L148" s="28">
        <v>223475</v>
      </c>
      <c r="M148" s="28">
        <v>150223</v>
      </c>
      <c r="N148" s="27" t="s">
        <v>44</v>
      </c>
      <c r="O148" s="28">
        <v>0</v>
      </c>
      <c r="P148" s="29">
        <v>0</v>
      </c>
      <c r="Q148" s="29">
        <v>0</v>
      </c>
      <c r="R148" s="29">
        <v>0</v>
      </c>
      <c r="S148" s="30">
        <v>2016</v>
      </c>
    </row>
    <row r="149" spans="1:19" x14ac:dyDescent="0.2">
      <c r="A149" s="25" t="s">
        <v>70</v>
      </c>
      <c r="B149" s="26" t="s">
        <v>2</v>
      </c>
      <c r="C149" s="26" t="s">
        <v>3</v>
      </c>
      <c r="D149" s="26" t="s">
        <v>32</v>
      </c>
      <c r="E149" s="26" t="s">
        <v>93</v>
      </c>
      <c r="F149" s="26" t="s">
        <v>33</v>
      </c>
      <c r="G149" s="26" t="s">
        <v>29</v>
      </c>
      <c r="H149" s="26" t="s">
        <v>78</v>
      </c>
      <c r="I149" s="27" t="s">
        <v>16</v>
      </c>
      <c r="J149" s="27" t="s">
        <v>18</v>
      </c>
      <c r="K149" s="28">
        <v>100434</v>
      </c>
      <c r="L149" s="28">
        <v>223475</v>
      </c>
      <c r="M149" s="28">
        <v>150223</v>
      </c>
      <c r="N149" s="27" t="s">
        <v>45</v>
      </c>
      <c r="O149" s="28">
        <v>0</v>
      </c>
      <c r="P149" s="29">
        <v>0</v>
      </c>
      <c r="Q149" s="29">
        <v>0</v>
      </c>
      <c r="R149" s="29">
        <v>0</v>
      </c>
      <c r="S149" s="30">
        <v>2016</v>
      </c>
    </row>
    <row r="150" spans="1:19" x14ac:dyDescent="0.2">
      <c r="A150" s="25" t="s">
        <v>70</v>
      </c>
      <c r="B150" s="26" t="s">
        <v>2</v>
      </c>
      <c r="C150" s="26" t="s">
        <v>3</v>
      </c>
      <c r="D150" s="26" t="s">
        <v>32</v>
      </c>
      <c r="E150" s="26" t="s">
        <v>93</v>
      </c>
      <c r="F150" s="26" t="s">
        <v>33</v>
      </c>
      <c r="G150" s="26" t="s">
        <v>29</v>
      </c>
      <c r="H150" s="26" t="s">
        <v>78</v>
      </c>
      <c r="I150" s="27" t="s">
        <v>16</v>
      </c>
      <c r="J150" s="27" t="s">
        <v>18</v>
      </c>
      <c r="K150" s="28">
        <v>100434</v>
      </c>
      <c r="L150" s="28">
        <v>223475</v>
      </c>
      <c r="M150" s="28">
        <v>150223</v>
      </c>
      <c r="N150" s="27" t="s">
        <v>14</v>
      </c>
      <c r="O150" s="31">
        <v>1306500</v>
      </c>
      <c r="P150" s="29">
        <f>'Infrastructure Benchmarks - ref'!$O150/'Infrastructure Benchmarks - ref'!$K150</f>
        <v>13.008542923711094</v>
      </c>
      <c r="Q150" s="29">
        <f>'Infrastructure Benchmarks - ref'!$O150/'Infrastructure Benchmarks - ref'!$L150</f>
        <v>5.8462915314912181</v>
      </c>
      <c r="R150" s="29">
        <f>'Infrastructure Benchmarks - ref'!$O150/'Infrastructure Benchmarks - ref'!$M150</f>
        <v>8.6970703554049642</v>
      </c>
      <c r="S150" s="30">
        <v>2016</v>
      </c>
    </row>
    <row r="151" spans="1:19" x14ac:dyDescent="0.2">
      <c r="A151" s="25" t="s">
        <v>70</v>
      </c>
      <c r="B151" s="26" t="s">
        <v>2</v>
      </c>
      <c r="C151" s="26" t="s">
        <v>3</v>
      </c>
      <c r="D151" s="26" t="s">
        <v>32</v>
      </c>
      <c r="E151" s="26" t="s">
        <v>93</v>
      </c>
      <c r="F151" s="26" t="s">
        <v>33</v>
      </c>
      <c r="G151" s="26" t="s">
        <v>29</v>
      </c>
      <c r="H151" s="26" t="s">
        <v>78</v>
      </c>
      <c r="I151" s="27" t="s">
        <v>16</v>
      </c>
      <c r="J151" s="27" t="s">
        <v>18</v>
      </c>
      <c r="K151" s="28">
        <v>100434</v>
      </c>
      <c r="L151" s="28">
        <v>223475</v>
      </c>
      <c r="M151" s="28">
        <v>150223</v>
      </c>
      <c r="N151" s="27" t="s">
        <v>22</v>
      </c>
      <c r="O151" s="28">
        <v>6087803</v>
      </c>
      <c r="P151" s="29">
        <f>'Infrastructure Benchmarks - ref'!$O151/'Infrastructure Benchmarks - ref'!$K151</f>
        <v>60.61496106896071</v>
      </c>
      <c r="Q151" s="29">
        <f>'Infrastructure Benchmarks - ref'!$O151/'Infrastructure Benchmarks - ref'!$L151</f>
        <v>27.241539322071819</v>
      </c>
      <c r="R151" s="29">
        <f>'Infrastructure Benchmarks - ref'!$O151/'Infrastructure Benchmarks - ref'!$M151</f>
        <v>40.525106009066519</v>
      </c>
      <c r="S151" s="30">
        <v>2016</v>
      </c>
    </row>
    <row r="152" spans="1:19" x14ac:dyDescent="0.2">
      <c r="A152" s="25" t="s">
        <v>70</v>
      </c>
      <c r="B152" s="26" t="s">
        <v>2</v>
      </c>
      <c r="C152" s="26" t="s">
        <v>3</v>
      </c>
      <c r="D152" s="26" t="s">
        <v>32</v>
      </c>
      <c r="E152" s="26" t="s">
        <v>93</v>
      </c>
      <c r="F152" s="26" t="s">
        <v>33</v>
      </c>
      <c r="G152" s="26" t="s">
        <v>29</v>
      </c>
      <c r="H152" s="26" t="s">
        <v>78</v>
      </c>
      <c r="I152" s="27" t="s">
        <v>16</v>
      </c>
      <c r="J152" s="27" t="s">
        <v>18</v>
      </c>
      <c r="K152" s="28">
        <v>100434</v>
      </c>
      <c r="L152" s="28">
        <v>223475</v>
      </c>
      <c r="M152" s="28">
        <v>150223</v>
      </c>
      <c r="N152" s="27" t="s">
        <v>20</v>
      </c>
      <c r="O152" s="28">
        <v>4303883</v>
      </c>
      <c r="P152" s="29">
        <f>'Infrastructure Benchmarks - ref'!$O152/'Infrastructure Benchmarks - ref'!$K152</f>
        <v>42.852848636915787</v>
      </c>
      <c r="Q152" s="29">
        <f>'Infrastructure Benchmarks - ref'!$O152/'Infrastructure Benchmarks - ref'!$L152</f>
        <v>19.258901443114443</v>
      </c>
      <c r="R152" s="29">
        <f>'Infrastructure Benchmarks - ref'!$O152/'Infrastructure Benchmarks - ref'!$M152</f>
        <v>28.649960392216904</v>
      </c>
      <c r="S152" s="30">
        <v>2016</v>
      </c>
    </row>
    <row r="153" spans="1:19" x14ac:dyDescent="0.2">
      <c r="A153" s="25" t="s">
        <v>70</v>
      </c>
      <c r="B153" s="26" t="s">
        <v>2</v>
      </c>
      <c r="C153" s="26" t="s">
        <v>3</v>
      </c>
      <c r="D153" s="26" t="s">
        <v>32</v>
      </c>
      <c r="E153" s="26" t="s">
        <v>93</v>
      </c>
      <c r="F153" s="26" t="s">
        <v>33</v>
      </c>
      <c r="G153" s="26" t="s">
        <v>29</v>
      </c>
      <c r="H153" s="26" t="s">
        <v>78</v>
      </c>
      <c r="I153" s="27" t="s">
        <v>16</v>
      </c>
      <c r="J153" s="27" t="s">
        <v>18</v>
      </c>
      <c r="K153" s="28">
        <v>100434</v>
      </c>
      <c r="L153" s="28">
        <v>223475</v>
      </c>
      <c r="M153" s="28">
        <v>150223</v>
      </c>
      <c r="N153" s="27" t="s">
        <v>23</v>
      </c>
      <c r="O153" s="31">
        <v>6258278</v>
      </c>
      <c r="P153" s="29">
        <f>'Infrastructure Benchmarks - ref'!$O153/'Infrastructure Benchmarks - ref'!$K153</f>
        <v>62.312344425194652</v>
      </c>
      <c r="Q153" s="29">
        <f>'Infrastructure Benchmarks - ref'!$O153/'Infrastructure Benchmarks - ref'!$L153</f>
        <v>28.004376328448373</v>
      </c>
      <c r="R153" s="29">
        <f>'Infrastructure Benchmarks - ref'!$O153/'Infrastructure Benchmarks - ref'!$M153</f>
        <v>41.659918920538132</v>
      </c>
      <c r="S153" s="32">
        <v>2016</v>
      </c>
    </row>
    <row r="154" spans="1:19" x14ac:dyDescent="0.2">
      <c r="A154" s="25" t="s">
        <v>70</v>
      </c>
      <c r="B154" s="26" t="s">
        <v>2</v>
      </c>
      <c r="C154" s="26" t="s">
        <v>3</v>
      </c>
      <c r="D154" s="26" t="s">
        <v>32</v>
      </c>
      <c r="E154" s="26" t="s">
        <v>93</v>
      </c>
      <c r="F154" s="26" t="s">
        <v>33</v>
      </c>
      <c r="G154" s="26" t="s">
        <v>29</v>
      </c>
      <c r="H154" s="26" t="s">
        <v>78</v>
      </c>
      <c r="I154" s="27" t="s">
        <v>16</v>
      </c>
      <c r="J154" s="27" t="s">
        <v>18</v>
      </c>
      <c r="K154" s="28">
        <v>100434</v>
      </c>
      <c r="L154" s="28">
        <v>223475</v>
      </c>
      <c r="M154" s="28">
        <v>150223</v>
      </c>
      <c r="N154" s="27" t="s">
        <v>43</v>
      </c>
      <c r="O154" s="31">
        <v>1776461</v>
      </c>
      <c r="P154" s="29">
        <f>'Infrastructure Benchmarks - ref'!$O154/'Infrastructure Benchmarks - ref'!$K154</f>
        <v>17.687844753768644</v>
      </c>
      <c r="Q154" s="29">
        <f>'Infrastructure Benchmarks - ref'!$O154/'Infrastructure Benchmarks - ref'!$L154</f>
        <v>7.9492605436849759</v>
      </c>
      <c r="R154" s="29">
        <f>'Infrastructure Benchmarks - ref'!$O154/'Infrastructure Benchmarks - ref'!$M154</f>
        <v>11.825492767419103</v>
      </c>
      <c r="S154" s="32">
        <v>2016</v>
      </c>
    </row>
    <row r="155" spans="1:19" x14ac:dyDescent="0.2">
      <c r="A155" s="25" t="s">
        <v>70</v>
      </c>
      <c r="B155" s="26" t="s">
        <v>2</v>
      </c>
      <c r="C155" s="26" t="s">
        <v>3</v>
      </c>
      <c r="D155" s="26" t="s">
        <v>32</v>
      </c>
      <c r="E155" s="26" t="s">
        <v>93</v>
      </c>
      <c r="F155" s="26" t="s">
        <v>33</v>
      </c>
      <c r="G155" s="26" t="s">
        <v>29</v>
      </c>
      <c r="H155" s="26" t="s">
        <v>78</v>
      </c>
      <c r="I155" s="27" t="s">
        <v>16</v>
      </c>
      <c r="J155" s="27" t="s">
        <v>18</v>
      </c>
      <c r="K155" s="28">
        <v>100434</v>
      </c>
      <c r="L155" s="28">
        <v>223475</v>
      </c>
      <c r="M155" s="28">
        <v>150223</v>
      </c>
      <c r="N155" s="27" t="s">
        <v>46</v>
      </c>
      <c r="O155" s="28">
        <v>0</v>
      </c>
      <c r="P155" s="29">
        <v>0</v>
      </c>
      <c r="Q155" s="29">
        <v>0</v>
      </c>
      <c r="R155" s="29">
        <v>0</v>
      </c>
      <c r="S155" s="32">
        <v>2016</v>
      </c>
    </row>
    <row r="156" spans="1:19" x14ac:dyDescent="0.2">
      <c r="A156" s="25" t="s">
        <v>70</v>
      </c>
      <c r="B156" s="26" t="s">
        <v>2</v>
      </c>
      <c r="C156" s="26" t="s">
        <v>3</v>
      </c>
      <c r="D156" s="26" t="s">
        <v>32</v>
      </c>
      <c r="E156" s="26" t="s">
        <v>93</v>
      </c>
      <c r="F156" s="26" t="s">
        <v>33</v>
      </c>
      <c r="G156" s="26" t="s">
        <v>29</v>
      </c>
      <c r="H156" s="26" t="s">
        <v>78</v>
      </c>
      <c r="I156" s="27" t="s">
        <v>16</v>
      </c>
      <c r="J156" s="27" t="s">
        <v>18</v>
      </c>
      <c r="K156" s="28">
        <v>100434</v>
      </c>
      <c r="L156" s="28">
        <v>223475</v>
      </c>
      <c r="M156" s="28">
        <v>150223</v>
      </c>
      <c r="N156" s="27" t="s">
        <v>34</v>
      </c>
      <c r="O156" s="31">
        <v>1189404</v>
      </c>
      <c r="P156" s="29">
        <f>'Infrastructure Benchmarks - ref'!$O156/'Infrastructure Benchmarks - ref'!$K156</f>
        <v>11.842642929685166</v>
      </c>
      <c r="Q156" s="29">
        <f>'Infrastructure Benchmarks - ref'!$O156/'Infrastructure Benchmarks - ref'!$L156</f>
        <v>5.3223134578811946</v>
      </c>
      <c r="R156" s="29">
        <f>'Infrastructure Benchmarks - ref'!$O156/'Infrastructure Benchmarks - ref'!$M156</f>
        <v>7.9175891840796684</v>
      </c>
      <c r="S156" s="32">
        <v>2016</v>
      </c>
    </row>
    <row r="157" spans="1:19" x14ac:dyDescent="0.2">
      <c r="A157" s="25" t="s">
        <v>70</v>
      </c>
      <c r="B157" s="26" t="s">
        <v>2</v>
      </c>
      <c r="C157" s="26" t="s">
        <v>3</v>
      </c>
      <c r="D157" s="26" t="s">
        <v>32</v>
      </c>
      <c r="E157" s="26" t="s">
        <v>93</v>
      </c>
      <c r="F157" s="26" t="s">
        <v>33</v>
      </c>
      <c r="G157" s="26" t="s">
        <v>29</v>
      </c>
      <c r="H157" s="26" t="s">
        <v>78</v>
      </c>
      <c r="I157" s="27" t="s">
        <v>16</v>
      </c>
      <c r="J157" s="27" t="s">
        <v>18</v>
      </c>
      <c r="K157" s="28">
        <v>100434</v>
      </c>
      <c r="L157" s="28">
        <v>223475</v>
      </c>
      <c r="M157" s="28">
        <v>150223</v>
      </c>
      <c r="N157" s="27" t="s">
        <v>26</v>
      </c>
      <c r="O157" s="31">
        <v>12406293</v>
      </c>
      <c r="P157" s="29">
        <f>'Infrastructure Benchmarks - ref'!$O157/'Infrastructure Benchmarks - ref'!$K157</f>
        <v>123.52682358563833</v>
      </c>
      <c r="Q157" s="29">
        <f>'Infrastructure Benchmarks - ref'!$O157/'Infrastructure Benchmarks - ref'!$L157</f>
        <v>55.515350710370285</v>
      </c>
      <c r="R157" s="29">
        <f>'Infrastructure Benchmarks - ref'!$O157/'Infrastructure Benchmarks - ref'!$M157</f>
        <v>82.585842380993583</v>
      </c>
      <c r="S157" s="32">
        <v>2016</v>
      </c>
    </row>
    <row r="158" spans="1:19" x14ac:dyDescent="0.2">
      <c r="A158" s="25" t="s">
        <v>70</v>
      </c>
      <c r="B158" s="26" t="s">
        <v>2</v>
      </c>
      <c r="C158" s="26" t="s">
        <v>3</v>
      </c>
      <c r="D158" s="26" t="s">
        <v>32</v>
      </c>
      <c r="E158" s="26" t="s">
        <v>93</v>
      </c>
      <c r="F158" s="26" t="s">
        <v>33</v>
      </c>
      <c r="G158" s="26" t="s">
        <v>29</v>
      </c>
      <c r="H158" s="26" t="s">
        <v>78</v>
      </c>
      <c r="I158" s="27" t="s">
        <v>16</v>
      </c>
      <c r="J158" s="27" t="s">
        <v>18</v>
      </c>
      <c r="K158" s="28">
        <v>100434</v>
      </c>
      <c r="L158" s="28">
        <v>223475</v>
      </c>
      <c r="M158" s="28">
        <v>150223</v>
      </c>
      <c r="N158" s="27" t="s">
        <v>28</v>
      </c>
      <c r="O158" s="31">
        <v>3548838</v>
      </c>
      <c r="P158" s="29">
        <f>'Infrastructure Benchmarks - ref'!$O158/'Infrastructure Benchmarks - ref'!$K158</f>
        <v>35.335025987215488</v>
      </c>
      <c r="Q158" s="29">
        <f>'Infrastructure Benchmarks - ref'!$O158/'Infrastructure Benchmarks - ref'!$L158</f>
        <v>15.880246112540553</v>
      </c>
      <c r="R158" s="29">
        <f>'Infrastructure Benchmarks - ref'!$O158/'Infrastructure Benchmarks - ref'!$M158</f>
        <v>23.623799285062873</v>
      </c>
      <c r="S158" s="32">
        <v>2016</v>
      </c>
    </row>
    <row r="159" spans="1:19" x14ac:dyDescent="0.2">
      <c r="A159" s="25" t="s">
        <v>70</v>
      </c>
      <c r="B159" s="26" t="s">
        <v>2</v>
      </c>
      <c r="C159" s="26" t="s">
        <v>3</v>
      </c>
      <c r="D159" s="26" t="s">
        <v>32</v>
      </c>
      <c r="E159" s="26" t="s">
        <v>93</v>
      </c>
      <c r="F159" s="26" t="s">
        <v>33</v>
      </c>
      <c r="G159" s="26" t="s">
        <v>29</v>
      </c>
      <c r="H159" s="26" t="s">
        <v>78</v>
      </c>
      <c r="I159" s="27" t="s">
        <v>16</v>
      </c>
      <c r="J159" s="27" t="s">
        <v>18</v>
      </c>
      <c r="K159" s="28">
        <v>100434</v>
      </c>
      <c r="L159" s="28">
        <v>223475</v>
      </c>
      <c r="M159" s="28">
        <v>150223</v>
      </c>
      <c r="N159" s="27" t="s">
        <v>47</v>
      </c>
      <c r="O159" s="28">
        <v>0</v>
      </c>
      <c r="P159" s="29">
        <v>0</v>
      </c>
      <c r="Q159" s="29">
        <v>0</v>
      </c>
      <c r="R159" s="29">
        <v>0</v>
      </c>
      <c r="S159" s="30">
        <v>2016</v>
      </c>
    </row>
    <row r="160" spans="1:19" x14ac:dyDescent="0.2">
      <c r="A160" s="25" t="s">
        <v>70</v>
      </c>
      <c r="B160" s="26" t="s">
        <v>2</v>
      </c>
      <c r="C160" s="26" t="s">
        <v>3</v>
      </c>
      <c r="D160" s="26" t="s">
        <v>32</v>
      </c>
      <c r="E160" s="26" t="s">
        <v>93</v>
      </c>
      <c r="F160" s="26" t="s">
        <v>33</v>
      </c>
      <c r="G160" s="26" t="s">
        <v>29</v>
      </c>
      <c r="H160" s="26" t="s">
        <v>78</v>
      </c>
      <c r="I160" s="27" t="s">
        <v>16</v>
      </c>
      <c r="J160" s="27" t="s">
        <v>18</v>
      </c>
      <c r="K160" s="28">
        <v>100434</v>
      </c>
      <c r="L160" s="28">
        <v>223475</v>
      </c>
      <c r="M160" s="28">
        <v>150223</v>
      </c>
      <c r="N160" s="27" t="s">
        <v>27</v>
      </c>
      <c r="O160" s="31">
        <v>1612634</v>
      </c>
      <c r="P160" s="29">
        <f>'Infrastructure Benchmarks - ref'!$O160/'Infrastructure Benchmarks - ref'!$K160</f>
        <v>16.056654121114363</v>
      </c>
      <c r="Q160" s="29">
        <f>'Infrastructure Benchmarks - ref'!$O160/'Infrastructure Benchmarks - ref'!$L160</f>
        <v>7.2161718313010406</v>
      </c>
      <c r="R160" s="29">
        <f>'Infrastructure Benchmarks - ref'!$O160/'Infrastructure Benchmarks - ref'!$M160</f>
        <v>10.734934064690494</v>
      </c>
      <c r="S160" s="32">
        <v>2016</v>
      </c>
    </row>
    <row r="161" spans="1:19" x14ac:dyDescent="0.2">
      <c r="A161" s="25" t="s">
        <v>70</v>
      </c>
      <c r="B161" s="26" t="s">
        <v>2</v>
      </c>
      <c r="C161" s="26" t="s">
        <v>3</v>
      </c>
      <c r="D161" s="26" t="s">
        <v>32</v>
      </c>
      <c r="E161" s="26" t="s">
        <v>93</v>
      </c>
      <c r="F161" s="26" t="s">
        <v>33</v>
      </c>
      <c r="G161" s="26" t="s">
        <v>29</v>
      </c>
      <c r="H161" s="26" t="s">
        <v>78</v>
      </c>
      <c r="I161" s="27" t="s">
        <v>16</v>
      </c>
      <c r="J161" s="27" t="s">
        <v>18</v>
      </c>
      <c r="K161" s="28">
        <v>100434</v>
      </c>
      <c r="L161" s="28">
        <v>223475</v>
      </c>
      <c r="M161" s="28">
        <v>150223</v>
      </c>
      <c r="N161" s="27" t="s">
        <v>48</v>
      </c>
      <c r="O161" s="28">
        <v>0</v>
      </c>
      <c r="P161" s="29">
        <v>0</v>
      </c>
      <c r="Q161" s="29">
        <v>0</v>
      </c>
      <c r="R161" s="29">
        <v>0</v>
      </c>
      <c r="S161" s="32">
        <v>2016</v>
      </c>
    </row>
    <row r="162" spans="1:19" x14ac:dyDescent="0.2">
      <c r="A162" s="25" t="s">
        <v>70</v>
      </c>
      <c r="B162" s="26" t="s">
        <v>2</v>
      </c>
      <c r="C162" s="26" t="s">
        <v>3</v>
      </c>
      <c r="D162" s="26" t="s">
        <v>32</v>
      </c>
      <c r="E162" s="26" t="s">
        <v>93</v>
      </c>
      <c r="F162" s="26" t="s">
        <v>33</v>
      </c>
      <c r="G162" s="26" t="s">
        <v>29</v>
      </c>
      <c r="H162" s="26" t="s">
        <v>78</v>
      </c>
      <c r="I162" s="27" t="s">
        <v>16</v>
      </c>
      <c r="J162" s="27" t="s">
        <v>18</v>
      </c>
      <c r="K162" s="28">
        <v>100434</v>
      </c>
      <c r="L162" s="28">
        <v>223475</v>
      </c>
      <c r="M162" s="28">
        <v>150223</v>
      </c>
      <c r="N162" s="27" t="s">
        <v>49</v>
      </c>
      <c r="O162" s="28">
        <v>0</v>
      </c>
      <c r="P162" s="29">
        <v>0</v>
      </c>
      <c r="Q162" s="29">
        <v>0</v>
      </c>
      <c r="R162" s="29">
        <v>0</v>
      </c>
      <c r="S162" s="32">
        <v>2016</v>
      </c>
    </row>
    <row r="163" spans="1:19" x14ac:dyDescent="0.2">
      <c r="A163" s="25" t="s">
        <v>70</v>
      </c>
      <c r="B163" s="26" t="s">
        <v>2</v>
      </c>
      <c r="C163" s="26" t="s">
        <v>3</v>
      </c>
      <c r="D163" s="26" t="s">
        <v>32</v>
      </c>
      <c r="E163" s="26" t="s">
        <v>93</v>
      </c>
      <c r="F163" s="26" t="s">
        <v>33</v>
      </c>
      <c r="G163" s="26" t="s">
        <v>29</v>
      </c>
      <c r="H163" s="26" t="s">
        <v>78</v>
      </c>
      <c r="I163" s="27" t="s">
        <v>16</v>
      </c>
      <c r="J163" s="27" t="s">
        <v>18</v>
      </c>
      <c r="K163" s="28">
        <v>100434</v>
      </c>
      <c r="L163" s="28">
        <v>223475</v>
      </c>
      <c r="M163" s="28">
        <v>150223</v>
      </c>
      <c r="N163" s="27" t="s">
        <v>50</v>
      </c>
      <c r="O163" s="28">
        <v>0</v>
      </c>
      <c r="P163" s="29">
        <v>0</v>
      </c>
      <c r="Q163" s="29">
        <v>0</v>
      </c>
      <c r="R163" s="29">
        <v>0</v>
      </c>
      <c r="S163" s="32">
        <v>2016</v>
      </c>
    </row>
    <row r="164" spans="1:19" x14ac:dyDescent="0.2">
      <c r="A164" s="25" t="s">
        <v>70</v>
      </c>
      <c r="B164" s="26" t="s">
        <v>2</v>
      </c>
      <c r="C164" s="26" t="s">
        <v>3</v>
      </c>
      <c r="D164" s="26" t="s">
        <v>32</v>
      </c>
      <c r="E164" s="26" t="s">
        <v>93</v>
      </c>
      <c r="F164" s="26" t="s">
        <v>33</v>
      </c>
      <c r="G164" s="26" t="s">
        <v>29</v>
      </c>
      <c r="H164" s="26" t="s">
        <v>78</v>
      </c>
      <c r="I164" s="27" t="s">
        <v>16</v>
      </c>
      <c r="J164" s="27" t="s">
        <v>18</v>
      </c>
      <c r="K164" s="28">
        <v>100434</v>
      </c>
      <c r="L164" s="28">
        <v>223475</v>
      </c>
      <c r="M164" s="28">
        <v>150223</v>
      </c>
      <c r="N164" s="27" t="s">
        <v>51</v>
      </c>
      <c r="O164" s="28">
        <v>0</v>
      </c>
      <c r="P164" s="29">
        <v>0</v>
      </c>
      <c r="Q164" s="29">
        <v>0</v>
      </c>
      <c r="R164" s="29">
        <v>0</v>
      </c>
      <c r="S164" s="32">
        <v>2016</v>
      </c>
    </row>
    <row r="165" spans="1:19" x14ac:dyDescent="0.2">
      <c r="A165" s="25" t="s">
        <v>70</v>
      </c>
      <c r="B165" s="26" t="s">
        <v>2</v>
      </c>
      <c r="C165" s="26" t="s">
        <v>3</v>
      </c>
      <c r="D165" s="26" t="s">
        <v>32</v>
      </c>
      <c r="E165" s="26" t="s">
        <v>93</v>
      </c>
      <c r="F165" s="26" t="s">
        <v>33</v>
      </c>
      <c r="G165" s="26" t="s">
        <v>29</v>
      </c>
      <c r="H165" s="26" t="s">
        <v>78</v>
      </c>
      <c r="I165" s="27" t="s">
        <v>16</v>
      </c>
      <c r="J165" s="27" t="s">
        <v>18</v>
      </c>
      <c r="K165" s="28">
        <v>100434</v>
      </c>
      <c r="L165" s="28">
        <v>223475</v>
      </c>
      <c r="M165" s="28">
        <v>150223</v>
      </c>
      <c r="N165" s="27" t="s">
        <v>52</v>
      </c>
      <c r="O165" s="28">
        <v>0</v>
      </c>
      <c r="P165" s="29">
        <v>0</v>
      </c>
      <c r="Q165" s="29">
        <v>0</v>
      </c>
      <c r="R165" s="29">
        <v>0</v>
      </c>
      <c r="S165" s="32">
        <v>2016</v>
      </c>
    </row>
    <row r="166" spans="1:19" x14ac:dyDescent="0.2">
      <c r="A166" s="25" t="s">
        <v>70</v>
      </c>
      <c r="B166" s="26" t="s">
        <v>2</v>
      </c>
      <c r="C166" s="26" t="s">
        <v>3</v>
      </c>
      <c r="D166" s="26" t="s">
        <v>32</v>
      </c>
      <c r="E166" s="26" t="s">
        <v>93</v>
      </c>
      <c r="F166" s="26" t="s">
        <v>33</v>
      </c>
      <c r="G166" s="26" t="s">
        <v>29</v>
      </c>
      <c r="H166" s="26" t="s">
        <v>78</v>
      </c>
      <c r="I166" s="27" t="s">
        <v>16</v>
      </c>
      <c r="J166" s="27" t="s">
        <v>18</v>
      </c>
      <c r="K166" s="28">
        <v>100434</v>
      </c>
      <c r="L166" s="28">
        <v>223475</v>
      </c>
      <c r="M166" s="28">
        <v>150223</v>
      </c>
      <c r="N166" s="27" t="s">
        <v>53</v>
      </c>
      <c r="O166" s="28">
        <v>0</v>
      </c>
      <c r="P166" s="29">
        <v>0</v>
      </c>
      <c r="Q166" s="29">
        <v>0</v>
      </c>
      <c r="R166" s="29">
        <v>0</v>
      </c>
      <c r="S166" s="32">
        <v>2016</v>
      </c>
    </row>
    <row r="167" spans="1:19" x14ac:dyDescent="0.2">
      <c r="A167" s="25" t="s">
        <v>70</v>
      </c>
      <c r="B167" s="26" t="s">
        <v>2</v>
      </c>
      <c r="C167" s="26" t="s">
        <v>3</v>
      </c>
      <c r="D167" s="26" t="s">
        <v>32</v>
      </c>
      <c r="E167" s="26" t="s">
        <v>93</v>
      </c>
      <c r="F167" s="26" t="s">
        <v>33</v>
      </c>
      <c r="G167" s="26" t="s">
        <v>29</v>
      </c>
      <c r="H167" s="26" t="s">
        <v>78</v>
      </c>
      <c r="I167" s="27" t="s">
        <v>16</v>
      </c>
      <c r="J167" s="27" t="s">
        <v>18</v>
      </c>
      <c r="K167" s="28">
        <v>100434</v>
      </c>
      <c r="L167" s="28">
        <v>223475</v>
      </c>
      <c r="M167" s="28">
        <v>150223</v>
      </c>
      <c r="N167" s="27" t="s">
        <v>54</v>
      </c>
      <c r="O167" s="28">
        <v>0</v>
      </c>
      <c r="P167" s="29">
        <v>0</v>
      </c>
      <c r="Q167" s="29">
        <v>0</v>
      </c>
      <c r="R167" s="29">
        <v>0</v>
      </c>
      <c r="S167" s="32">
        <v>2016</v>
      </c>
    </row>
    <row r="168" spans="1:19" x14ac:dyDescent="0.2">
      <c r="A168" s="25" t="s">
        <v>70</v>
      </c>
      <c r="B168" s="26" t="s">
        <v>2</v>
      </c>
      <c r="C168" s="26" t="s">
        <v>3</v>
      </c>
      <c r="D168" s="26" t="s">
        <v>32</v>
      </c>
      <c r="E168" s="26" t="s">
        <v>93</v>
      </c>
      <c r="F168" s="26" t="s">
        <v>33</v>
      </c>
      <c r="G168" s="26" t="s">
        <v>29</v>
      </c>
      <c r="H168" s="26" t="s">
        <v>78</v>
      </c>
      <c r="I168" s="27" t="s">
        <v>16</v>
      </c>
      <c r="J168" s="27" t="s">
        <v>18</v>
      </c>
      <c r="K168" s="28">
        <v>100434</v>
      </c>
      <c r="L168" s="28">
        <v>223475</v>
      </c>
      <c r="M168" s="28">
        <v>150223</v>
      </c>
      <c r="N168" s="27" t="s">
        <v>55</v>
      </c>
      <c r="O168" s="28">
        <v>0</v>
      </c>
      <c r="P168" s="29">
        <v>0</v>
      </c>
      <c r="Q168" s="29">
        <v>0</v>
      </c>
      <c r="R168" s="29">
        <v>0</v>
      </c>
      <c r="S168" s="32">
        <v>2016</v>
      </c>
    </row>
    <row r="169" spans="1:19" x14ac:dyDescent="0.2">
      <c r="A169" s="25" t="s">
        <v>70</v>
      </c>
      <c r="B169" s="26" t="s">
        <v>2</v>
      </c>
      <c r="C169" s="26" t="s">
        <v>3</v>
      </c>
      <c r="D169" s="26" t="s">
        <v>32</v>
      </c>
      <c r="E169" s="26" t="s">
        <v>93</v>
      </c>
      <c r="F169" s="26" t="s">
        <v>33</v>
      </c>
      <c r="G169" s="26" t="s">
        <v>29</v>
      </c>
      <c r="H169" s="26" t="s">
        <v>78</v>
      </c>
      <c r="I169" s="27" t="s">
        <v>16</v>
      </c>
      <c r="J169" s="27" t="s">
        <v>18</v>
      </c>
      <c r="K169" s="28">
        <v>100434</v>
      </c>
      <c r="L169" s="28">
        <v>223475</v>
      </c>
      <c r="M169" s="28">
        <v>150223</v>
      </c>
      <c r="N169" s="27" t="s">
        <v>56</v>
      </c>
      <c r="O169" s="28">
        <v>0</v>
      </c>
      <c r="P169" s="29">
        <v>0</v>
      </c>
      <c r="Q169" s="29">
        <v>0</v>
      </c>
      <c r="R169" s="29">
        <v>0</v>
      </c>
      <c r="S169" s="32">
        <v>2016</v>
      </c>
    </row>
    <row r="170" spans="1:19" x14ac:dyDescent="0.2">
      <c r="A170" s="25" t="s">
        <v>70</v>
      </c>
      <c r="B170" s="26" t="s">
        <v>2</v>
      </c>
      <c r="C170" s="26" t="s">
        <v>3</v>
      </c>
      <c r="D170" s="26" t="s">
        <v>32</v>
      </c>
      <c r="E170" s="26" t="s">
        <v>93</v>
      </c>
      <c r="F170" s="26" t="s">
        <v>33</v>
      </c>
      <c r="G170" s="26" t="s">
        <v>29</v>
      </c>
      <c r="H170" s="26" t="s">
        <v>78</v>
      </c>
      <c r="I170" s="27" t="s">
        <v>16</v>
      </c>
      <c r="J170" s="27" t="s">
        <v>18</v>
      </c>
      <c r="K170" s="28">
        <v>100434</v>
      </c>
      <c r="L170" s="28">
        <v>223475</v>
      </c>
      <c r="M170" s="28">
        <v>150223</v>
      </c>
      <c r="N170" s="27" t="s">
        <v>73</v>
      </c>
      <c r="O170" s="31">
        <v>7170863</v>
      </c>
      <c r="P170" s="29">
        <f>'Infrastructure Benchmarks - ref'!$O170/'Infrastructure Benchmarks - ref'!$K170</f>
        <v>71.398759384272253</v>
      </c>
      <c r="Q170" s="29">
        <f>'Infrastructure Benchmarks - ref'!$O170/'Infrastructure Benchmarks - ref'!$L170</f>
        <v>32.087987470634296</v>
      </c>
      <c r="R170" s="29">
        <f>'Infrastructure Benchmarks - ref'!$O170/'Infrastructure Benchmarks - ref'!$M170</f>
        <v>47.734787615744594</v>
      </c>
      <c r="S170" s="32">
        <v>2016</v>
      </c>
    </row>
    <row r="171" spans="1:19" x14ac:dyDescent="0.2">
      <c r="A171" s="25" t="s">
        <v>70</v>
      </c>
      <c r="B171" s="26" t="s">
        <v>2</v>
      </c>
      <c r="C171" s="26" t="s">
        <v>3</v>
      </c>
      <c r="D171" s="26" t="s">
        <v>32</v>
      </c>
      <c r="E171" s="26" t="s">
        <v>93</v>
      </c>
      <c r="F171" s="26" t="s">
        <v>33</v>
      </c>
      <c r="G171" s="26" t="s">
        <v>29</v>
      </c>
      <c r="H171" s="26" t="s">
        <v>78</v>
      </c>
      <c r="I171" s="27" t="s">
        <v>16</v>
      </c>
      <c r="J171" s="27" t="s">
        <v>18</v>
      </c>
      <c r="K171" s="28">
        <v>100434</v>
      </c>
      <c r="L171" s="28">
        <v>223475</v>
      </c>
      <c r="M171" s="28">
        <v>150223</v>
      </c>
      <c r="N171" s="27" t="s">
        <v>57</v>
      </c>
      <c r="O171" s="31">
        <v>6000000</v>
      </c>
      <c r="P171" s="29">
        <f>'Infrastructure Benchmarks - ref'!$O171/'Infrastructure Benchmarks - ref'!$K171</f>
        <v>59.740725252404566</v>
      </c>
      <c r="Q171" s="29">
        <f>'Infrastructure Benchmarks - ref'!$O171/'Infrastructure Benchmarks - ref'!$L171</f>
        <v>26.848640787560129</v>
      </c>
      <c r="R171" s="29">
        <f>'Infrastructure Benchmarks - ref'!$O171/'Infrastructure Benchmarks - ref'!$M171</f>
        <v>39.940621609207646</v>
      </c>
      <c r="S171" s="32">
        <v>2016</v>
      </c>
    </row>
    <row r="172" spans="1:19" x14ac:dyDescent="0.2">
      <c r="A172" s="25" t="s">
        <v>70</v>
      </c>
      <c r="B172" s="26" t="s">
        <v>2</v>
      </c>
      <c r="C172" s="26" t="s">
        <v>3</v>
      </c>
      <c r="D172" s="26" t="s">
        <v>32</v>
      </c>
      <c r="E172" s="26" t="s">
        <v>93</v>
      </c>
      <c r="F172" s="26" t="s">
        <v>33</v>
      </c>
      <c r="G172" s="26" t="s">
        <v>29</v>
      </c>
      <c r="H172" s="26" t="s">
        <v>78</v>
      </c>
      <c r="I172" s="27" t="s">
        <v>16</v>
      </c>
      <c r="J172" s="27" t="s">
        <v>18</v>
      </c>
      <c r="K172" s="28">
        <v>100434</v>
      </c>
      <c r="L172" s="28">
        <v>223475</v>
      </c>
      <c r="M172" s="28">
        <v>150223</v>
      </c>
      <c r="N172" s="27" t="s">
        <v>58</v>
      </c>
      <c r="O172" s="31">
        <v>3000000</v>
      </c>
      <c r="P172" s="29">
        <f>'Infrastructure Benchmarks - ref'!$O172/'Infrastructure Benchmarks - ref'!$K172</f>
        <v>29.870362626202283</v>
      </c>
      <c r="Q172" s="29">
        <f>'Infrastructure Benchmarks - ref'!$O172/'Infrastructure Benchmarks - ref'!$L172</f>
        <v>13.424320393780064</v>
      </c>
      <c r="R172" s="29">
        <f>'Infrastructure Benchmarks - ref'!$O172/'Infrastructure Benchmarks - ref'!$M172</f>
        <v>19.970310804603823</v>
      </c>
      <c r="S172" s="32">
        <v>2016</v>
      </c>
    </row>
    <row r="173" spans="1:19" x14ac:dyDescent="0.2">
      <c r="A173" s="25" t="s">
        <v>70</v>
      </c>
      <c r="B173" s="26" t="s">
        <v>2</v>
      </c>
      <c r="C173" s="26" t="s">
        <v>3</v>
      </c>
      <c r="D173" s="26" t="s">
        <v>32</v>
      </c>
      <c r="E173" s="26" t="s">
        <v>93</v>
      </c>
      <c r="F173" s="26" t="s">
        <v>33</v>
      </c>
      <c r="G173" s="26" t="s">
        <v>29</v>
      </c>
      <c r="H173" s="26" t="s">
        <v>78</v>
      </c>
      <c r="I173" s="27" t="s">
        <v>16</v>
      </c>
      <c r="J173" s="27" t="s">
        <v>18</v>
      </c>
      <c r="K173" s="28">
        <v>100434</v>
      </c>
      <c r="L173" s="28">
        <v>223475</v>
      </c>
      <c r="M173" s="28">
        <v>150223</v>
      </c>
      <c r="N173" s="27" t="s">
        <v>59</v>
      </c>
      <c r="O173" s="31">
        <v>992195</v>
      </c>
      <c r="P173" s="29">
        <f>'Infrastructure Benchmarks - ref'!$O173/'Infrastructure Benchmarks - ref'!$K173</f>
        <v>9.8790748153015908</v>
      </c>
      <c r="Q173" s="29">
        <f>'Infrastructure Benchmarks - ref'!$O173/'Infrastructure Benchmarks - ref'!$L173</f>
        <v>4.4398478577022038</v>
      </c>
      <c r="R173" s="29">
        <f>'Infrastructure Benchmarks - ref'!$O173/'Infrastructure Benchmarks - ref'!$M173</f>
        <v>6.6048141762579631</v>
      </c>
      <c r="S173" s="32">
        <v>2016</v>
      </c>
    </row>
    <row r="174" spans="1:19" x14ac:dyDescent="0.2">
      <c r="A174" s="25" t="s">
        <v>70</v>
      </c>
      <c r="B174" s="26" t="s">
        <v>2</v>
      </c>
      <c r="C174" s="26" t="s">
        <v>3</v>
      </c>
      <c r="D174" s="26" t="s">
        <v>32</v>
      </c>
      <c r="E174" s="26" t="s">
        <v>93</v>
      </c>
      <c r="F174" s="26" t="s">
        <v>33</v>
      </c>
      <c r="G174" s="26" t="s">
        <v>29</v>
      </c>
      <c r="H174" s="26" t="s">
        <v>78</v>
      </c>
      <c r="I174" s="27" t="s">
        <v>16</v>
      </c>
      <c r="J174" s="27" t="s">
        <v>18</v>
      </c>
      <c r="K174" s="28">
        <v>100434</v>
      </c>
      <c r="L174" s="28">
        <v>223475</v>
      </c>
      <c r="M174" s="28">
        <v>150223</v>
      </c>
      <c r="N174" s="27" t="s">
        <v>60</v>
      </c>
      <c r="O174" s="28">
        <v>0</v>
      </c>
      <c r="P174" s="29">
        <v>0</v>
      </c>
      <c r="Q174" s="29">
        <v>0</v>
      </c>
      <c r="R174" s="29">
        <v>0</v>
      </c>
      <c r="S174" s="32">
        <v>2016</v>
      </c>
    </row>
    <row r="175" spans="1:19" s="41" customFormat="1" ht="16" thickBot="1" x14ac:dyDescent="0.25">
      <c r="A175" s="35" t="s">
        <v>70</v>
      </c>
      <c r="B175" s="36" t="s">
        <v>2</v>
      </c>
      <c r="C175" s="36" t="s">
        <v>3</v>
      </c>
      <c r="D175" s="36" t="s">
        <v>32</v>
      </c>
      <c r="E175" s="36" t="s">
        <v>93</v>
      </c>
      <c r="F175" s="36" t="s">
        <v>33</v>
      </c>
      <c r="G175" s="36" t="s">
        <v>29</v>
      </c>
      <c r="H175" s="36" t="s">
        <v>78</v>
      </c>
      <c r="I175" s="37" t="s">
        <v>16</v>
      </c>
      <c r="J175" s="37" t="s">
        <v>18</v>
      </c>
      <c r="K175" s="38">
        <v>100434</v>
      </c>
      <c r="L175" s="38">
        <v>223475</v>
      </c>
      <c r="M175" s="38">
        <v>150223</v>
      </c>
      <c r="N175" s="37" t="s">
        <v>61</v>
      </c>
      <c r="O175" s="38">
        <v>0</v>
      </c>
      <c r="P175" s="39">
        <v>0</v>
      </c>
      <c r="Q175" s="39">
        <v>0</v>
      </c>
      <c r="R175" s="39">
        <v>0</v>
      </c>
      <c r="S175" s="50">
        <v>2016</v>
      </c>
    </row>
    <row r="176" spans="1:19" ht="16" thickTop="1" x14ac:dyDescent="0.2">
      <c r="A176" s="33"/>
      <c r="B176" s="1"/>
      <c r="C176" s="1"/>
      <c r="D176" s="1"/>
      <c r="E176" s="1"/>
      <c r="F176" s="1"/>
      <c r="O176" s="51"/>
      <c r="P176" s="2"/>
      <c r="Q176" s="2"/>
      <c r="R176" s="2"/>
      <c r="S176" s="52"/>
    </row>
    <row r="177" spans="1:19" x14ac:dyDescent="0.2">
      <c r="A177" s="25" t="s">
        <v>70</v>
      </c>
      <c r="B177" s="26" t="s">
        <v>2</v>
      </c>
      <c r="C177" s="26" t="s">
        <v>39</v>
      </c>
      <c r="D177" s="26" t="s">
        <v>41</v>
      </c>
      <c r="E177" s="26" t="s">
        <v>95</v>
      </c>
      <c r="F177" s="26" t="s">
        <v>40</v>
      </c>
      <c r="G177" s="26" t="s">
        <v>42</v>
      </c>
      <c r="H177" s="26" t="s">
        <v>77</v>
      </c>
      <c r="I177" s="27" t="s">
        <v>16</v>
      </c>
      <c r="J177" s="27" t="s">
        <v>18</v>
      </c>
      <c r="K177" s="28">
        <v>3395667</v>
      </c>
      <c r="L177" s="28">
        <v>10869286</v>
      </c>
      <c r="M177" s="28">
        <v>5627796</v>
      </c>
      <c r="N177" s="27" t="s">
        <v>24</v>
      </c>
      <c r="O177" s="28">
        <v>540843545</v>
      </c>
      <c r="P177" s="29">
        <f>'Infrastructure Benchmarks - ref'!$O177/'Infrastructure Benchmarks - ref'!$K177</f>
        <v>159.27461232211522</v>
      </c>
      <c r="Q177" s="29">
        <f>'Infrastructure Benchmarks - ref'!$O177/'Infrastructure Benchmarks - ref'!$L177</f>
        <v>49.758884346221087</v>
      </c>
      <c r="R177" s="29">
        <f>'Infrastructure Benchmarks - ref'!$O177/'Infrastructure Benchmarks - ref'!$M177</f>
        <v>96.102194358146605</v>
      </c>
      <c r="S177" s="30">
        <v>2017</v>
      </c>
    </row>
    <row r="178" spans="1:19" x14ac:dyDescent="0.2">
      <c r="A178" s="25" t="s">
        <v>70</v>
      </c>
      <c r="B178" s="26" t="s">
        <v>2</v>
      </c>
      <c r="C178" s="26" t="s">
        <v>39</v>
      </c>
      <c r="D178" s="26" t="s">
        <v>41</v>
      </c>
      <c r="E178" s="26" t="s">
        <v>95</v>
      </c>
      <c r="F178" s="26" t="s">
        <v>40</v>
      </c>
      <c r="G178" s="26" t="s">
        <v>42</v>
      </c>
      <c r="H178" s="26" t="s">
        <v>77</v>
      </c>
      <c r="I178" s="27" t="s">
        <v>16</v>
      </c>
      <c r="J178" s="27" t="s">
        <v>18</v>
      </c>
      <c r="K178" s="28">
        <v>3395667</v>
      </c>
      <c r="L178" s="28">
        <v>10869286</v>
      </c>
      <c r="M178" s="28">
        <v>5627796</v>
      </c>
      <c r="N178" s="27" t="s">
        <v>44</v>
      </c>
      <c r="O178" s="28">
        <v>0</v>
      </c>
      <c r="P178" s="29">
        <v>0</v>
      </c>
      <c r="Q178" s="29">
        <v>0</v>
      </c>
      <c r="R178" s="29">
        <v>0</v>
      </c>
      <c r="S178" s="30">
        <v>2017</v>
      </c>
    </row>
    <row r="179" spans="1:19" x14ac:dyDescent="0.2">
      <c r="A179" s="25" t="s">
        <v>70</v>
      </c>
      <c r="B179" s="26" t="s">
        <v>2</v>
      </c>
      <c r="C179" s="26" t="s">
        <v>39</v>
      </c>
      <c r="D179" s="26" t="s">
        <v>41</v>
      </c>
      <c r="E179" s="26" t="s">
        <v>95</v>
      </c>
      <c r="F179" s="26" t="s">
        <v>40</v>
      </c>
      <c r="G179" s="26" t="s">
        <v>42</v>
      </c>
      <c r="H179" s="26" t="s">
        <v>77</v>
      </c>
      <c r="I179" s="27" t="s">
        <v>16</v>
      </c>
      <c r="J179" s="27" t="s">
        <v>18</v>
      </c>
      <c r="K179" s="28">
        <v>3395667</v>
      </c>
      <c r="L179" s="28">
        <v>10869286</v>
      </c>
      <c r="M179" s="28">
        <v>5627796</v>
      </c>
      <c r="N179" s="27" t="s">
        <v>45</v>
      </c>
      <c r="O179" s="28">
        <v>0</v>
      </c>
      <c r="P179" s="29">
        <v>0</v>
      </c>
      <c r="Q179" s="29">
        <v>0</v>
      </c>
      <c r="R179" s="29">
        <v>0</v>
      </c>
      <c r="S179" s="30">
        <v>2017</v>
      </c>
    </row>
    <row r="180" spans="1:19" x14ac:dyDescent="0.2">
      <c r="A180" s="25" t="s">
        <v>70</v>
      </c>
      <c r="B180" s="26" t="s">
        <v>2</v>
      </c>
      <c r="C180" s="26" t="s">
        <v>39</v>
      </c>
      <c r="D180" s="26" t="s">
        <v>41</v>
      </c>
      <c r="E180" s="26" t="s">
        <v>95</v>
      </c>
      <c r="F180" s="26" t="s">
        <v>40</v>
      </c>
      <c r="G180" s="26" t="s">
        <v>42</v>
      </c>
      <c r="H180" s="26" t="s">
        <v>77</v>
      </c>
      <c r="I180" s="27" t="s">
        <v>16</v>
      </c>
      <c r="J180" s="27" t="s">
        <v>18</v>
      </c>
      <c r="K180" s="28">
        <v>3395667</v>
      </c>
      <c r="L180" s="28">
        <v>10869286</v>
      </c>
      <c r="M180" s="28">
        <v>5627796</v>
      </c>
      <c r="N180" s="27" t="s">
        <v>14</v>
      </c>
      <c r="O180" s="28">
        <v>0</v>
      </c>
      <c r="P180" s="29">
        <v>0</v>
      </c>
      <c r="Q180" s="29">
        <v>0</v>
      </c>
      <c r="R180" s="29">
        <v>0</v>
      </c>
      <c r="S180" s="30">
        <v>2017</v>
      </c>
    </row>
    <row r="181" spans="1:19" x14ac:dyDescent="0.2">
      <c r="A181" s="25" t="s">
        <v>70</v>
      </c>
      <c r="B181" s="26" t="s">
        <v>2</v>
      </c>
      <c r="C181" s="26" t="s">
        <v>39</v>
      </c>
      <c r="D181" s="26" t="s">
        <v>41</v>
      </c>
      <c r="E181" s="26" t="s">
        <v>95</v>
      </c>
      <c r="F181" s="26" t="s">
        <v>40</v>
      </c>
      <c r="G181" s="26" t="s">
        <v>42</v>
      </c>
      <c r="H181" s="26" t="s">
        <v>77</v>
      </c>
      <c r="I181" s="27" t="s">
        <v>16</v>
      </c>
      <c r="J181" s="27" t="s">
        <v>18</v>
      </c>
      <c r="K181" s="28">
        <v>3395667</v>
      </c>
      <c r="L181" s="28">
        <v>10869286</v>
      </c>
      <c r="M181" s="28">
        <v>5627796</v>
      </c>
      <c r="N181" s="27" t="s">
        <v>22</v>
      </c>
      <c r="O181" s="28">
        <v>178228000</v>
      </c>
      <c r="P181" s="29">
        <f>'Infrastructure Benchmarks - ref'!$O181/'Infrastructure Benchmarks - ref'!$K181</f>
        <v>52.486889909994119</v>
      </c>
      <c r="Q181" s="29">
        <f>'Infrastructure Benchmarks - ref'!$O181/'Infrastructure Benchmarks - ref'!$L181</f>
        <v>16.397397216339694</v>
      </c>
      <c r="R181" s="29">
        <f>'Infrastructure Benchmarks - ref'!$O181/'Infrastructure Benchmarks - ref'!$M181</f>
        <v>31.669236056175453</v>
      </c>
      <c r="S181" s="30">
        <v>2017</v>
      </c>
    </row>
    <row r="182" spans="1:19" x14ac:dyDescent="0.2">
      <c r="A182" s="25" t="s">
        <v>70</v>
      </c>
      <c r="B182" s="26" t="s">
        <v>2</v>
      </c>
      <c r="C182" s="26" t="s">
        <v>39</v>
      </c>
      <c r="D182" s="26" t="s">
        <v>41</v>
      </c>
      <c r="E182" s="26" t="s">
        <v>95</v>
      </c>
      <c r="F182" s="26" t="s">
        <v>40</v>
      </c>
      <c r="G182" s="26" t="s">
        <v>42</v>
      </c>
      <c r="H182" s="26" t="s">
        <v>77</v>
      </c>
      <c r="I182" s="27" t="s">
        <v>16</v>
      </c>
      <c r="J182" s="27" t="s">
        <v>18</v>
      </c>
      <c r="K182" s="28">
        <v>3395667</v>
      </c>
      <c r="L182" s="28">
        <v>10869286</v>
      </c>
      <c r="M182" s="28">
        <v>5627796</v>
      </c>
      <c r="N182" s="27" t="s">
        <v>20</v>
      </c>
      <c r="O182" s="28">
        <v>422459810</v>
      </c>
      <c r="P182" s="29">
        <f>'Infrastructure Benchmarks - ref'!$O182/'Infrastructure Benchmarks - ref'!$K182</f>
        <v>124.41143669270279</v>
      </c>
      <c r="Q182" s="29">
        <f>'Infrastructure Benchmarks - ref'!$O182/'Infrastructure Benchmarks - ref'!$L182</f>
        <v>38.867300943226631</v>
      </c>
      <c r="R182" s="29">
        <f>'Infrastructure Benchmarks - ref'!$O182/'Infrastructure Benchmarks - ref'!$M182</f>
        <v>75.066653091192364</v>
      </c>
      <c r="S182" s="30">
        <v>2017</v>
      </c>
    </row>
    <row r="183" spans="1:19" x14ac:dyDescent="0.2">
      <c r="A183" s="25" t="s">
        <v>70</v>
      </c>
      <c r="B183" s="26" t="s">
        <v>2</v>
      </c>
      <c r="C183" s="26" t="s">
        <v>39</v>
      </c>
      <c r="D183" s="26" t="s">
        <v>41</v>
      </c>
      <c r="E183" s="26" t="s">
        <v>95</v>
      </c>
      <c r="F183" s="26" t="s">
        <v>40</v>
      </c>
      <c r="G183" s="26" t="s">
        <v>42</v>
      </c>
      <c r="H183" s="26" t="s">
        <v>77</v>
      </c>
      <c r="I183" s="27" t="s">
        <v>16</v>
      </c>
      <c r="J183" s="27" t="s">
        <v>18</v>
      </c>
      <c r="K183" s="28">
        <v>3395667</v>
      </c>
      <c r="L183" s="28">
        <v>10869286</v>
      </c>
      <c r="M183" s="28">
        <v>5627796</v>
      </c>
      <c r="N183" s="27" t="s">
        <v>23</v>
      </c>
      <c r="O183" s="28">
        <v>199636000</v>
      </c>
      <c r="P183" s="29">
        <f>'Infrastructure Benchmarks - ref'!$O183/'Infrastructure Benchmarks - ref'!$K183</f>
        <v>58.791395033729749</v>
      </c>
      <c r="Q183" s="29">
        <f>'Infrastructure Benchmarks - ref'!$O183/'Infrastructure Benchmarks - ref'!$L183</f>
        <v>18.366983811080139</v>
      </c>
      <c r="R183" s="29">
        <f>'Infrastructure Benchmarks - ref'!$O183/'Infrastructure Benchmarks - ref'!$M183</f>
        <v>35.473211893252703</v>
      </c>
      <c r="S183" s="30">
        <v>2017</v>
      </c>
    </row>
    <row r="184" spans="1:19" x14ac:dyDescent="0.2">
      <c r="A184" s="25" t="s">
        <v>70</v>
      </c>
      <c r="B184" s="26" t="s">
        <v>2</v>
      </c>
      <c r="C184" s="26" t="s">
        <v>39</v>
      </c>
      <c r="D184" s="26" t="s">
        <v>41</v>
      </c>
      <c r="E184" s="26" t="s">
        <v>95</v>
      </c>
      <c r="F184" s="26" t="s">
        <v>40</v>
      </c>
      <c r="G184" s="26" t="s">
        <v>42</v>
      </c>
      <c r="H184" s="26" t="s">
        <v>77</v>
      </c>
      <c r="I184" s="27" t="s">
        <v>16</v>
      </c>
      <c r="J184" s="27" t="s">
        <v>18</v>
      </c>
      <c r="K184" s="28">
        <v>3395667</v>
      </c>
      <c r="L184" s="28">
        <v>10869286</v>
      </c>
      <c r="M184" s="28">
        <v>5627796</v>
      </c>
      <c r="N184" s="27" t="s">
        <v>43</v>
      </c>
      <c r="O184" s="28">
        <v>150561000</v>
      </c>
      <c r="P184" s="29">
        <f>'Infrastructure Benchmarks - ref'!$O184/'Infrastructure Benchmarks - ref'!$K184</f>
        <v>44.339153397550469</v>
      </c>
      <c r="Q184" s="29">
        <f>'Infrastructure Benchmarks - ref'!$O184/'Infrastructure Benchmarks - ref'!$L184</f>
        <v>13.851967829349601</v>
      </c>
      <c r="R184" s="29">
        <f>'Infrastructure Benchmarks - ref'!$O184/'Infrastructure Benchmarks - ref'!$M184</f>
        <v>26.753101924803243</v>
      </c>
      <c r="S184" s="30">
        <v>2017</v>
      </c>
    </row>
    <row r="185" spans="1:19" x14ac:dyDescent="0.2">
      <c r="A185" s="25" t="s">
        <v>70</v>
      </c>
      <c r="B185" s="26" t="s">
        <v>2</v>
      </c>
      <c r="C185" s="26" t="s">
        <v>39</v>
      </c>
      <c r="D185" s="26" t="s">
        <v>41</v>
      </c>
      <c r="E185" s="26" t="s">
        <v>95</v>
      </c>
      <c r="F185" s="26" t="s">
        <v>40</v>
      </c>
      <c r="G185" s="26" t="s">
        <v>42</v>
      </c>
      <c r="H185" s="26" t="s">
        <v>77</v>
      </c>
      <c r="I185" s="27" t="s">
        <v>16</v>
      </c>
      <c r="J185" s="27" t="s">
        <v>18</v>
      </c>
      <c r="K185" s="28">
        <v>3395667</v>
      </c>
      <c r="L185" s="28">
        <v>10869286</v>
      </c>
      <c r="M185" s="28">
        <v>5627796</v>
      </c>
      <c r="N185" s="27" t="s">
        <v>46</v>
      </c>
      <c r="O185" s="28">
        <v>0</v>
      </c>
      <c r="P185" s="29">
        <v>0</v>
      </c>
      <c r="Q185" s="29">
        <v>0</v>
      </c>
      <c r="R185" s="29">
        <v>0</v>
      </c>
      <c r="S185" s="30">
        <v>2017</v>
      </c>
    </row>
    <row r="186" spans="1:19" x14ac:dyDescent="0.2">
      <c r="A186" s="25" t="s">
        <v>70</v>
      </c>
      <c r="B186" s="26" t="s">
        <v>2</v>
      </c>
      <c r="C186" s="26" t="s">
        <v>39</v>
      </c>
      <c r="D186" s="26" t="s">
        <v>41</v>
      </c>
      <c r="E186" s="26" t="s">
        <v>95</v>
      </c>
      <c r="F186" s="26" t="s">
        <v>40</v>
      </c>
      <c r="G186" s="26" t="s">
        <v>42</v>
      </c>
      <c r="H186" s="26" t="s">
        <v>77</v>
      </c>
      <c r="I186" s="27" t="s">
        <v>16</v>
      </c>
      <c r="J186" s="27" t="s">
        <v>18</v>
      </c>
      <c r="K186" s="28">
        <v>3395667</v>
      </c>
      <c r="L186" s="28">
        <v>10869286</v>
      </c>
      <c r="M186" s="28">
        <v>5627796</v>
      </c>
      <c r="N186" s="27" t="s">
        <v>34</v>
      </c>
      <c r="O186" s="31">
        <v>47654324</v>
      </c>
      <c r="P186" s="29">
        <f>'Infrastructure Benchmarks - ref'!$O186/'Infrastructure Benchmarks - ref'!$K186</f>
        <v>14.033862566617987</v>
      </c>
      <c r="Q186" s="29">
        <f>'Infrastructure Benchmarks - ref'!$O186/'Infrastructure Benchmarks - ref'!$L186</f>
        <v>4.3843104321663811</v>
      </c>
      <c r="R186" s="29">
        <f>'Infrastructure Benchmarks - ref'!$O186/'Infrastructure Benchmarks - ref'!$M186</f>
        <v>8.4676708253106536</v>
      </c>
      <c r="S186" s="30">
        <v>2017</v>
      </c>
    </row>
    <row r="187" spans="1:19" x14ac:dyDescent="0.2">
      <c r="A187" s="25" t="s">
        <v>70</v>
      </c>
      <c r="B187" s="26" t="s">
        <v>2</v>
      </c>
      <c r="C187" s="26" t="s">
        <v>39</v>
      </c>
      <c r="D187" s="26" t="s">
        <v>41</v>
      </c>
      <c r="E187" s="26" t="s">
        <v>95</v>
      </c>
      <c r="F187" s="26" t="s">
        <v>40</v>
      </c>
      <c r="G187" s="26" t="s">
        <v>42</v>
      </c>
      <c r="H187" s="26" t="s">
        <v>77</v>
      </c>
      <c r="I187" s="27" t="s">
        <v>16</v>
      </c>
      <c r="J187" s="27" t="s">
        <v>18</v>
      </c>
      <c r="K187" s="28">
        <v>3395667</v>
      </c>
      <c r="L187" s="28">
        <v>10869286</v>
      </c>
      <c r="M187" s="28">
        <v>5627796</v>
      </c>
      <c r="N187" s="27" t="s">
        <v>26</v>
      </c>
      <c r="O187" s="31">
        <v>1162201000</v>
      </c>
      <c r="P187" s="29">
        <f>'Infrastructure Benchmarks - ref'!$O187/'Infrastructure Benchmarks - ref'!$K187</f>
        <v>342.26000370472133</v>
      </c>
      <c r="Q187" s="29">
        <f>'Infrastructure Benchmarks - ref'!$O187/'Infrastructure Benchmarks - ref'!$L187</f>
        <v>106.9252386955316</v>
      </c>
      <c r="R187" s="29">
        <f>'Infrastructure Benchmarks - ref'!$O187/'Infrastructure Benchmarks - ref'!$M187</f>
        <v>206.5108614455819</v>
      </c>
      <c r="S187" s="30">
        <v>2017</v>
      </c>
    </row>
    <row r="188" spans="1:19" x14ac:dyDescent="0.2">
      <c r="A188" s="25" t="s">
        <v>70</v>
      </c>
      <c r="B188" s="26" t="s">
        <v>2</v>
      </c>
      <c r="C188" s="26" t="s">
        <v>39</v>
      </c>
      <c r="D188" s="26" t="s">
        <v>41</v>
      </c>
      <c r="E188" s="26" t="s">
        <v>95</v>
      </c>
      <c r="F188" s="26" t="s">
        <v>40</v>
      </c>
      <c r="G188" s="26" t="s">
        <v>42</v>
      </c>
      <c r="H188" s="26" t="s">
        <v>77</v>
      </c>
      <c r="I188" s="27" t="s">
        <v>16</v>
      </c>
      <c r="J188" s="27" t="s">
        <v>18</v>
      </c>
      <c r="K188" s="28">
        <v>3395667</v>
      </c>
      <c r="L188" s="28">
        <v>10869286</v>
      </c>
      <c r="M188" s="28">
        <v>5627796</v>
      </c>
      <c r="N188" s="27" t="s">
        <v>28</v>
      </c>
      <c r="O188" s="31">
        <v>84604000</v>
      </c>
      <c r="P188" s="29">
        <f>'Infrastructure Benchmarks - ref'!$O188/'Infrastructure Benchmarks - ref'!$K188</f>
        <v>24.91528173993504</v>
      </c>
      <c r="Q188" s="29">
        <f>'Infrastructure Benchmarks - ref'!$O188/'Infrastructure Benchmarks - ref'!$L188</f>
        <v>7.783767949431085</v>
      </c>
      <c r="R188" s="29">
        <f>'Infrastructure Benchmarks - ref'!$O188/'Infrastructure Benchmarks - ref'!$M188</f>
        <v>15.033238589316316</v>
      </c>
      <c r="S188" s="30">
        <v>2017</v>
      </c>
    </row>
    <row r="189" spans="1:19" x14ac:dyDescent="0.2">
      <c r="A189" s="25" t="s">
        <v>70</v>
      </c>
      <c r="B189" s="26" t="s">
        <v>2</v>
      </c>
      <c r="C189" s="26" t="s">
        <v>39</v>
      </c>
      <c r="D189" s="26" t="s">
        <v>41</v>
      </c>
      <c r="E189" s="26" t="s">
        <v>95</v>
      </c>
      <c r="F189" s="26" t="s">
        <v>40</v>
      </c>
      <c r="G189" s="26" t="s">
        <v>42</v>
      </c>
      <c r="H189" s="26" t="s">
        <v>77</v>
      </c>
      <c r="I189" s="27" t="s">
        <v>16</v>
      </c>
      <c r="J189" s="27" t="s">
        <v>18</v>
      </c>
      <c r="K189" s="28">
        <v>3395667</v>
      </c>
      <c r="L189" s="28">
        <v>10869286</v>
      </c>
      <c r="M189" s="28">
        <v>5627796</v>
      </c>
      <c r="N189" s="27" t="s">
        <v>47</v>
      </c>
      <c r="O189" s="28">
        <v>0</v>
      </c>
      <c r="P189" s="29">
        <v>0</v>
      </c>
      <c r="Q189" s="29">
        <v>0</v>
      </c>
      <c r="R189" s="29">
        <v>0</v>
      </c>
      <c r="S189" s="30">
        <v>2017</v>
      </c>
    </row>
    <row r="190" spans="1:19" x14ac:dyDescent="0.2">
      <c r="A190" s="25" t="s">
        <v>70</v>
      </c>
      <c r="B190" s="26" t="s">
        <v>2</v>
      </c>
      <c r="C190" s="26" t="s">
        <v>39</v>
      </c>
      <c r="D190" s="26" t="s">
        <v>41</v>
      </c>
      <c r="E190" s="26" t="s">
        <v>95</v>
      </c>
      <c r="F190" s="26" t="s">
        <v>40</v>
      </c>
      <c r="G190" s="26" t="s">
        <v>42</v>
      </c>
      <c r="H190" s="26" t="s">
        <v>77</v>
      </c>
      <c r="I190" s="27" t="s">
        <v>16</v>
      </c>
      <c r="J190" s="27" t="s">
        <v>18</v>
      </c>
      <c r="K190" s="28">
        <v>3395667</v>
      </c>
      <c r="L190" s="28">
        <v>10869286</v>
      </c>
      <c r="M190" s="28">
        <v>5627796</v>
      </c>
      <c r="N190" s="27" t="s">
        <v>27</v>
      </c>
      <c r="O190" s="31">
        <v>206658651</v>
      </c>
      <c r="P190" s="29">
        <f>'Infrastructure Benchmarks - ref'!$O190/'Infrastructure Benchmarks - ref'!$K190</f>
        <v>60.859516259986627</v>
      </c>
      <c r="Q190" s="29">
        <f>'Infrastructure Benchmarks - ref'!$O190/'Infrastructure Benchmarks - ref'!$L190</f>
        <v>19.013084300109501</v>
      </c>
      <c r="R190" s="29">
        <f>'Infrastructure Benchmarks - ref'!$O190/'Infrastructure Benchmarks - ref'!$M190</f>
        <v>36.721062916992729</v>
      </c>
      <c r="S190" s="30">
        <v>2017</v>
      </c>
    </row>
    <row r="191" spans="1:19" x14ac:dyDescent="0.2">
      <c r="A191" s="25" t="s">
        <v>70</v>
      </c>
      <c r="B191" s="26" t="s">
        <v>2</v>
      </c>
      <c r="C191" s="26" t="s">
        <v>39</v>
      </c>
      <c r="D191" s="26" t="s">
        <v>41</v>
      </c>
      <c r="E191" s="26" t="s">
        <v>95</v>
      </c>
      <c r="F191" s="26" t="s">
        <v>40</v>
      </c>
      <c r="G191" s="26" t="s">
        <v>42</v>
      </c>
      <c r="H191" s="26" t="s">
        <v>77</v>
      </c>
      <c r="I191" s="27" t="s">
        <v>16</v>
      </c>
      <c r="J191" s="27" t="s">
        <v>18</v>
      </c>
      <c r="K191" s="28">
        <v>3395667</v>
      </c>
      <c r="L191" s="28">
        <v>10869286</v>
      </c>
      <c r="M191" s="28">
        <v>5627796</v>
      </c>
      <c r="N191" s="27" t="s">
        <v>48</v>
      </c>
      <c r="O191" s="28">
        <v>0</v>
      </c>
      <c r="P191" s="29">
        <v>0</v>
      </c>
      <c r="Q191" s="29">
        <v>0</v>
      </c>
      <c r="R191" s="29">
        <v>0</v>
      </c>
      <c r="S191" s="30">
        <v>2017</v>
      </c>
    </row>
    <row r="192" spans="1:19" x14ac:dyDescent="0.2">
      <c r="A192" s="25" t="s">
        <v>70</v>
      </c>
      <c r="B192" s="26" t="s">
        <v>2</v>
      </c>
      <c r="C192" s="26" t="s">
        <v>39</v>
      </c>
      <c r="D192" s="26" t="s">
        <v>41</v>
      </c>
      <c r="E192" s="26" t="s">
        <v>95</v>
      </c>
      <c r="F192" s="26" t="s">
        <v>40</v>
      </c>
      <c r="G192" s="26" t="s">
        <v>42</v>
      </c>
      <c r="H192" s="26" t="s">
        <v>77</v>
      </c>
      <c r="I192" s="27" t="s">
        <v>16</v>
      </c>
      <c r="J192" s="27" t="s">
        <v>18</v>
      </c>
      <c r="K192" s="28">
        <v>3395667</v>
      </c>
      <c r="L192" s="28">
        <v>10869286</v>
      </c>
      <c r="M192" s="28">
        <v>5627796</v>
      </c>
      <c r="N192" s="27" t="s">
        <v>49</v>
      </c>
      <c r="O192" s="28">
        <v>0</v>
      </c>
      <c r="P192" s="29">
        <v>0</v>
      </c>
      <c r="Q192" s="29">
        <v>0</v>
      </c>
      <c r="R192" s="29">
        <v>0</v>
      </c>
      <c r="S192" s="30">
        <v>2017</v>
      </c>
    </row>
    <row r="193" spans="1:19" x14ac:dyDescent="0.2">
      <c r="A193" s="25" t="s">
        <v>70</v>
      </c>
      <c r="B193" s="26" t="s">
        <v>2</v>
      </c>
      <c r="C193" s="26" t="s">
        <v>39</v>
      </c>
      <c r="D193" s="26" t="s">
        <v>41</v>
      </c>
      <c r="E193" s="26" t="s">
        <v>95</v>
      </c>
      <c r="F193" s="26" t="s">
        <v>40</v>
      </c>
      <c r="G193" s="26" t="s">
        <v>42</v>
      </c>
      <c r="H193" s="26" t="s">
        <v>77</v>
      </c>
      <c r="I193" s="27" t="s">
        <v>16</v>
      </c>
      <c r="J193" s="27" t="s">
        <v>18</v>
      </c>
      <c r="K193" s="28">
        <v>3395667</v>
      </c>
      <c r="L193" s="28">
        <v>10869286</v>
      </c>
      <c r="M193" s="28">
        <v>5627796</v>
      </c>
      <c r="N193" s="27" t="s">
        <v>50</v>
      </c>
      <c r="O193" s="28">
        <v>0</v>
      </c>
      <c r="P193" s="29">
        <v>0</v>
      </c>
      <c r="Q193" s="29">
        <v>0</v>
      </c>
      <c r="R193" s="29">
        <v>0</v>
      </c>
      <c r="S193" s="30">
        <v>2017</v>
      </c>
    </row>
    <row r="194" spans="1:19" x14ac:dyDescent="0.2">
      <c r="A194" s="25" t="s">
        <v>70</v>
      </c>
      <c r="B194" s="26" t="s">
        <v>2</v>
      </c>
      <c r="C194" s="26" t="s">
        <v>39</v>
      </c>
      <c r="D194" s="26" t="s">
        <v>41</v>
      </c>
      <c r="E194" s="26" t="s">
        <v>95</v>
      </c>
      <c r="F194" s="26" t="s">
        <v>40</v>
      </c>
      <c r="G194" s="26" t="s">
        <v>42</v>
      </c>
      <c r="H194" s="26" t="s">
        <v>77</v>
      </c>
      <c r="I194" s="27" t="s">
        <v>16</v>
      </c>
      <c r="J194" s="27" t="s">
        <v>18</v>
      </c>
      <c r="K194" s="28">
        <v>3395667</v>
      </c>
      <c r="L194" s="28">
        <v>10869286</v>
      </c>
      <c r="M194" s="28">
        <v>5627796</v>
      </c>
      <c r="N194" s="27" t="s">
        <v>51</v>
      </c>
      <c r="O194" s="28">
        <v>67587000</v>
      </c>
      <c r="P194" s="29">
        <f>'Infrastructure Benchmarks - ref'!$O194/'Infrastructure Benchmarks - ref'!$K194</f>
        <v>19.903895169932742</v>
      </c>
      <c r="Q194" s="29">
        <f>'Infrastructure Benchmarks - ref'!$O194/'Infrastructure Benchmarks - ref'!$L194</f>
        <v>6.2181637321899528</v>
      </c>
      <c r="R194" s="29">
        <f>'Infrastructure Benchmarks - ref'!$O194/'Infrastructure Benchmarks - ref'!$M194</f>
        <v>12.009497145951986</v>
      </c>
      <c r="S194" s="30">
        <v>2017</v>
      </c>
    </row>
    <row r="195" spans="1:19" x14ac:dyDescent="0.2">
      <c r="A195" s="25" t="s">
        <v>70</v>
      </c>
      <c r="B195" s="26" t="s">
        <v>2</v>
      </c>
      <c r="C195" s="26" t="s">
        <v>39</v>
      </c>
      <c r="D195" s="26" t="s">
        <v>41</v>
      </c>
      <c r="E195" s="26" t="s">
        <v>95</v>
      </c>
      <c r="F195" s="26" t="s">
        <v>40</v>
      </c>
      <c r="G195" s="26" t="s">
        <v>42</v>
      </c>
      <c r="H195" s="26" t="s">
        <v>77</v>
      </c>
      <c r="I195" s="27" t="s">
        <v>16</v>
      </c>
      <c r="J195" s="27" t="s">
        <v>18</v>
      </c>
      <c r="K195" s="28">
        <v>3395667</v>
      </c>
      <c r="L195" s="28">
        <v>10869286</v>
      </c>
      <c r="M195" s="28">
        <v>5627796</v>
      </c>
      <c r="N195" s="27" t="s">
        <v>52</v>
      </c>
      <c r="O195" s="28">
        <v>0</v>
      </c>
      <c r="P195" s="29">
        <v>0</v>
      </c>
      <c r="Q195" s="29">
        <v>0</v>
      </c>
      <c r="R195" s="29">
        <v>0</v>
      </c>
      <c r="S195" s="30">
        <v>2017</v>
      </c>
    </row>
    <row r="196" spans="1:19" x14ac:dyDescent="0.2">
      <c r="A196" s="25" t="s">
        <v>70</v>
      </c>
      <c r="B196" s="26" t="s">
        <v>2</v>
      </c>
      <c r="C196" s="26" t="s">
        <v>39</v>
      </c>
      <c r="D196" s="26" t="s">
        <v>41</v>
      </c>
      <c r="E196" s="26" t="s">
        <v>95</v>
      </c>
      <c r="F196" s="26" t="s">
        <v>40</v>
      </c>
      <c r="G196" s="26" t="s">
        <v>42</v>
      </c>
      <c r="H196" s="26" t="s">
        <v>77</v>
      </c>
      <c r="I196" s="27" t="s">
        <v>16</v>
      </c>
      <c r="J196" s="27" t="s">
        <v>18</v>
      </c>
      <c r="K196" s="28">
        <v>3395667</v>
      </c>
      <c r="L196" s="28">
        <v>10869286</v>
      </c>
      <c r="M196" s="28">
        <v>5627796</v>
      </c>
      <c r="N196" s="27" t="s">
        <v>53</v>
      </c>
      <c r="O196" s="28">
        <v>0</v>
      </c>
      <c r="P196" s="29">
        <v>0</v>
      </c>
      <c r="Q196" s="29">
        <v>0</v>
      </c>
      <c r="R196" s="29">
        <v>0</v>
      </c>
      <c r="S196" s="30">
        <v>2017</v>
      </c>
    </row>
    <row r="197" spans="1:19" x14ac:dyDescent="0.2">
      <c r="A197" s="25" t="s">
        <v>70</v>
      </c>
      <c r="B197" s="26" t="s">
        <v>2</v>
      </c>
      <c r="C197" s="26" t="s">
        <v>39</v>
      </c>
      <c r="D197" s="26" t="s">
        <v>41</v>
      </c>
      <c r="E197" s="26" t="s">
        <v>95</v>
      </c>
      <c r="F197" s="26" t="s">
        <v>40</v>
      </c>
      <c r="G197" s="26" t="s">
        <v>42</v>
      </c>
      <c r="H197" s="26" t="s">
        <v>77</v>
      </c>
      <c r="I197" s="27" t="s">
        <v>16</v>
      </c>
      <c r="J197" s="27" t="s">
        <v>18</v>
      </c>
      <c r="K197" s="28">
        <v>3395667</v>
      </c>
      <c r="L197" s="28">
        <v>10869286</v>
      </c>
      <c r="M197" s="28">
        <v>5627796</v>
      </c>
      <c r="N197" s="27" t="s">
        <v>54</v>
      </c>
      <c r="O197" s="28">
        <v>0</v>
      </c>
      <c r="P197" s="29">
        <v>0</v>
      </c>
      <c r="Q197" s="29">
        <v>0</v>
      </c>
      <c r="R197" s="29">
        <v>0</v>
      </c>
      <c r="S197" s="30">
        <v>2017</v>
      </c>
    </row>
    <row r="198" spans="1:19" x14ac:dyDescent="0.2">
      <c r="A198" s="25" t="s">
        <v>70</v>
      </c>
      <c r="B198" s="26" t="s">
        <v>2</v>
      </c>
      <c r="C198" s="26" t="s">
        <v>39</v>
      </c>
      <c r="D198" s="26" t="s">
        <v>41</v>
      </c>
      <c r="E198" s="26" t="s">
        <v>95</v>
      </c>
      <c r="F198" s="26" t="s">
        <v>40</v>
      </c>
      <c r="G198" s="26" t="s">
        <v>42</v>
      </c>
      <c r="H198" s="26" t="s">
        <v>77</v>
      </c>
      <c r="I198" s="27" t="s">
        <v>16</v>
      </c>
      <c r="J198" s="27" t="s">
        <v>18</v>
      </c>
      <c r="K198" s="28">
        <v>3395667</v>
      </c>
      <c r="L198" s="28">
        <v>10869286</v>
      </c>
      <c r="M198" s="28">
        <v>5627796</v>
      </c>
      <c r="N198" s="27" t="s">
        <v>55</v>
      </c>
      <c r="O198" s="28">
        <v>0</v>
      </c>
      <c r="P198" s="29">
        <v>0</v>
      </c>
      <c r="Q198" s="29">
        <v>0</v>
      </c>
      <c r="R198" s="29">
        <v>0</v>
      </c>
      <c r="S198" s="30">
        <v>2017</v>
      </c>
    </row>
    <row r="199" spans="1:19" x14ac:dyDescent="0.2">
      <c r="A199" s="25" t="s">
        <v>70</v>
      </c>
      <c r="B199" s="26" t="s">
        <v>2</v>
      </c>
      <c r="C199" s="26" t="s">
        <v>39</v>
      </c>
      <c r="D199" s="26" t="s">
        <v>41</v>
      </c>
      <c r="E199" s="26" t="s">
        <v>95</v>
      </c>
      <c r="F199" s="26" t="s">
        <v>40</v>
      </c>
      <c r="G199" s="26" t="s">
        <v>42</v>
      </c>
      <c r="H199" s="26" t="s">
        <v>77</v>
      </c>
      <c r="I199" s="27" t="s">
        <v>16</v>
      </c>
      <c r="J199" s="27" t="s">
        <v>18</v>
      </c>
      <c r="K199" s="28">
        <v>3395667</v>
      </c>
      <c r="L199" s="28">
        <v>10869286</v>
      </c>
      <c r="M199" s="28">
        <v>5627796</v>
      </c>
      <c r="N199" s="27" t="s">
        <v>56</v>
      </c>
      <c r="O199" s="28">
        <v>0</v>
      </c>
      <c r="P199" s="29">
        <v>0</v>
      </c>
      <c r="Q199" s="29">
        <v>0</v>
      </c>
      <c r="R199" s="29">
        <v>0</v>
      </c>
      <c r="S199" s="30">
        <v>2017</v>
      </c>
    </row>
    <row r="200" spans="1:19" x14ac:dyDescent="0.2">
      <c r="A200" s="25" t="s">
        <v>70</v>
      </c>
      <c r="B200" s="26" t="s">
        <v>2</v>
      </c>
      <c r="C200" s="26" t="s">
        <v>39</v>
      </c>
      <c r="D200" s="26" t="s">
        <v>41</v>
      </c>
      <c r="E200" s="26" t="s">
        <v>95</v>
      </c>
      <c r="F200" s="26" t="s">
        <v>40</v>
      </c>
      <c r="G200" s="26" t="s">
        <v>42</v>
      </c>
      <c r="H200" s="26" t="s">
        <v>77</v>
      </c>
      <c r="I200" s="27" t="s">
        <v>16</v>
      </c>
      <c r="J200" s="27" t="s">
        <v>18</v>
      </c>
      <c r="K200" s="28">
        <v>3395667</v>
      </c>
      <c r="L200" s="28">
        <v>10869286</v>
      </c>
      <c r="M200" s="28">
        <v>5627796</v>
      </c>
      <c r="N200" s="27" t="s">
        <v>73</v>
      </c>
      <c r="O200" s="31">
        <f>271088000+44744762</f>
        <v>315832762</v>
      </c>
      <c r="P200" s="29">
        <f>'Infrastructure Benchmarks - ref'!$O200/'Infrastructure Benchmarks - ref'!$K200</f>
        <v>93.010522527680124</v>
      </c>
      <c r="Q200" s="29">
        <f>'Infrastructure Benchmarks - ref'!$O200/'Infrastructure Benchmarks - ref'!$L200</f>
        <v>29.057360529477283</v>
      </c>
      <c r="R200" s="29">
        <f>'Infrastructure Benchmarks - ref'!$O200/'Infrastructure Benchmarks - ref'!$M200</f>
        <v>56.120151121327069</v>
      </c>
      <c r="S200" s="30">
        <v>2017</v>
      </c>
    </row>
    <row r="201" spans="1:19" x14ac:dyDescent="0.2">
      <c r="A201" s="25" t="s">
        <v>70</v>
      </c>
      <c r="B201" s="26" t="s">
        <v>2</v>
      </c>
      <c r="C201" s="26" t="s">
        <v>39</v>
      </c>
      <c r="D201" s="26" t="s">
        <v>41</v>
      </c>
      <c r="E201" s="26" t="s">
        <v>95</v>
      </c>
      <c r="F201" s="26" t="s">
        <v>40</v>
      </c>
      <c r="G201" s="26" t="s">
        <v>42</v>
      </c>
      <c r="H201" s="26" t="s">
        <v>77</v>
      </c>
      <c r="I201" s="27" t="s">
        <v>16</v>
      </c>
      <c r="J201" s="27" t="s">
        <v>18</v>
      </c>
      <c r="K201" s="28">
        <v>3395667</v>
      </c>
      <c r="L201" s="28">
        <v>10869286</v>
      </c>
      <c r="M201" s="28">
        <v>5627796</v>
      </c>
      <c r="N201" s="27" t="s">
        <v>57</v>
      </c>
      <c r="O201" s="28">
        <v>0</v>
      </c>
      <c r="P201" s="29">
        <v>0</v>
      </c>
      <c r="Q201" s="29">
        <v>0</v>
      </c>
      <c r="R201" s="29">
        <v>0</v>
      </c>
      <c r="S201" s="30">
        <v>2017</v>
      </c>
    </row>
    <row r="202" spans="1:19" x14ac:dyDescent="0.2">
      <c r="A202" s="25" t="s">
        <v>70</v>
      </c>
      <c r="B202" s="26" t="s">
        <v>2</v>
      </c>
      <c r="C202" s="26" t="s">
        <v>39</v>
      </c>
      <c r="D202" s="26" t="s">
        <v>41</v>
      </c>
      <c r="E202" s="26" t="s">
        <v>95</v>
      </c>
      <c r="F202" s="26" t="s">
        <v>40</v>
      </c>
      <c r="G202" s="26" t="s">
        <v>42</v>
      </c>
      <c r="H202" s="26" t="s">
        <v>77</v>
      </c>
      <c r="I202" s="27" t="s">
        <v>16</v>
      </c>
      <c r="J202" s="27" t="s">
        <v>18</v>
      </c>
      <c r="K202" s="28">
        <v>3395667</v>
      </c>
      <c r="L202" s="28">
        <v>10869286</v>
      </c>
      <c r="M202" s="28">
        <v>5627796</v>
      </c>
      <c r="N202" s="27" t="s">
        <v>58</v>
      </c>
      <c r="O202" s="28">
        <v>0</v>
      </c>
      <c r="P202" s="29">
        <v>0</v>
      </c>
      <c r="Q202" s="29">
        <v>0</v>
      </c>
      <c r="R202" s="29">
        <v>0</v>
      </c>
      <c r="S202" s="30">
        <v>2017</v>
      </c>
    </row>
    <row r="203" spans="1:19" x14ac:dyDescent="0.2">
      <c r="A203" s="25" t="s">
        <v>70</v>
      </c>
      <c r="B203" s="26" t="s">
        <v>2</v>
      </c>
      <c r="C203" s="26" t="s">
        <v>39</v>
      </c>
      <c r="D203" s="26" t="s">
        <v>41</v>
      </c>
      <c r="E203" s="26" t="s">
        <v>95</v>
      </c>
      <c r="F203" s="26" t="s">
        <v>40</v>
      </c>
      <c r="G203" s="26" t="s">
        <v>42</v>
      </c>
      <c r="H203" s="26" t="s">
        <v>77</v>
      </c>
      <c r="I203" s="27" t="s">
        <v>16</v>
      </c>
      <c r="J203" s="27" t="s">
        <v>18</v>
      </c>
      <c r="K203" s="28">
        <v>3395667</v>
      </c>
      <c r="L203" s="28">
        <v>10869286</v>
      </c>
      <c r="M203" s="28">
        <v>5627796</v>
      </c>
      <c r="N203" s="27" t="s">
        <v>59</v>
      </c>
      <c r="O203" s="28">
        <v>0</v>
      </c>
      <c r="P203" s="29">
        <v>0</v>
      </c>
      <c r="Q203" s="29">
        <v>0</v>
      </c>
      <c r="R203" s="29">
        <v>0</v>
      </c>
      <c r="S203" s="30">
        <v>2017</v>
      </c>
    </row>
    <row r="204" spans="1:19" x14ac:dyDescent="0.2">
      <c r="A204" s="25" t="s">
        <v>70</v>
      </c>
      <c r="B204" s="26" t="s">
        <v>2</v>
      </c>
      <c r="C204" s="26" t="s">
        <v>39</v>
      </c>
      <c r="D204" s="26" t="s">
        <v>41</v>
      </c>
      <c r="E204" s="26" t="s">
        <v>95</v>
      </c>
      <c r="F204" s="26" t="s">
        <v>40</v>
      </c>
      <c r="G204" s="26" t="s">
        <v>42</v>
      </c>
      <c r="H204" s="26" t="s">
        <v>77</v>
      </c>
      <c r="I204" s="27" t="s">
        <v>16</v>
      </c>
      <c r="J204" s="27" t="s">
        <v>18</v>
      </c>
      <c r="K204" s="28">
        <v>3395667</v>
      </c>
      <c r="L204" s="28">
        <v>10869286</v>
      </c>
      <c r="M204" s="28">
        <v>5627796</v>
      </c>
      <c r="N204" s="27" t="s">
        <v>60</v>
      </c>
      <c r="O204" s="28">
        <v>0</v>
      </c>
      <c r="P204" s="29">
        <v>0</v>
      </c>
      <c r="Q204" s="29">
        <v>0</v>
      </c>
      <c r="R204" s="29">
        <v>0</v>
      </c>
      <c r="S204" s="30">
        <v>2017</v>
      </c>
    </row>
    <row r="205" spans="1:19" s="41" customFormat="1" ht="16" thickBot="1" x14ac:dyDescent="0.25">
      <c r="A205" s="35" t="s">
        <v>70</v>
      </c>
      <c r="B205" s="36" t="s">
        <v>2</v>
      </c>
      <c r="C205" s="36" t="s">
        <v>39</v>
      </c>
      <c r="D205" s="36" t="s">
        <v>41</v>
      </c>
      <c r="E205" s="36" t="s">
        <v>95</v>
      </c>
      <c r="F205" s="36" t="s">
        <v>40</v>
      </c>
      <c r="G205" s="36" t="s">
        <v>42</v>
      </c>
      <c r="H205" s="36" t="s">
        <v>77</v>
      </c>
      <c r="I205" s="37" t="s">
        <v>16</v>
      </c>
      <c r="J205" s="37" t="s">
        <v>18</v>
      </c>
      <c r="K205" s="38">
        <v>3395667</v>
      </c>
      <c r="L205" s="38">
        <v>10869286</v>
      </c>
      <c r="M205" s="38">
        <v>5627796</v>
      </c>
      <c r="N205" s="37" t="s">
        <v>61</v>
      </c>
      <c r="O205" s="38">
        <v>0</v>
      </c>
      <c r="P205" s="39">
        <v>0</v>
      </c>
      <c r="Q205" s="39">
        <v>0</v>
      </c>
      <c r="R205" s="39">
        <v>0</v>
      </c>
      <c r="S205" s="40">
        <v>2017</v>
      </c>
    </row>
    <row r="206" spans="1:19" ht="16" thickTop="1" x14ac:dyDescent="0.2">
      <c r="O206" s="6"/>
      <c r="P206" s="2"/>
      <c r="Q206" s="2"/>
      <c r="R206" s="2"/>
      <c r="S206" s="9"/>
    </row>
    <row r="207" spans="1:19" x14ac:dyDescent="0.2">
      <c r="O207" s="6"/>
      <c r="P207" s="2"/>
      <c r="Q207" s="2"/>
      <c r="R207" s="2"/>
      <c r="S207" s="9"/>
    </row>
    <row r="208" spans="1:19" x14ac:dyDescent="0.2">
      <c r="O208" s="6"/>
      <c r="P208" s="2"/>
      <c r="Q208" s="2"/>
      <c r="R208" s="2"/>
      <c r="S208" s="9"/>
    </row>
    <row r="209" spans="15:19" x14ac:dyDescent="0.2">
      <c r="O209" s="6"/>
      <c r="P209" s="2"/>
      <c r="Q209" s="2"/>
      <c r="R209" s="2"/>
      <c r="S209" s="9"/>
    </row>
    <row r="210" spans="15:19" x14ac:dyDescent="0.2">
      <c r="O210" s="6"/>
      <c r="P210" s="2"/>
      <c r="Q210" s="2"/>
      <c r="R210" s="2"/>
      <c r="S210" s="9"/>
    </row>
    <row r="211" spans="15:19" x14ac:dyDescent="0.2">
      <c r="O211" s="6"/>
      <c r="P211" s="2"/>
      <c r="Q211" s="2"/>
      <c r="R211" s="2"/>
      <c r="S211" s="9"/>
    </row>
    <row r="212" spans="15:19" x14ac:dyDescent="0.2">
      <c r="O212" s="6"/>
      <c r="P212" s="2"/>
      <c r="Q212" s="2"/>
      <c r="R212" s="2"/>
      <c r="S212" s="9"/>
    </row>
    <row r="213" spans="15:19" x14ac:dyDescent="0.2">
      <c r="O213" s="6"/>
      <c r="P213" s="2"/>
      <c r="Q213" s="2"/>
      <c r="R213" s="2"/>
      <c r="S213" s="9"/>
    </row>
    <row r="214" spans="15:19" x14ac:dyDescent="0.2">
      <c r="O214" s="6"/>
      <c r="P214" s="2"/>
      <c r="Q214" s="2"/>
      <c r="R214" s="2"/>
      <c r="S214" s="9"/>
    </row>
    <row r="215" spans="15:19" x14ac:dyDescent="0.2">
      <c r="O215" s="6"/>
      <c r="P215" s="2"/>
      <c r="Q215" s="2"/>
      <c r="R215" s="2"/>
      <c r="S215" s="9"/>
    </row>
    <row r="216" spans="15:19" x14ac:dyDescent="0.2">
      <c r="O216" s="6"/>
      <c r="P216" s="2"/>
      <c r="Q216" s="2"/>
      <c r="R216" s="2"/>
      <c r="S216" s="9"/>
    </row>
    <row r="217" spans="15:19" x14ac:dyDescent="0.2">
      <c r="O217" s="6"/>
      <c r="P217" s="2"/>
      <c r="Q217" s="2"/>
      <c r="R217" s="2"/>
      <c r="S217" s="9"/>
    </row>
    <row r="218" spans="15:19" x14ac:dyDescent="0.2">
      <c r="O218" s="6"/>
      <c r="P218" s="2"/>
      <c r="Q218" s="2"/>
      <c r="R218" s="2"/>
      <c r="S218" s="9"/>
    </row>
    <row r="219" spans="15:19" x14ac:dyDescent="0.2">
      <c r="O219" s="6"/>
      <c r="P219" s="2"/>
      <c r="Q219" s="2"/>
      <c r="R219" s="2"/>
      <c r="S219" s="9"/>
    </row>
    <row r="220" spans="15:19" x14ac:dyDescent="0.2">
      <c r="O220" s="6"/>
      <c r="P220" s="2"/>
      <c r="Q220" s="2"/>
      <c r="R220" s="2"/>
      <c r="S220" s="9"/>
    </row>
    <row r="221" spans="15:19" x14ac:dyDescent="0.2">
      <c r="O221" s="6"/>
      <c r="P221" s="2"/>
      <c r="Q221" s="2"/>
      <c r="R221" s="2"/>
      <c r="S221" s="9"/>
    </row>
    <row r="222" spans="15:19" x14ac:dyDescent="0.2">
      <c r="O222" s="6"/>
      <c r="P222" s="2"/>
      <c r="Q222" s="2"/>
      <c r="R222" s="2"/>
      <c r="S222" s="9"/>
    </row>
    <row r="223" spans="15:19" x14ac:dyDescent="0.2">
      <c r="O223" s="6"/>
      <c r="P223" s="2"/>
      <c r="Q223" s="2"/>
      <c r="R223" s="2"/>
      <c r="S223" s="9"/>
    </row>
    <row r="224" spans="15:19" x14ac:dyDescent="0.2">
      <c r="O224" s="6"/>
      <c r="P224" s="2"/>
      <c r="Q224" s="2"/>
      <c r="R224" s="2"/>
      <c r="S224" s="9"/>
    </row>
    <row r="225" spans="15:19" x14ac:dyDescent="0.2">
      <c r="O225" s="6"/>
      <c r="P225" s="2"/>
      <c r="Q225" s="2"/>
      <c r="R225" s="2"/>
      <c r="S225" s="9"/>
    </row>
    <row r="226" spans="15:19" x14ac:dyDescent="0.2">
      <c r="O226" s="6"/>
      <c r="P226" s="2"/>
      <c r="Q226" s="2"/>
      <c r="R226" s="2"/>
      <c r="S226" s="9"/>
    </row>
    <row r="227" spans="15:19" x14ac:dyDescent="0.2">
      <c r="O227" s="6"/>
      <c r="P227" s="2"/>
      <c r="Q227" s="2"/>
      <c r="R227" s="2"/>
      <c r="S227" s="9"/>
    </row>
    <row r="228" spans="15:19" x14ac:dyDescent="0.2">
      <c r="O228" s="6"/>
      <c r="P228" s="2"/>
      <c r="Q228" s="2"/>
      <c r="R228" s="2"/>
      <c r="S228" s="9"/>
    </row>
    <row r="229" spans="15:19" x14ac:dyDescent="0.2">
      <c r="O229" s="6"/>
      <c r="P229" s="2"/>
      <c r="Q229" s="2"/>
      <c r="R229" s="2"/>
      <c r="S229" s="9"/>
    </row>
    <row r="230" spans="15:19" x14ac:dyDescent="0.2">
      <c r="O230" s="6"/>
      <c r="P230" s="2"/>
      <c r="Q230" s="2"/>
      <c r="R230" s="2"/>
      <c r="S230" s="9"/>
    </row>
    <row r="231" spans="15:19" x14ac:dyDescent="0.2">
      <c r="O231" s="6"/>
      <c r="P231" s="2"/>
      <c r="Q231" s="2"/>
      <c r="R231" s="2"/>
      <c r="S231" s="9"/>
    </row>
    <row r="232" spans="15:19" x14ac:dyDescent="0.2">
      <c r="O232" s="6"/>
      <c r="P232" s="2"/>
      <c r="Q232" s="2"/>
      <c r="R232" s="2"/>
      <c r="S232" s="9"/>
    </row>
    <row r="233" spans="15:19" x14ac:dyDescent="0.2">
      <c r="O233" s="6"/>
      <c r="P233" s="2"/>
      <c r="Q233" s="2"/>
      <c r="R233" s="2"/>
      <c r="S233" s="9"/>
    </row>
    <row r="234" spans="15:19" x14ac:dyDescent="0.2">
      <c r="O234" s="6"/>
      <c r="P234" s="2"/>
      <c r="Q234" s="2"/>
      <c r="R234" s="2"/>
      <c r="S234" s="9"/>
    </row>
    <row r="235" spans="15:19" x14ac:dyDescent="0.2">
      <c r="O235" s="6"/>
      <c r="P235" s="2"/>
      <c r="Q235" s="2"/>
      <c r="R235" s="2"/>
      <c r="S235" s="9"/>
    </row>
    <row r="236" spans="15:19" x14ac:dyDescent="0.2">
      <c r="O236" s="6"/>
      <c r="P236" s="2"/>
      <c r="Q236" s="2"/>
      <c r="R236" s="2"/>
      <c r="S236" s="9"/>
    </row>
    <row r="237" spans="15:19" x14ac:dyDescent="0.2">
      <c r="O237" s="6"/>
      <c r="P237" s="2"/>
      <c r="Q237" s="2"/>
      <c r="R237" s="2"/>
      <c r="S237" s="9"/>
    </row>
    <row r="238" spans="15:19" x14ac:dyDescent="0.2">
      <c r="O238" s="6"/>
      <c r="P238" s="2"/>
      <c r="Q238" s="2"/>
      <c r="R238" s="2"/>
      <c r="S238" s="9"/>
    </row>
    <row r="239" spans="15:19" x14ac:dyDescent="0.2">
      <c r="O239" s="6"/>
      <c r="P239" s="2"/>
      <c r="Q239" s="2"/>
      <c r="R239" s="2"/>
      <c r="S239" s="9"/>
    </row>
    <row r="240" spans="15:19" x14ac:dyDescent="0.2">
      <c r="O240" s="6"/>
      <c r="P240" s="2"/>
      <c r="Q240" s="2"/>
      <c r="R240" s="2"/>
      <c r="S240" s="9"/>
    </row>
    <row r="241" spans="15:19" x14ac:dyDescent="0.2">
      <c r="O241" s="6"/>
      <c r="P241" s="2"/>
      <c r="Q241" s="2"/>
      <c r="R241" s="2"/>
      <c r="S241" s="9"/>
    </row>
    <row r="242" spans="15:19" x14ac:dyDescent="0.2">
      <c r="O242" s="6"/>
      <c r="P242" s="2"/>
      <c r="Q242" s="2"/>
      <c r="R242" s="2"/>
      <c r="S242" s="9"/>
    </row>
    <row r="243" spans="15:19" x14ac:dyDescent="0.2">
      <c r="O243" s="6"/>
      <c r="P243" s="2"/>
      <c r="Q243" s="2"/>
      <c r="R243" s="2"/>
      <c r="S243" s="9"/>
    </row>
    <row r="244" spans="15:19" x14ac:dyDescent="0.2">
      <c r="O244" s="6"/>
      <c r="P244" s="2"/>
      <c r="Q244" s="2"/>
      <c r="R244" s="2"/>
      <c r="S244" s="9"/>
    </row>
    <row r="245" spans="15:19" x14ac:dyDescent="0.2">
      <c r="O245" s="6"/>
      <c r="P245" s="2"/>
      <c r="Q245" s="2"/>
      <c r="R245" s="2"/>
      <c r="S245" s="9"/>
    </row>
    <row r="246" spans="15:19" x14ac:dyDescent="0.2">
      <c r="O246" s="6"/>
      <c r="P246" s="2"/>
      <c r="Q246" s="2"/>
      <c r="R246" s="2"/>
      <c r="S246" s="9"/>
    </row>
    <row r="247" spans="15:19" x14ac:dyDescent="0.2">
      <c r="O247" s="6"/>
      <c r="P247" s="2"/>
      <c r="Q247" s="2"/>
      <c r="R247" s="2"/>
      <c r="S247" s="9"/>
    </row>
    <row r="248" spans="15:19" x14ac:dyDescent="0.2">
      <c r="O248" s="6"/>
      <c r="P248" s="2"/>
      <c r="Q248" s="2"/>
      <c r="R248" s="2"/>
      <c r="S248" s="9"/>
    </row>
    <row r="249" spans="15:19" x14ac:dyDescent="0.2">
      <c r="O249" s="6"/>
      <c r="P249" s="2"/>
      <c r="Q249" s="2"/>
      <c r="R249" s="2"/>
      <c r="S249" s="9"/>
    </row>
    <row r="250" spans="15:19" x14ac:dyDescent="0.2">
      <c r="O250" s="6"/>
      <c r="P250" s="2"/>
      <c r="Q250" s="2"/>
      <c r="R250" s="2"/>
      <c r="S250" s="9"/>
    </row>
    <row r="251" spans="15:19" x14ac:dyDescent="0.2">
      <c r="O251" s="6"/>
      <c r="P251" s="2"/>
      <c r="Q251" s="2"/>
      <c r="R251" s="2"/>
      <c r="S251" s="9"/>
    </row>
    <row r="252" spans="15:19" x14ac:dyDescent="0.2">
      <c r="O252" s="6"/>
      <c r="P252" s="2"/>
      <c r="Q252" s="2"/>
      <c r="R252" s="2"/>
      <c r="S252" s="9"/>
    </row>
    <row r="253" spans="15:19" x14ac:dyDescent="0.2">
      <c r="O253" s="6"/>
      <c r="P253" s="2"/>
      <c r="Q253" s="2"/>
      <c r="R253" s="2"/>
      <c r="S253" s="9"/>
    </row>
    <row r="254" spans="15:19" x14ac:dyDescent="0.2">
      <c r="O254" s="6"/>
      <c r="P254" s="2"/>
      <c r="Q254" s="2"/>
      <c r="R254" s="2"/>
      <c r="S254" s="9"/>
    </row>
    <row r="255" spans="15:19" x14ac:dyDescent="0.2">
      <c r="O255" s="6"/>
      <c r="P255" s="2"/>
      <c r="Q255" s="2"/>
      <c r="R255" s="2"/>
      <c r="S255" s="9"/>
    </row>
    <row r="256" spans="15:19" x14ac:dyDescent="0.2">
      <c r="O256" s="6"/>
      <c r="P256" s="2"/>
      <c r="Q256" s="2"/>
      <c r="R256" s="2"/>
      <c r="S256" s="9"/>
    </row>
    <row r="257" spans="15:19" x14ac:dyDescent="0.2">
      <c r="O257" s="6"/>
      <c r="P257" s="2"/>
      <c r="Q257" s="2"/>
      <c r="R257" s="2"/>
      <c r="S257" s="9"/>
    </row>
    <row r="258" spans="15:19" x14ac:dyDescent="0.2">
      <c r="O258" s="6"/>
      <c r="P258" s="2"/>
      <c r="Q258" s="2"/>
      <c r="R258" s="2"/>
      <c r="S258" s="9"/>
    </row>
    <row r="259" spans="15:19" x14ac:dyDescent="0.2">
      <c r="O259" s="6"/>
      <c r="P259" s="2"/>
      <c r="Q259" s="2"/>
      <c r="R259" s="2"/>
      <c r="S259" s="9"/>
    </row>
    <row r="260" spans="15:19" x14ac:dyDescent="0.2">
      <c r="O260" s="6"/>
      <c r="P260" s="2"/>
      <c r="Q260" s="2"/>
      <c r="R260" s="2"/>
      <c r="S260" s="9"/>
    </row>
    <row r="261" spans="15:19" x14ac:dyDescent="0.2">
      <c r="O261" s="6"/>
      <c r="P261" s="2"/>
      <c r="Q261" s="2"/>
      <c r="R261" s="2"/>
      <c r="S261" s="9"/>
    </row>
    <row r="262" spans="15:19" x14ac:dyDescent="0.2">
      <c r="O262" s="6"/>
      <c r="P262" s="2"/>
      <c r="Q262" s="2"/>
      <c r="R262" s="2"/>
      <c r="S262" s="9"/>
    </row>
    <row r="263" spans="15:19" x14ac:dyDescent="0.2">
      <c r="O263" s="6"/>
      <c r="P263" s="2"/>
      <c r="Q263" s="2"/>
      <c r="R263" s="2"/>
      <c r="S263" s="9"/>
    </row>
    <row r="264" spans="15:19" x14ac:dyDescent="0.2">
      <c r="O264" s="6"/>
      <c r="P264" s="2"/>
      <c r="Q264" s="2"/>
      <c r="R264" s="2"/>
      <c r="S264" s="9"/>
    </row>
    <row r="265" spans="15:19" x14ac:dyDescent="0.2">
      <c r="O265" s="6"/>
      <c r="P265" s="2"/>
      <c r="Q265" s="2"/>
      <c r="R265" s="2"/>
      <c r="S265" s="9"/>
    </row>
    <row r="266" spans="15:19" x14ac:dyDescent="0.2">
      <c r="O266" s="6"/>
      <c r="P266" s="2"/>
      <c r="Q266" s="2"/>
      <c r="R266" s="2"/>
      <c r="S266" s="9"/>
    </row>
    <row r="267" spans="15:19" x14ac:dyDescent="0.2">
      <c r="O267" s="6"/>
      <c r="P267" s="2"/>
      <c r="Q267" s="2"/>
      <c r="R267" s="2"/>
      <c r="S267" s="9"/>
    </row>
    <row r="268" spans="15:19" x14ac:dyDescent="0.2">
      <c r="O268" s="6"/>
      <c r="P268" s="2"/>
      <c r="Q268" s="2"/>
      <c r="R268" s="2"/>
      <c r="S268" s="9"/>
    </row>
    <row r="269" spans="15:19" x14ac:dyDescent="0.2">
      <c r="O269" s="6"/>
      <c r="P269" s="2"/>
      <c r="Q269" s="2"/>
      <c r="R269" s="2"/>
      <c r="S269" s="9"/>
    </row>
    <row r="270" spans="15:19" x14ac:dyDescent="0.2">
      <c r="O270" s="6"/>
      <c r="P270" s="2"/>
      <c r="Q270" s="2"/>
      <c r="R270" s="2"/>
      <c r="S270" s="9"/>
    </row>
    <row r="271" spans="15:19" x14ac:dyDescent="0.2">
      <c r="O271" s="6"/>
      <c r="P271" s="2"/>
      <c r="Q271" s="2"/>
      <c r="R271" s="2"/>
      <c r="S271" s="9"/>
    </row>
    <row r="272" spans="15:19" x14ac:dyDescent="0.2">
      <c r="O272" s="6"/>
      <c r="P272" s="2"/>
      <c r="Q272" s="2"/>
      <c r="R272" s="2"/>
      <c r="S272" s="9"/>
    </row>
    <row r="273" spans="15:19" x14ac:dyDescent="0.2">
      <c r="O273" s="6"/>
      <c r="P273" s="2"/>
      <c r="Q273" s="2"/>
      <c r="R273" s="2"/>
      <c r="S273" s="9"/>
    </row>
    <row r="274" spans="15:19" x14ac:dyDescent="0.2">
      <c r="O274" s="6"/>
      <c r="P274" s="2"/>
      <c r="Q274" s="2"/>
      <c r="R274" s="2"/>
      <c r="S274" s="9"/>
    </row>
    <row r="275" spans="15:19" x14ac:dyDescent="0.2">
      <c r="O275" s="6"/>
      <c r="P275" s="2"/>
      <c r="Q275" s="2"/>
      <c r="R275" s="2"/>
      <c r="S275" s="9"/>
    </row>
    <row r="276" spans="15:19" x14ac:dyDescent="0.2">
      <c r="O276" s="6"/>
      <c r="P276" s="2"/>
      <c r="Q276" s="2"/>
      <c r="R276" s="2"/>
      <c r="S276" s="9"/>
    </row>
    <row r="277" spans="15:19" x14ac:dyDescent="0.2">
      <c r="O277" s="6"/>
      <c r="P277" s="2"/>
      <c r="Q277" s="2"/>
      <c r="R277" s="2"/>
      <c r="S277" s="9"/>
    </row>
    <row r="278" spans="15:19" x14ac:dyDescent="0.2">
      <c r="O278" s="6"/>
      <c r="P278" s="2"/>
      <c r="Q278" s="2"/>
      <c r="R278" s="2"/>
      <c r="S278" s="9"/>
    </row>
    <row r="279" spans="15:19" x14ac:dyDescent="0.2">
      <c r="O279" s="6"/>
      <c r="P279" s="2"/>
      <c r="Q279" s="2"/>
      <c r="R279" s="2"/>
      <c r="S279" s="9"/>
    </row>
    <row r="280" spans="15:19" x14ac:dyDescent="0.2">
      <c r="O280" s="6"/>
      <c r="P280" s="2"/>
      <c r="Q280" s="2"/>
      <c r="R280" s="2"/>
      <c r="S280" s="9"/>
    </row>
    <row r="281" spans="15:19" x14ac:dyDescent="0.2">
      <c r="O281" s="6"/>
      <c r="P281" s="2"/>
      <c r="Q281" s="2"/>
      <c r="R281" s="2"/>
      <c r="S281" s="9"/>
    </row>
    <row r="282" spans="15:19" x14ac:dyDescent="0.2">
      <c r="O282" s="6"/>
      <c r="P282" s="2"/>
      <c r="Q282" s="2"/>
      <c r="R282" s="2"/>
      <c r="S282" s="9"/>
    </row>
    <row r="283" spans="15:19" x14ac:dyDescent="0.2">
      <c r="O283" s="6"/>
      <c r="P283" s="2"/>
      <c r="Q283" s="2"/>
      <c r="R283" s="2"/>
      <c r="S283" s="9"/>
    </row>
    <row r="284" spans="15:19" x14ac:dyDescent="0.2">
      <c r="O284" s="6"/>
      <c r="P284" s="2"/>
      <c r="Q284" s="2"/>
      <c r="R284" s="2"/>
      <c r="S284" s="9"/>
    </row>
    <row r="285" spans="15:19" x14ac:dyDescent="0.2">
      <c r="O285" s="6"/>
      <c r="P285" s="2"/>
      <c r="Q285" s="2"/>
      <c r="R285" s="2"/>
      <c r="S285" s="9"/>
    </row>
    <row r="286" spans="15:19" x14ac:dyDescent="0.2">
      <c r="O286" s="6"/>
      <c r="P286" s="2"/>
      <c r="Q286" s="2"/>
      <c r="R286" s="2"/>
      <c r="S286" s="9"/>
    </row>
    <row r="287" spans="15:19" x14ac:dyDescent="0.2">
      <c r="O287" s="6"/>
      <c r="P287" s="2"/>
      <c r="Q287" s="2"/>
      <c r="R287" s="2"/>
      <c r="S287" s="9"/>
    </row>
    <row r="288" spans="15:19" x14ac:dyDescent="0.2">
      <c r="O288" s="6"/>
      <c r="P288" s="2"/>
      <c r="Q288" s="2"/>
      <c r="R288" s="2"/>
      <c r="S288" s="9"/>
    </row>
    <row r="289" spans="15:19" x14ac:dyDescent="0.2">
      <c r="O289" s="6"/>
      <c r="P289" s="2"/>
      <c r="Q289" s="2"/>
      <c r="R289" s="2"/>
      <c r="S289" s="9"/>
    </row>
    <row r="290" spans="15:19" x14ac:dyDescent="0.2">
      <c r="O290" s="6"/>
      <c r="P290" s="2"/>
      <c r="Q290" s="2"/>
      <c r="R290" s="2"/>
      <c r="S290" s="9"/>
    </row>
    <row r="291" spans="15:19" x14ac:dyDescent="0.2">
      <c r="O291" s="6"/>
      <c r="P291" s="2"/>
      <c r="Q291" s="2"/>
      <c r="R291" s="2"/>
      <c r="S291" s="9"/>
    </row>
    <row r="292" spans="15:19" x14ac:dyDescent="0.2">
      <c r="O292" s="6"/>
      <c r="P292" s="2"/>
      <c r="Q292" s="2"/>
      <c r="R292" s="2"/>
      <c r="S292" s="9"/>
    </row>
    <row r="293" spans="15:19" x14ac:dyDescent="0.2">
      <c r="O293" s="6"/>
      <c r="P293" s="2"/>
      <c r="Q293" s="2"/>
      <c r="R293" s="2"/>
      <c r="S293" s="9"/>
    </row>
    <row r="294" spans="15:19" x14ac:dyDescent="0.2">
      <c r="O294" s="6"/>
      <c r="P294" s="2"/>
      <c r="Q294" s="2"/>
      <c r="R294" s="2"/>
      <c r="S294" s="9"/>
    </row>
    <row r="295" spans="15:19" x14ac:dyDescent="0.2">
      <c r="O295" s="6"/>
      <c r="P295" s="2"/>
      <c r="Q295" s="2"/>
      <c r="R295" s="2"/>
      <c r="S295" s="9"/>
    </row>
    <row r="296" spans="15:19" x14ac:dyDescent="0.2">
      <c r="O296" s="6"/>
      <c r="P296" s="2"/>
      <c r="Q296" s="2"/>
      <c r="R296" s="2"/>
      <c r="S296" s="9"/>
    </row>
    <row r="297" spans="15:19" x14ac:dyDescent="0.2">
      <c r="O297" s="6"/>
      <c r="P297" s="2"/>
      <c r="Q297" s="2"/>
      <c r="R297" s="2"/>
      <c r="S297" s="9"/>
    </row>
    <row r="298" spans="15:19" x14ac:dyDescent="0.2">
      <c r="O298" s="6"/>
      <c r="P298" s="2"/>
      <c r="Q298" s="2"/>
      <c r="R298" s="2"/>
      <c r="S298" s="9"/>
    </row>
    <row r="299" spans="15:19" x14ac:dyDescent="0.2">
      <c r="O299" s="6"/>
      <c r="P299" s="2"/>
      <c r="Q299" s="2"/>
      <c r="R299" s="2"/>
      <c r="S299" s="9"/>
    </row>
    <row r="300" spans="15:19" x14ac:dyDescent="0.2">
      <c r="O300" s="6"/>
      <c r="P300" s="2"/>
      <c r="Q300" s="2"/>
      <c r="R300" s="2"/>
      <c r="S300" s="9"/>
    </row>
    <row r="301" spans="15:19" x14ac:dyDescent="0.2">
      <c r="O301" s="6"/>
      <c r="P301" s="2"/>
      <c r="Q301" s="2"/>
      <c r="R301" s="2"/>
      <c r="S301" s="9"/>
    </row>
    <row r="302" spans="15:19" x14ac:dyDescent="0.2">
      <c r="O302" s="6"/>
      <c r="P302" s="2"/>
      <c r="Q302" s="2"/>
      <c r="R302" s="2"/>
      <c r="S302" s="9"/>
    </row>
    <row r="303" spans="15:19" x14ac:dyDescent="0.2">
      <c r="O303" s="6"/>
      <c r="P303" s="2"/>
      <c r="Q303" s="2"/>
      <c r="R303" s="2"/>
      <c r="S303" s="9"/>
    </row>
    <row r="304" spans="15:19" x14ac:dyDescent="0.2">
      <c r="O304" s="6"/>
      <c r="P304" s="2"/>
      <c r="Q304" s="2"/>
      <c r="R304" s="2"/>
      <c r="S304" s="9"/>
    </row>
    <row r="305" spans="15:19" x14ac:dyDescent="0.2">
      <c r="O305" s="6"/>
      <c r="P305" s="2"/>
      <c r="Q305" s="2"/>
      <c r="R305" s="2"/>
      <c r="S305" s="9"/>
    </row>
    <row r="306" spans="15:19" x14ac:dyDescent="0.2">
      <c r="O306" s="6"/>
      <c r="P306" s="2"/>
      <c r="Q306" s="2"/>
      <c r="R306" s="2"/>
      <c r="S306" s="9"/>
    </row>
    <row r="307" spans="15:19" x14ac:dyDescent="0.2">
      <c r="O307" s="6"/>
      <c r="P307" s="2"/>
      <c r="Q307" s="2"/>
      <c r="R307" s="2"/>
      <c r="S307" s="9"/>
    </row>
    <row r="308" spans="15:19" x14ac:dyDescent="0.2">
      <c r="O308" s="6"/>
      <c r="P308" s="2"/>
      <c r="Q308" s="2"/>
      <c r="R308" s="2"/>
      <c r="S308" s="9"/>
    </row>
    <row r="309" spans="15:19" x14ac:dyDescent="0.2">
      <c r="O309" s="6"/>
      <c r="P309" s="2"/>
      <c r="Q309" s="2"/>
      <c r="R309" s="2"/>
      <c r="S309" s="8"/>
    </row>
    <row r="310" spans="15:19" x14ac:dyDescent="0.2">
      <c r="O310" s="6"/>
      <c r="P310" s="2"/>
      <c r="Q310" s="2"/>
      <c r="R310" s="2"/>
      <c r="S310" s="8"/>
    </row>
    <row r="311" spans="15:19" x14ac:dyDescent="0.2">
      <c r="O311" s="6"/>
      <c r="P311" s="2"/>
      <c r="Q311" s="2"/>
      <c r="R311" s="2"/>
      <c r="S311" s="8"/>
    </row>
    <row r="312" spans="15:19" x14ac:dyDescent="0.2">
      <c r="O312" s="6"/>
      <c r="P312" s="2"/>
      <c r="Q312" s="2"/>
      <c r="R312" s="2"/>
      <c r="S312" s="8"/>
    </row>
    <row r="313" spans="15:19" x14ac:dyDescent="0.2">
      <c r="O313" s="6"/>
      <c r="P313" s="2"/>
      <c r="Q313" s="2"/>
      <c r="R313" s="2"/>
      <c r="S313" s="8"/>
    </row>
    <row r="314" spans="15:19" x14ac:dyDescent="0.2">
      <c r="O314" s="6"/>
      <c r="P314" s="2"/>
      <c r="Q314" s="2"/>
      <c r="R314" s="2"/>
      <c r="S314" s="8"/>
    </row>
    <row r="315" spans="15:19" x14ac:dyDescent="0.2">
      <c r="O315" s="6"/>
      <c r="P315" s="2"/>
      <c r="Q315" s="2"/>
      <c r="R315" s="2"/>
      <c r="S315" s="8"/>
    </row>
    <row r="316" spans="15:19" x14ac:dyDescent="0.2">
      <c r="O316" s="6"/>
      <c r="P316" s="2"/>
      <c r="Q316" s="2"/>
      <c r="R316" s="2"/>
      <c r="S316" s="8"/>
    </row>
    <row r="317" spans="15:19" x14ac:dyDescent="0.2">
      <c r="O317" s="6"/>
      <c r="P317" s="2"/>
      <c r="Q317" s="2"/>
      <c r="R317" s="2"/>
      <c r="S317" s="8"/>
    </row>
    <row r="318" spans="15:19" x14ac:dyDescent="0.2">
      <c r="O318" s="6"/>
      <c r="P318" s="2"/>
      <c r="Q318" s="2"/>
      <c r="R318" s="2"/>
      <c r="S318" s="8"/>
    </row>
    <row r="319" spans="15:19" x14ac:dyDescent="0.2">
      <c r="O319" s="6"/>
      <c r="P319" s="2"/>
      <c r="Q319" s="2"/>
      <c r="R319" s="2"/>
      <c r="S319" s="8"/>
    </row>
    <row r="320" spans="15:19" x14ac:dyDescent="0.2">
      <c r="O320" s="6"/>
      <c r="P320" s="2"/>
      <c r="Q320" s="2"/>
      <c r="R320" s="2"/>
      <c r="S320" s="8"/>
    </row>
    <row r="321" spans="15:19" x14ac:dyDescent="0.2">
      <c r="O321" s="6"/>
      <c r="P321" s="2"/>
      <c r="Q321" s="2"/>
      <c r="R321" s="2"/>
      <c r="S321" s="8"/>
    </row>
    <row r="322" spans="15:19" x14ac:dyDescent="0.2">
      <c r="O322" s="6"/>
      <c r="P322" s="2"/>
      <c r="Q322" s="2"/>
      <c r="R322" s="2"/>
      <c r="S322" s="8"/>
    </row>
    <row r="323" spans="15:19" x14ac:dyDescent="0.2">
      <c r="O323" s="6"/>
      <c r="P323" s="2"/>
      <c r="Q323" s="2"/>
      <c r="R323" s="2"/>
      <c r="S323" s="8"/>
    </row>
    <row r="324" spans="15:19" x14ac:dyDescent="0.2">
      <c r="O324" s="6"/>
      <c r="P324" s="2"/>
      <c r="Q324" s="2"/>
      <c r="R324" s="2"/>
      <c r="S324" s="8"/>
    </row>
    <row r="325" spans="15:19" x14ac:dyDescent="0.2">
      <c r="O325" s="6"/>
      <c r="P325" s="2"/>
      <c r="Q325" s="2"/>
      <c r="R325" s="2"/>
      <c r="S325" s="8"/>
    </row>
    <row r="326" spans="15:19" x14ac:dyDescent="0.2">
      <c r="O326" s="6"/>
      <c r="P326" s="2"/>
      <c r="Q326" s="2"/>
      <c r="R326" s="2"/>
      <c r="S326" s="8"/>
    </row>
    <row r="327" spans="15:19" x14ac:dyDescent="0.2">
      <c r="O327" s="6"/>
      <c r="P327" s="2"/>
      <c r="Q327" s="2"/>
      <c r="R327" s="2"/>
      <c r="S327" s="8"/>
    </row>
    <row r="328" spans="15:19" x14ac:dyDescent="0.2">
      <c r="O328" s="6"/>
      <c r="P328" s="2"/>
      <c r="Q328" s="2"/>
      <c r="R328" s="2"/>
      <c r="S328" s="8"/>
    </row>
    <row r="329" spans="15:19" x14ac:dyDescent="0.2">
      <c r="O329" s="6"/>
      <c r="P329" s="2"/>
      <c r="Q329" s="2"/>
      <c r="R329" s="2"/>
      <c r="S329" s="8"/>
    </row>
    <row r="330" spans="15:19" x14ac:dyDescent="0.2">
      <c r="O330" s="6"/>
      <c r="P330" s="2"/>
      <c r="Q330" s="2"/>
      <c r="R330" s="2"/>
      <c r="S330" s="8"/>
    </row>
    <row r="331" spans="15:19" x14ac:dyDescent="0.2">
      <c r="O331" s="6"/>
      <c r="P331" s="2"/>
      <c r="Q331" s="2"/>
      <c r="R331" s="2"/>
      <c r="S331" s="8"/>
    </row>
    <row r="332" spans="15:19" x14ac:dyDescent="0.2">
      <c r="O332" s="6"/>
      <c r="P332" s="2"/>
      <c r="Q332" s="2"/>
      <c r="R332" s="2"/>
      <c r="S332" s="8"/>
    </row>
    <row r="333" spans="15:19" x14ac:dyDescent="0.2">
      <c r="O333" s="6"/>
      <c r="P333" s="2"/>
      <c r="Q333" s="2"/>
      <c r="R333" s="2"/>
      <c r="S333" s="8"/>
    </row>
    <row r="334" spans="15:19" x14ac:dyDescent="0.2">
      <c r="O334" s="6"/>
      <c r="P334" s="2"/>
      <c r="Q334" s="2"/>
      <c r="R334" s="2"/>
      <c r="S334" s="8"/>
    </row>
    <row r="335" spans="15:19" x14ac:dyDescent="0.2">
      <c r="O335" s="6"/>
      <c r="P335" s="2"/>
      <c r="Q335" s="2"/>
      <c r="R335" s="2"/>
      <c r="S335" s="8"/>
    </row>
    <row r="336" spans="15:19" x14ac:dyDescent="0.2">
      <c r="O336" s="6"/>
      <c r="P336" s="2"/>
      <c r="Q336" s="2"/>
      <c r="R336" s="2"/>
      <c r="S336" s="8"/>
    </row>
    <row r="337" spans="15:19" x14ac:dyDescent="0.2">
      <c r="O337" s="6"/>
      <c r="P337" s="2"/>
      <c r="Q337" s="2"/>
      <c r="R337" s="2"/>
      <c r="S337" s="8"/>
    </row>
    <row r="338" spans="15:19" x14ac:dyDescent="0.2">
      <c r="O338" s="6"/>
      <c r="P338" s="2"/>
      <c r="Q338" s="2"/>
      <c r="R338" s="2"/>
      <c r="S338" s="8"/>
    </row>
    <row r="339" spans="15:19" x14ac:dyDescent="0.2">
      <c r="O339" s="6"/>
      <c r="P339" s="2"/>
      <c r="Q339" s="2"/>
      <c r="R339" s="2"/>
      <c r="S339" s="8"/>
    </row>
    <row r="340" spans="15:19" x14ac:dyDescent="0.2">
      <c r="O340" s="6"/>
      <c r="P340" s="2"/>
      <c r="Q340" s="2"/>
      <c r="R340" s="2"/>
      <c r="S340" s="8"/>
    </row>
    <row r="341" spans="15:19" x14ac:dyDescent="0.2">
      <c r="O341" s="6"/>
      <c r="P341" s="2"/>
      <c r="Q341" s="2"/>
      <c r="R341" s="2"/>
      <c r="S341" s="8"/>
    </row>
    <row r="342" spans="15:19" x14ac:dyDescent="0.2">
      <c r="O342" s="6"/>
      <c r="P342" s="2"/>
      <c r="Q342" s="2"/>
      <c r="R342" s="2"/>
      <c r="S342" s="8"/>
    </row>
    <row r="343" spans="15:19" x14ac:dyDescent="0.2">
      <c r="O343" s="6"/>
      <c r="P343" s="2"/>
      <c r="Q343" s="2"/>
      <c r="R343" s="2"/>
      <c r="S343" s="8"/>
    </row>
    <row r="344" spans="15:19" x14ac:dyDescent="0.2">
      <c r="O344" s="6"/>
      <c r="P344" s="2"/>
      <c r="Q344" s="2"/>
      <c r="R344" s="2"/>
      <c r="S344" s="8"/>
    </row>
    <row r="345" spans="15:19" x14ac:dyDescent="0.2">
      <c r="O345" s="6"/>
      <c r="P345" s="2"/>
      <c r="Q345" s="2"/>
      <c r="R345" s="2"/>
      <c r="S345" s="8"/>
    </row>
    <row r="346" spans="15:19" x14ac:dyDescent="0.2">
      <c r="O346" s="6"/>
      <c r="P346" s="2"/>
      <c r="Q346" s="2"/>
      <c r="R346" s="2"/>
      <c r="S346" s="8"/>
    </row>
    <row r="347" spans="15:19" x14ac:dyDescent="0.2">
      <c r="O347" s="6"/>
      <c r="P347" s="2"/>
      <c r="Q347" s="2"/>
      <c r="R347" s="2"/>
      <c r="S347" s="8"/>
    </row>
    <row r="348" spans="15:19" x14ac:dyDescent="0.2">
      <c r="O348" s="6"/>
      <c r="P348" s="2"/>
      <c r="Q348" s="2"/>
      <c r="R348" s="2"/>
      <c r="S348" s="8"/>
    </row>
    <row r="349" spans="15:19" x14ac:dyDescent="0.2">
      <c r="O349" s="6"/>
      <c r="P349" s="2"/>
      <c r="Q349" s="2"/>
      <c r="R349" s="2"/>
      <c r="S349" s="8"/>
    </row>
    <row r="350" spans="15:19" x14ac:dyDescent="0.2">
      <c r="O350" s="6"/>
      <c r="P350" s="2"/>
      <c r="Q350" s="2"/>
      <c r="R350" s="2"/>
      <c r="S350" s="8"/>
    </row>
    <row r="351" spans="15:19" x14ac:dyDescent="0.2">
      <c r="O351" s="6"/>
      <c r="P351" s="2"/>
      <c r="Q351" s="2"/>
      <c r="R351" s="2"/>
      <c r="S351" s="8"/>
    </row>
    <row r="352" spans="15:19" x14ac:dyDescent="0.2">
      <c r="O352" s="6"/>
      <c r="P352" s="2"/>
      <c r="Q352" s="2"/>
      <c r="R352" s="2"/>
      <c r="S352" s="8"/>
    </row>
    <row r="353" spans="15:19" x14ac:dyDescent="0.2">
      <c r="O353" s="6"/>
      <c r="P353" s="2"/>
      <c r="Q353" s="2"/>
      <c r="R353" s="2"/>
      <c r="S353" s="8"/>
    </row>
    <row r="354" spans="15:19" x14ac:dyDescent="0.2">
      <c r="O354" s="6"/>
      <c r="P354" s="2"/>
      <c r="Q354" s="2"/>
      <c r="R354" s="2"/>
      <c r="S354" s="8"/>
    </row>
    <row r="355" spans="15:19" x14ac:dyDescent="0.2">
      <c r="O355" s="6"/>
      <c r="P355" s="2"/>
      <c r="Q355" s="2"/>
      <c r="R355" s="2"/>
      <c r="S355" s="8"/>
    </row>
    <row r="356" spans="15:19" x14ac:dyDescent="0.2">
      <c r="O356" s="6"/>
      <c r="P356" s="2"/>
      <c r="Q356" s="2"/>
      <c r="R356" s="2"/>
      <c r="S356" s="8"/>
    </row>
    <row r="357" spans="15:19" x14ac:dyDescent="0.2">
      <c r="O357" s="6"/>
      <c r="P357" s="2"/>
      <c r="Q357" s="2"/>
      <c r="R357" s="2"/>
      <c r="S357" s="8"/>
    </row>
    <row r="358" spans="15:19" x14ac:dyDescent="0.2">
      <c r="O358" s="6"/>
      <c r="P358" s="2"/>
      <c r="Q358" s="2"/>
      <c r="R358" s="2"/>
      <c r="S358" s="8"/>
    </row>
    <row r="359" spans="15:19" x14ac:dyDescent="0.2">
      <c r="O359" s="6"/>
      <c r="P359" s="2"/>
      <c r="Q359" s="2"/>
      <c r="R359" s="2"/>
      <c r="S359" s="8"/>
    </row>
    <row r="360" spans="15:19" x14ac:dyDescent="0.2">
      <c r="O360" s="6"/>
      <c r="P360" s="2"/>
      <c r="Q360" s="2"/>
      <c r="R360" s="2"/>
      <c r="S360" s="8"/>
    </row>
    <row r="361" spans="15:19" x14ac:dyDescent="0.2">
      <c r="O361" s="6"/>
      <c r="P361" s="2"/>
      <c r="Q361" s="2"/>
      <c r="R361" s="2"/>
      <c r="S361" s="8"/>
    </row>
    <row r="362" spans="15:19" x14ac:dyDescent="0.2">
      <c r="O362" s="6"/>
      <c r="P362" s="2"/>
      <c r="Q362" s="2"/>
      <c r="R362" s="2"/>
      <c r="S362" s="8"/>
    </row>
    <row r="363" spans="15:19" x14ac:dyDescent="0.2">
      <c r="O363" s="6"/>
      <c r="P363" s="2"/>
      <c r="Q363" s="2"/>
      <c r="R363" s="2"/>
      <c r="S363" s="8"/>
    </row>
    <row r="364" spans="15:19" x14ac:dyDescent="0.2">
      <c r="O364" s="6"/>
      <c r="P364" s="2"/>
      <c r="Q364" s="2"/>
      <c r="R364" s="2"/>
      <c r="S364" s="8"/>
    </row>
    <row r="365" spans="15:19" x14ac:dyDescent="0.2">
      <c r="O365" s="6"/>
      <c r="P365" s="2"/>
      <c r="Q365" s="2"/>
      <c r="R365" s="2"/>
      <c r="S365" s="8"/>
    </row>
    <row r="366" spans="15:19" x14ac:dyDescent="0.2">
      <c r="O366" s="6"/>
      <c r="P366" s="2"/>
      <c r="Q366" s="2"/>
      <c r="R366" s="2"/>
      <c r="S366" s="8"/>
    </row>
    <row r="367" spans="15:19" x14ac:dyDescent="0.2">
      <c r="O367" s="6"/>
      <c r="P367" s="2"/>
      <c r="Q367" s="2"/>
      <c r="R367" s="2"/>
      <c r="S367" s="8"/>
    </row>
    <row r="368" spans="15:19" x14ac:dyDescent="0.2">
      <c r="O368" s="6"/>
      <c r="P368" s="2"/>
      <c r="Q368" s="2"/>
      <c r="R368" s="2"/>
      <c r="S368" s="8"/>
    </row>
    <row r="369" spans="15:19" x14ac:dyDescent="0.2">
      <c r="O369" s="6"/>
      <c r="P369" s="2"/>
      <c r="Q369" s="2"/>
      <c r="R369" s="2"/>
      <c r="S369" s="8"/>
    </row>
    <row r="370" spans="15:19" x14ac:dyDescent="0.2">
      <c r="O370" s="6"/>
      <c r="P370" s="2"/>
      <c r="Q370" s="2"/>
      <c r="R370" s="2"/>
      <c r="S370" s="8"/>
    </row>
    <row r="371" spans="15:19" x14ac:dyDescent="0.2">
      <c r="O371" s="6"/>
      <c r="P371" s="2"/>
      <c r="Q371" s="2"/>
      <c r="R371" s="2"/>
      <c r="S371" s="8"/>
    </row>
    <row r="372" spans="15:19" x14ac:dyDescent="0.2">
      <c r="O372" s="6"/>
      <c r="P372" s="2"/>
      <c r="Q372" s="2"/>
      <c r="R372" s="2"/>
      <c r="S372" s="8"/>
    </row>
    <row r="373" spans="15:19" x14ac:dyDescent="0.2">
      <c r="O373" s="6"/>
      <c r="P373" s="2"/>
      <c r="Q373" s="2"/>
      <c r="R373" s="2"/>
      <c r="S373" s="8"/>
    </row>
    <row r="374" spans="15:19" x14ac:dyDescent="0.2">
      <c r="O374" s="6"/>
      <c r="P374" s="2"/>
      <c r="Q374" s="2"/>
      <c r="R374" s="2"/>
      <c r="S374" s="8"/>
    </row>
    <row r="375" spans="15:19" x14ac:dyDescent="0.2">
      <c r="O375" s="6"/>
      <c r="P375" s="2"/>
      <c r="Q375" s="2"/>
      <c r="R375" s="2"/>
      <c r="S375" s="8"/>
    </row>
    <row r="376" spans="15:19" x14ac:dyDescent="0.2">
      <c r="O376" s="6"/>
      <c r="P376" s="2"/>
      <c r="Q376" s="2"/>
      <c r="R376" s="2"/>
      <c r="S376" s="8"/>
    </row>
    <row r="377" spans="15:19" x14ac:dyDescent="0.2">
      <c r="O377" s="6"/>
      <c r="P377" s="2"/>
      <c r="Q377" s="2"/>
      <c r="R377" s="2"/>
      <c r="S377" s="8"/>
    </row>
    <row r="378" spans="15:19" x14ac:dyDescent="0.2">
      <c r="O378" s="6"/>
      <c r="P378" s="2"/>
      <c r="Q378" s="2"/>
      <c r="R378" s="2"/>
      <c r="S378" s="8"/>
    </row>
    <row r="379" spans="15:19" x14ac:dyDescent="0.2">
      <c r="O379" s="6"/>
      <c r="P379" s="2"/>
      <c r="Q379" s="2"/>
      <c r="R379" s="2"/>
      <c r="S379" s="8"/>
    </row>
    <row r="380" spans="15:19" x14ac:dyDescent="0.2">
      <c r="O380" s="6"/>
      <c r="P380" s="2"/>
      <c r="Q380" s="2"/>
      <c r="R380" s="2"/>
      <c r="S380" s="8"/>
    </row>
    <row r="381" spans="15:19" x14ac:dyDescent="0.2">
      <c r="O381" s="6"/>
      <c r="P381" s="2"/>
      <c r="Q381" s="2"/>
      <c r="R381" s="2"/>
      <c r="S381" s="8"/>
    </row>
    <row r="382" spans="15:19" x14ac:dyDescent="0.2">
      <c r="O382" s="6"/>
      <c r="P382" s="2"/>
      <c r="Q382" s="2"/>
      <c r="R382" s="2"/>
      <c r="S382" s="8"/>
    </row>
    <row r="383" spans="15:19" x14ac:dyDescent="0.2">
      <c r="O383" s="6"/>
      <c r="P383" s="2"/>
      <c r="Q383" s="2"/>
      <c r="R383" s="2"/>
      <c r="S383" s="8"/>
    </row>
    <row r="384" spans="15:19" x14ac:dyDescent="0.2">
      <c r="O384" s="6"/>
      <c r="P384" s="2"/>
      <c r="Q384" s="2"/>
      <c r="R384" s="2"/>
      <c r="S384" s="8"/>
    </row>
    <row r="385" spans="15:19" x14ac:dyDescent="0.2">
      <c r="O385" s="6"/>
      <c r="P385" s="2"/>
      <c r="Q385" s="2"/>
      <c r="R385" s="2"/>
      <c r="S385" s="8"/>
    </row>
    <row r="386" spans="15:19" x14ac:dyDescent="0.2">
      <c r="O386" s="6"/>
      <c r="P386" s="2"/>
      <c r="Q386" s="2"/>
      <c r="R386" s="2"/>
      <c r="S386" s="8"/>
    </row>
    <row r="387" spans="15:19" x14ac:dyDescent="0.2">
      <c r="O387" s="6"/>
      <c r="P387" s="2"/>
      <c r="Q387" s="2"/>
      <c r="R387" s="2"/>
      <c r="S387" s="8"/>
    </row>
    <row r="388" spans="15:19" x14ac:dyDescent="0.2">
      <c r="O388" s="6"/>
      <c r="P388" s="2"/>
      <c r="Q388" s="2"/>
      <c r="R388" s="2"/>
      <c r="S388" s="8"/>
    </row>
    <row r="389" spans="15:19" x14ac:dyDescent="0.2">
      <c r="O389" s="6"/>
      <c r="P389" s="2"/>
      <c r="Q389" s="2"/>
      <c r="R389" s="2"/>
      <c r="S389" s="8"/>
    </row>
    <row r="390" spans="15:19" x14ac:dyDescent="0.2">
      <c r="O390" s="6"/>
      <c r="P390" s="2"/>
      <c r="Q390" s="2"/>
      <c r="R390" s="2"/>
      <c r="S390" s="8"/>
    </row>
    <row r="391" spans="15:19" x14ac:dyDescent="0.2">
      <c r="O391" s="6"/>
      <c r="P391" s="2"/>
      <c r="Q391" s="2"/>
      <c r="R391" s="2"/>
      <c r="S391" s="8"/>
    </row>
    <row r="392" spans="15:19" x14ac:dyDescent="0.2">
      <c r="O392" s="6"/>
      <c r="P392" s="2"/>
      <c r="Q392" s="2"/>
      <c r="R392" s="2"/>
      <c r="S392" s="8"/>
    </row>
    <row r="393" spans="15:19" x14ac:dyDescent="0.2">
      <c r="O393" s="6"/>
      <c r="P393" s="2"/>
      <c r="Q393" s="2"/>
      <c r="R393" s="2"/>
      <c r="S393" s="8"/>
    </row>
    <row r="394" spans="15:19" x14ac:dyDescent="0.2">
      <c r="O394" s="6"/>
      <c r="P394" s="2"/>
      <c r="Q394" s="2"/>
      <c r="R394" s="2"/>
      <c r="S394" s="8"/>
    </row>
    <row r="395" spans="15:19" x14ac:dyDescent="0.2">
      <c r="O395" s="6"/>
      <c r="P395" s="2"/>
      <c r="Q395" s="2"/>
      <c r="R395" s="2"/>
      <c r="S395" s="8"/>
    </row>
    <row r="396" spans="15:19" x14ac:dyDescent="0.2">
      <c r="O396" s="6"/>
      <c r="P396" s="2"/>
      <c r="Q396" s="2"/>
      <c r="R396" s="2"/>
      <c r="S396" s="8"/>
    </row>
    <row r="397" spans="15:19" x14ac:dyDescent="0.2">
      <c r="O397" s="6"/>
      <c r="P397" s="2"/>
      <c r="Q397" s="2"/>
      <c r="R397" s="2"/>
      <c r="S397" s="8"/>
    </row>
    <row r="398" spans="15:19" x14ac:dyDescent="0.2">
      <c r="O398" s="6"/>
      <c r="P398" s="2"/>
      <c r="Q398" s="2"/>
      <c r="R398" s="2"/>
      <c r="S398" s="8"/>
    </row>
    <row r="399" spans="15:19" x14ac:dyDescent="0.2">
      <c r="O399" s="6"/>
      <c r="P399" s="2"/>
      <c r="Q399" s="2"/>
      <c r="R399" s="2"/>
      <c r="S399" s="8"/>
    </row>
    <row r="400" spans="15:19" x14ac:dyDescent="0.2">
      <c r="O400" s="6"/>
      <c r="P400" s="2"/>
      <c r="Q400" s="2"/>
      <c r="R400" s="2"/>
      <c r="S400" s="8"/>
    </row>
    <row r="401" spans="15:19" x14ac:dyDescent="0.2">
      <c r="O401" s="6"/>
      <c r="P401" s="2"/>
      <c r="Q401" s="2"/>
      <c r="R401" s="2"/>
      <c r="S401" s="8"/>
    </row>
    <row r="402" spans="15:19" x14ac:dyDescent="0.2">
      <c r="O402" s="6"/>
      <c r="P402" s="2"/>
      <c r="Q402" s="2"/>
      <c r="R402" s="2"/>
      <c r="S402" s="8"/>
    </row>
    <row r="403" spans="15:19" x14ac:dyDescent="0.2">
      <c r="O403" s="6"/>
      <c r="P403" s="2"/>
      <c r="Q403" s="2"/>
      <c r="R403" s="2"/>
      <c r="S403" s="8"/>
    </row>
    <row r="404" spans="15:19" x14ac:dyDescent="0.2">
      <c r="O404" s="6"/>
      <c r="P404" s="2"/>
      <c r="Q404" s="2"/>
      <c r="R404" s="2"/>
      <c r="S404" s="8"/>
    </row>
    <row r="405" spans="15:19" x14ac:dyDescent="0.2">
      <c r="O405" s="6"/>
      <c r="P405" s="2"/>
      <c r="Q405" s="2"/>
      <c r="R405" s="2"/>
      <c r="S405" s="8"/>
    </row>
    <row r="406" spans="15:19" x14ac:dyDescent="0.2">
      <c r="O406" s="6"/>
      <c r="P406" s="2"/>
      <c r="Q406" s="2"/>
      <c r="R406" s="2"/>
      <c r="S406" s="8"/>
    </row>
    <row r="407" spans="15:19" x14ac:dyDescent="0.2">
      <c r="O407" s="6"/>
      <c r="P407" s="2"/>
      <c r="Q407" s="2"/>
      <c r="R407" s="2"/>
      <c r="S407" s="8"/>
    </row>
    <row r="408" spans="15:19" x14ac:dyDescent="0.2">
      <c r="O408" s="6"/>
      <c r="P408" s="2"/>
      <c r="Q408" s="2"/>
      <c r="R408" s="2"/>
      <c r="S408" s="8"/>
    </row>
    <row r="409" spans="15:19" x14ac:dyDescent="0.2">
      <c r="O409" s="6"/>
      <c r="P409" s="2"/>
      <c r="Q409" s="2"/>
      <c r="R409" s="2"/>
      <c r="S409" s="8"/>
    </row>
    <row r="410" spans="15:19" x14ac:dyDescent="0.2">
      <c r="O410" s="6"/>
      <c r="P410" s="2"/>
      <c r="Q410" s="2"/>
      <c r="R410" s="2"/>
      <c r="S410" s="8"/>
    </row>
    <row r="411" spans="15:19" x14ac:dyDescent="0.2">
      <c r="O411" s="6"/>
      <c r="P411" s="2"/>
      <c r="Q411" s="2"/>
      <c r="R411" s="2"/>
      <c r="S411" s="8"/>
    </row>
    <row r="412" spans="15:19" x14ac:dyDescent="0.2">
      <c r="O412" s="6"/>
      <c r="P412" s="2"/>
      <c r="Q412" s="2"/>
      <c r="R412" s="2"/>
      <c r="S412" s="8"/>
    </row>
    <row r="413" spans="15:19" x14ac:dyDescent="0.2">
      <c r="O413" s="6"/>
      <c r="P413" s="2"/>
      <c r="Q413" s="2"/>
      <c r="R413" s="2"/>
      <c r="S413" s="8"/>
    </row>
    <row r="414" spans="15:19" x14ac:dyDescent="0.2">
      <c r="O414" s="6"/>
      <c r="P414" s="2"/>
      <c r="Q414" s="2"/>
      <c r="R414" s="2"/>
      <c r="S414" s="8"/>
    </row>
    <row r="415" spans="15:19" x14ac:dyDescent="0.2">
      <c r="O415" s="6"/>
      <c r="P415" s="2"/>
      <c r="Q415" s="2"/>
      <c r="R415" s="2"/>
      <c r="S415" s="8"/>
    </row>
    <row r="416" spans="15:19" x14ac:dyDescent="0.2">
      <c r="O416" s="6"/>
      <c r="P416" s="2"/>
      <c r="Q416" s="2"/>
      <c r="R416" s="2"/>
      <c r="S416" s="8"/>
    </row>
    <row r="417" spans="15:19" x14ac:dyDescent="0.2">
      <c r="O417" s="6"/>
      <c r="P417" s="2"/>
      <c r="Q417" s="2"/>
      <c r="R417" s="2"/>
      <c r="S417" s="8"/>
    </row>
    <row r="418" spans="15:19" x14ac:dyDescent="0.2">
      <c r="O418" s="6"/>
      <c r="P418" s="2"/>
      <c r="Q418" s="2"/>
      <c r="R418" s="2"/>
      <c r="S418" s="8"/>
    </row>
    <row r="419" spans="15:19" x14ac:dyDescent="0.2">
      <c r="O419" s="6"/>
      <c r="P419" s="2"/>
      <c r="Q419" s="2"/>
      <c r="R419" s="2"/>
      <c r="S419" s="8"/>
    </row>
    <row r="420" spans="15:19" x14ac:dyDescent="0.2">
      <c r="O420" s="6"/>
      <c r="P420" s="2"/>
      <c r="Q420" s="2"/>
      <c r="R420" s="2"/>
      <c r="S420" s="8"/>
    </row>
    <row r="421" spans="15:19" x14ac:dyDescent="0.2">
      <c r="O421" s="6"/>
      <c r="P421" s="2"/>
      <c r="Q421" s="2"/>
      <c r="R421" s="2"/>
      <c r="S421" s="8"/>
    </row>
    <row r="422" spans="15:19" x14ac:dyDescent="0.2">
      <c r="O422" s="6"/>
      <c r="P422" s="2"/>
      <c r="Q422" s="2"/>
      <c r="R422" s="2"/>
      <c r="S422" s="8"/>
    </row>
    <row r="423" spans="15:19" x14ac:dyDescent="0.2">
      <c r="O423" s="6"/>
      <c r="P423" s="2"/>
      <c r="Q423" s="2"/>
      <c r="R423" s="2"/>
      <c r="S423" s="8"/>
    </row>
    <row r="424" spans="15:19" x14ac:dyDescent="0.2">
      <c r="O424" s="6"/>
      <c r="P424" s="2"/>
      <c r="Q424" s="2"/>
      <c r="R424" s="2"/>
      <c r="S424" s="8"/>
    </row>
    <row r="425" spans="15:19" x14ac:dyDescent="0.2">
      <c r="O425" s="6"/>
      <c r="P425" s="2"/>
      <c r="Q425" s="2"/>
      <c r="R425" s="2"/>
      <c r="S425" s="8"/>
    </row>
    <row r="426" spans="15:19" x14ac:dyDescent="0.2">
      <c r="O426" s="6"/>
      <c r="P426" s="2"/>
      <c r="Q426" s="2"/>
      <c r="R426" s="2"/>
      <c r="S426" s="8"/>
    </row>
    <row r="427" spans="15:19" x14ac:dyDescent="0.2">
      <c r="O427" s="6"/>
      <c r="P427" s="2"/>
      <c r="Q427" s="2"/>
      <c r="R427" s="2"/>
      <c r="S427" s="8"/>
    </row>
    <row r="428" spans="15:19" x14ac:dyDescent="0.2">
      <c r="O428" s="6"/>
      <c r="P428" s="2"/>
      <c r="Q428" s="2"/>
      <c r="R428" s="2"/>
      <c r="S428" s="8"/>
    </row>
    <row r="429" spans="15:19" x14ac:dyDescent="0.2">
      <c r="O429" s="6"/>
      <c r="P429" s="2"/>
      <c r="Q429" s="2"/>
      <c r="R429" s="2"/>
      <c r="S429" s="8"/>
    </row>
    <row r="430" spans="15:19" x14ac:dyDescent="0.2">
      <c r="O430" s="6"/>
      <c r="P430" s="2"/>
      <c r="Q430" s="2"/>
      <c r="R430" s="2"/>
      <c r="S430" s="8"/>
    </row>
    <row r="431" spans="15:19" x14ac:dyDescent="0.2">
      <c r="O431" s="6"/>
      <c r="P431" s="2"/>
      <c r="Q431" s="2"/>
      <c r="R431" s="2"/>
      <c r="S431" s="8"/>
    </row>
    <row r="432" spans="15:19" x14ac:dyDescent="0.2">
      <c r="O432" s="6"/>
      <c r="P432" s="2"/>
      <c r="Q432" s="2"/>
      <c r="R432" s="2"/>
      <c r="S432" s="8"/>
    </row>
    <row r="433" spans="15:19" x14ac:dyDescent="0.2">
      <c r="O433" s="6"/>
      <c r="P433" s="2"/>
      <c r="Q433" s="2"/>
      <c r="R433" s="2"/>
      <c r="S433" s="8"/>
    </row>
    <row r="434" spans="15:19" x14ac:dyDescent="0.2">
      <c r="O434" s="6"/>
      <c r="P434" s="2"/>
      <c r="Q434" s="2"/>
      <c r="R434" s="2"/>
      <c r="S434" s="8"/>
    </row>
    <row r="435" spans="15:19" x14ac:dyDescent="0.2">
      <c r="O435" s="6"/>
      <c r="P435" s="2"/>
      <c r="Q435" s="2"/>
      <c r="R435" s="2"/>
      <c r="S435" s="8"/>
    </row>
    <row r="436" spans="15:19" x14ac:dyDescent="0.2">
      <c r="O436" s="6"/>
      <c r="P436" s="2"/>
      <c r="Q436" s="2"/>
      <c r="R436" s="2"/>
      <c r="S436" s="8"/>
    </row>
    <row r="437" spans="15:19" x14ac:dyDescent="0.2">
      <c r="O437" s="6"/>
      <c r="P437" s="2"/>
      <c r="Q437" s="2"/>
      <c r="R437" s="2"/>
      <c r="S437" s="8"/>
    </row>
    <row r="438" spans="15:19" x14ac:dyDescent="0.2">
      <c r="O438" s="6"/>
      <c r="P438" s="2"/>
      <c r="Q438" s="2"/>
      <c r="R438" s="2"/>
      <c r="S438" s="8"/>
    </row>
    <row r="439" spans="15:19" x14ac:dyDescent="0.2">
      <c r="O439" s="6"/>
      <c r="P439" s="2"/>
      <c r="Q439" s="2"/>
      <c r="R439" s="2"/>
      <c r="S439" s="8"/>
    </row>
    <row r="440" spans="15:19" x14ac:dyDescent="0.2">
      <c r="O440" s="6"/>
      <c r="P440" s="2"/>
      <c r="Q440" s="2"/>
      <c r="R440" s="2"/>
      <c r="S440" s="8"/>
    </row>
    <row r="441" spans="15:19" x14ac:dyDescent="0.2">
      <c r="O441" s="6"/>
      <c r="P441" s="2"/>
      <c r="Q441" s="2"/>
      <c r="R441" s="2"/>
      <c r="S441" s="8"/>
    </row>
    <row r="442" spans="15:19" x14ac:dyDescent="0.2">
      <c r="O442" s="6"/>
      <c r="P442" s="2"/>
      <c r="Q442" s="2"/>
      <c r="R442" s="2"/>
      <c r="S442" s="8"/>
    </row>
    <row r="443" spans="15:19" x14ac:dyDescent="0.2">
      <c r="O443" s="6"/>
      <c r="P443" s="2"/>
      <c r="Q443" s="2"/>
      <c r="R443" s="2"/>
      <c r="S443" s="8"/>
    </row>
    <row r="444" spans="15:19" x14ac:dyDescent="0.2">
      <c r="O444" s="6"/>
      <c r="P444" s="2"/>
      <c r="Q444" s="2"/>
      <c r="R444" s="2"/>
      <c r="S444" s="8"/>
    </row>
    <row r="445" spans="15:19" x14ac:dyDescent="0.2">
      <c r="O445" s="6"/>
      <c r="P445" s="2"/>
      <c r="Q445" s="2"/>
      <c r="R445" s="2"/>
      <c r="S445" s="8"/>
    </row>
    <row r="446" spans="15:19" x14ac:dyDescent="0.2">
      <c r="O446" s="6"/>
      <c r="P446" s="2"/>
      <c r="Q446" s="2"/>
      <c r="R446" s="2"/>
      <c r="S446" s="8"/>
    </row>
    <row r="447" spans="15:19" x14ac:dyDescent="0.2">
      <c r="O447" s="6"/>
      <c r="P447" s="2"/>
      <c r="Q447" s="2"/>
      <c r="R447" s="2"/>
      <c r="S447" s="8"/>
    </row>
    <row r="448" spans="15:19" x14ac:dyDescent="0.2">
      <c r="O448" s="6"/>
      <c r="P448" s="2"/>
      <c r="Q448" s="2"/>
      <c r="R448" s="2"/>
      <c r="S448" s="8"/>
    </row>
    <row r="449" spans="15:19" x14ac:dyDescent="0.2">
      <c r="O449" s="6"/>
      <c r="P449" s="2"/>
      <c r="Q449" s="2"/>
      <c r="R449" s="2"/>
      <c r="S449" s="8"/>
    </row>
    <row r="450" spans="15:19" x14ac:dyDescent="0.2">
      <c r="O450" s="6"/>
      <c r="P450" s="2"/>
      <c r="Q450" s="2"/>
      <c r="R450" s="2"/>
      <c r="S450" s="8"/>
    </row>
    <row r="451" spans="15:19" x14ac:dyDescent="0.2">
      <c r="O451" s="6"/>
      <c r="P451" s="2"/>
      <c r="Q451" s="2"/>
      <c r="R451" s="2"/>
      <c r="S451" s="8"/>
    </row>
    <row r="452" spans="15:19" x14ac:dyDescent="0.2">
      <c r="O452" s="6"/>
      <c r="P452" s="2"/>
      <c r="Q452" s="2"/>
      <c r="R452" s="2"/>
      <c r="S452" s="8"/>
    </row>
    <row r="453" spans="15:19" x14ac:dyDescent="0.2">
      <c r="O453" s="6"/>
      <c r="P453" s="2"/>
      <c r="Q453" s="2"/>
      <c r="R453" s="2"/>
      <c r="S453" s="8"/>
    </row>
    <row r="454" spans="15:19" x14ac:dyDescent="0.2">
      <c r="O454" s="6"/>
      <c r="P454" s="2"/>
      <c r="Q454" s="2"/>
      <c r="R454" s="2"/>
      <c r="S454" s="8"/>
    </row>
    <row r="455" spans="15:19" x14ac:dyDescent="0.2">
      <c r="O455" s="6"/>
      <c r="P455" s="2"/>
      <c r="Q455" s="2"/>
      <c r="R455" s="2"/>
      <c r="S455" s="8"/>
    </row>
    <row r="456" spans="15:19" x14ac:dyDescent="0.2">
      <c r="O456" s="6"/>
      <c r="P456" s="2"/>
      <c r="Q456" s="2"/>
      <c r="R456" s="2"/>
      <c r="S456" s="8"/>
    </row>
    <row r="457" spans="15:19" x14ac:dyDescent="0.2">
      <c r="O457" s="6"/>
      <c r="P457" s="2"/>
      <c r="Q457" s="2"/>
      <c r="R457" s="2"/>
      <c r="S457" s="8"/>
    </row>
    <row r="458" spans="15:19" x14ac:dyDescent="0.2">
      <c r="O458" s="6"/>
      <c r="P458" s="2"/>
      <c r="Q458" s="2"/>
      <c r="R458" s="2"/>
      <c r="S458" s="8"/>
    </row>
    <row r="459" spans="15:19" x14ac:dyDescent="0.2">
      <c r="O459" s="6"/>
      <c r="P459" s="2"/>
      <c r="Q459" s="2"/>
      <c r="R459" s="2"/>
      <c r="S459" s="8"/>
    </row>
    <row r="460" spans="15:19" x14ac:dyDescent="0.2">
      <c r="O460" s="6"/>
      <c r="P460" s="2"/>
      <c r="Q460" s="2"/>
      <c r="R460" s="2"/>
      <c r="S460" s="8"/>
    </row>
    <row r="461" spans="15:19" x14ac:dyDescent="0.2">
      <c r="O461" s="6"/>
      <c r="P461" s="2"/>
      <c r="Q461" s="2"/>
      <c r="R461" s="2"/>
      <c r="S461" s="8"/>
    </row>
    <row r="462" spans="15:19" x14ac:dyDescent="0.2">
      <c r="O462" s="6"/>
      <c r="P462" s="2"/>
      <c r="Q462" s="2"/>
      <c r="R462" s="2"/>
      <c r="S462" s="8"/>
    </row>
    <row r="463" spans="15:19" x14ac:dyDescent="0.2">
      <c r="O463" s="6"/>
      <c r="P463" s="2"/>
      <c r="Q463" s="2"/>
      <c r="R463" s="2"/>
      <c r="S463" s="8"/>
    </row>
    <row r="464" spans="15:19" x14ac:dyDescent="0.2">
      <c r="O464" s="6"/>
      <c r="P464" s="2"/>
      <c r="Q464" s="2"/>
      <c r="R464" s="2"/>
      <c r="S464" s="8"/>
    </row>
    <row r="465" spans="15:19" x14ac:dyDescent="0.2">
      <c r="O465" s="6"/>
      <c r="P465" s="2"/>
      <c r="Q465" s="2"/>
      <c r="R465" s="2"/>
      <c r="S465" s="8"/>
    </row>
    <row r="466" spans="15:19" x14ac:dyDescent="0.2">
      <c r="O466" s="6"/>
      <c r="P466" s="2"/>
      <c r="Q466" s="2"/>
      <c r="R466" s="2"/>
      <c r="S466" s="8"/>
    </row>
    <row r="467" spans="15:19" x14ac:dyDescent="0.2">
      <c r="O467" s="6"/>
      <c r="P467" s="2"/>
      <c r="Q467" s="2"/>
      <c r="R467" s="2"/>
      <c r="S467" s="8"/>
    </row>
    <row r="468" spans="15:19" x14ac:dyDescent="0.2">
      <c r="O468" s="6"/>
      <c r="P468" s="2"/>
      <c r="Q468" s="2"/>
      <c r="R468" s="2"/>
      <c r="S468" s="8"/>
    </row>
    <row r="469" spans="15:19" x14ac:dyDescent="0.2">
      <c r="O469" s="6"/>
      <c r="P469" s="2"/>
      <c r="Q469" s="2"/>
      <c r="R469" s="2"/>
      <c r="S469" s="8"/>
    </row>
    <row r="470" spans="15:19" x14ac:dyDescent="0.2">
      <c r="O470" s="6"/>
      <c r="P470" s="2"/>
      <c r="Q470" s="2"/>
      <c r="R470" s="2"/>
      <c r="S470" s="8"/>
    </row>
    <row r="471" spans="15:19" x14ac:dyDescent="0.2">
      <c r="O471" s="6"/>
      <c r="P471" s="2"/>
      <c r="Q471" s="2"/>
      <c r="R471" s="2"/>
      <c r="S471" s="8"/>
    </row>
    <row r="472" spans="15:19" x14ac:dyDescent="0.2">
      <c r="O472" s="6"/>
      <c r="P472" s="2"/>
      <c r="Q472" s="2"/>
      <c r="R472" s="2"/>
      <c r="S472" s="8"/>
    </row>
    <row r="473" spans="15:19" x14ac:dyDescent="0.2">
      <c r="O473" s="6"/>
      <c r="P473" s="2"/>
      <c r="Q473" s="2"/>
      <c r="R473" s="2"/>
      <c r="S473" s="8"/>
    </row>
    <row r="474" spans="15:19" x14ac:dyDescent="0.2">
      <c r="O474" s="6"/>
      <c r="P474" s="2"/>
      <c r="Q474" s="2"/>
      <c r="R474" s="2"/>
      <c r="S474" s="8"/>
    </row>
    <row r="475" spans="15:19" x14ac:dyDescent="0.2">
      <c r="O475" s="6"/>
      <c r="P475" s="2"/>
      <c r="Q475" s="2"/>
      <c r="R475" s="2"/>
      <c r="S475" s="8"/>
    </row>
    <row r="476" spans="15:19" x14ac:dyDescent="0.2">
      <c r="O476" s="6"/>
      <c r="P476" s="2"/>
      <c r="Q476" s="2"/>
      <c r="R476" s="2"/>
      <c r="S476" s="8"/>
    </row>
    <row r="477" spans="15:19" x14ac:dyDescent="0.2">
      <c r="O477" s="6"/>
      <c r="P477" s="2"/>
      <c r="Q477" s="2"/>
      <c r="R477" s="2"/>
      <c r="S477" s="8"/>
    </row>
    <row r="478" spans="15:19" x14ac:dyDescent="0.2">
      <c r="O478" s="6"/>
      <c r="P478" s="2"/>
      <c r="Q478" s="2"/>
      <c r="R478" s="2"/>
      <c r="S478" s="8"/>
    </row>
    <row r="479" spans="15:19" x14ac:dyDescent="0.2">
      <c r="O479" s="6"/>
      <c r="P479" s="2"/>
      <c r="Q479" s="2"/>
      <c r="R479" s="2"/>
      <c r="S479" s="8"/>
    </row>
    <row r="480" spans="15:19" x14ac:dyDescent="0.2">
      <c r="O480" s="6"/>
      <c r="P480" s="2"/>
      <c r="Q480" s="2"/>
      <c r="R480" s="2"/>
      <c r="S480" s="8"/>
    </row>
    <row r="481" spans="15:19" x14ac:dyDescent="0.2">
      <c r="O481" s="6"/>
      <c r="P481" s="2"/>
      <c r="Q481" s="2"/>
      <c r="R481" s="2"/>
      <c r="S481" s="8"/>
    </row>
    <row r="482" spans="15:19" x14ac:dyDescent="0.2">
      <c r="O482" s="6"/>
      <c r="P482" s="2"/>
      <c r="Q482" s="2"/>
      <c r="R482" s="2"/>
      <c r="S482" s="8"/>
    </row>
    <row r="483" spans="15:19" x14ac:dyDescent="0.2">
      <c r="O483" s="6"/>
      <c r="P483" s="2"/>
      <c r="Q483" s="2"/>
      <c r="R483" s="2"/>
      <c r="S483" s="8"/>
    </row>
    <row r="484" spans="15:19" x14ac:dyDescent="0.2">
      <c r="O484" s="6"/>
      <c r="P484" s="2"/>
      <c r="Q484" s="2"/>
      <c r="R484" s="2"/>
      <c r="S484" s="8"/>
    </row>
    <row r="485" spans="15:19" x14ac:dyDescent="0.2">
      <c r="O485" s="6"/>
      <c r="P485" s="2"/>
      <c r="Q485" s="2"/>
      <c r="R485" s="2"/>
      <c r="S485" s="8"/>
    </row>
    <row r="486" spans="15:19" x14ac:dyDescent="0.2">
      <c r="O486" s="6"/>
      <c r="P486" s="2"/>
      <c r="Q486" s="2"/>
      <c r="R486" s="2"/>
      <c r="S486" s="8"/>
    </row>
    <row r="487" spans="15:19" x14ac:dyDescent="0.2">
      <c r="O487" s="6"/>
      <c r="P487" s="2"/>
      <c r="Q487" s="2"/>
      <c r="R487" s="2"/>
      <c r="S487" s="8"/>
    </row>
    <row r="488" spans="15:19" x14ac:dyDescent="0.2">
      <c r="O488" s="6"/>
      <c r="P488" s="2"/>
      <c r="Q488" s="2"/>
      <c r="R488" s="2"/>
      <c r="S488" s="8"/>
    </row>
    <row r="489" spans="15:19" x14ac:dyDescent="0.2">
      <c r="O489" s="6"/>
      <c r="P489" s="2"/>
      <c r="Q489" s="2"/>
      <c r="R489" s="2"/>
      <c r="S489" s="8"/>
    </row>
    <row r="490" spans="15:19" x14ac:dyDescent="0.2">
      <c r="O490" s="6"/>
      <c r="P490" s="2"/>
      <c r="Q490" s="2"/>
      <c r="R490" s="2"/>
      <c r="S490" s="8"/>
    </row>
    <row r="491" spans="15:19" x14ac:dyDescent="0.2">
      <c r="O491" s="6"/>
      <c r="P491" s="2"/>
      <c r="Q491" s="2"/>
      <c r="R491" s="2"/>
      <c r="S491" s="8"/>
    </row>
    <row r="492" spans="15:19" x14ac:dyDescent="0.2">
      <c r="O492" s="6"/>
      <c r="P492" s="2"/>
      <c r="Q492" s="2"/>
      <c r="R492" s="2"/>
      <c r="S492" s="8"/>
    </row>
    <row r="493" spans="15:19" x14ac:dyDescent="0.2">
      <c r="O493" s="6"/>
      <c r="P493" s="2"/>
      <c r="Q493" s="2"/>
      <c r="R493" s="2"/>
      <c r="S493" s="8"/>
    </row>
    <row r="494" spans="15:19" x14ac:dyDescent="0.2">
      <c r="O494" s="6"/>
      <c r="P494" s="2"/>
      <c r="Q494" s="2"/>
      <c r="R494" s="2"/>
      <c r="S494" s="8"/>
    </row>
    <row r="495" spans="15:19" x14ac:dyDescent="0.2">
      <c r="O495" s="6"/>
      <c r="P495" s="2"/>
      <c r="Q495" s="2"/>
      <c r="R495" s="2"/>
      <c r="S495" s="8"/>
    </row>
    <row r="496" spans="15:19" x14ac:dyDescent="0.2">
      <c r="O496" s="6"/>
      <c r="P496" s="2"/>
      <c r="Q496" s="2"/>
      <c r="R496" s="2"/>
      <c r="S496" s="8"/>
    </row>
    <row r="497" spans="15:19" x14ac:dyDescent="0.2">
      <c r="O497" s="6"/>
      <c r="P497" s="2"/>
      <c r="Q497" s="2"/>
      <c r="R497" s="2"/>
      <c r="S497" s="8"/>
    </row>
    <row r="498" spans="15:19" x14ac:dyDescent="0.2">
      <c r="O498" s="6"/>
      <c r="P498" s="2"/>
      <c r="Q498" s="2"/>
      <c r="R498" s="2"/>
      <c r="S498" s="8"/>
    </row>
    <row r="499" spans="15:19" x14ac:dyDescent="0.2">
      <c r="O499" s="6"/>
      <c r="P499" s="2"/>
      <c r="Q499" s="2"/>
      <c r="R499" s="2"/>
      <c r="S499" s="8"/>
    </row>
    <row r="500" spans="15:19" x14ac:dyDescent="0.2">
      <c r="O500" s="6"/>
      <c r="P500" s="2"/>
      <c r="Q500" s="2"/>
      <c r="R500" s="2"/>
      <c r="S500" s="8"/>
    </row>
    <row r="501" spans="15:19" x14ac:dyDescent="0.2">
      <c r="O501" s="6"/>
      <c r="P501" s="2"/>
      <c r="Q501" s="2"/>
      <c r="R501" s="2"/>
      <c r="S501" s="8"/>
    </row>
    <row r="502" spans="15:19" x14ac:dyDescent="0.2">
      <c r="O502" s="6"/>
      <c r="P502" s="2"/>
      <c r="Q502" s="2"/>
      <c r="R502" s="2"/>
      <c r="S502" s="8"/>
    </row>
    <row r="503" spans="15:19" x14ac:dyDescent="0.2">
      <c r="O503" s="6"/>
      <c r="P503" s="2"/>
      <c r="Q503" s="2"/>
      <c r="R503" s="2"/>
      <c r="S503" s="8"/>
    </row>
    <row r="504" spans="15:19" x14ac:dyDescent="0.2">
      <c r="O504" s="6"/>
      <c r="P504" s="2"/>
      <c r="Q504" s="2"/>
      <c r="R504" s="2"/>
      <c r="S504" s="8"/>
    </row>
    <row r="505" spans="15:19" x14ac:dyDescent="0.2">
      <c r="O505" s="6"/>
      <c r="P505" s="2"/>
      <c r="Q505" s="2"/>
      <c r="R505" s="2"/>
      <c r="S505" s="8"/>
    </row>
    <row r="506" spans="15:19" x14ac:dyDescent="0.2">
      <c r="O506" s="6"/>
      <c r="P506" s="2"/>
      <c r="Q506" s="2"/>
      <c r="R506" s="2"/>
      <c r="S506" s="8"/>
    </row>
    <row r="507" spans="15:19" x14ac:dyDescent="0.2">
      <c r="O507" s="6"/>
      <c r="P507" s="2"/>
      <c r="Q507" s="2"/>
      <c r="R507" s="2"/>
      <c r="S507" s="8"/>
    </row>
    <row r="508" spans="15:19" x14ac:dyDescent="0.2">
      <c r="O508" s="6"/>
      <c r="P508" s="2"/>
      <c r="Q508" s="2"/>
      <c r="R508" s="2"/>
      <c r="S508" s="8"/>
    </row>
    <row r="509" spans="15:19" x14ac:dyDescent="0.2">
      <c r="O509" s="6"/>
      <c r="P509" s="2"/>
      <c r="Q509" s="2"/>
      <c r="R509" s="2"/>
      <c r="S509" s="8"/>
    </row>
    <row r="510" spans="15:19" x14ac:dyDescent="0.2">
      <c r="O510" s="6"/>
      <c r="P510" s="2"/>
      <c r="Q510" s="2"/>
      <c r="R510" s="2"/>
      <c r="S510" s="8"/>
    </row>
    <row r="511" spans="15:19" x14ac:dyDescent="0.2">
      <c r="O511" s="6"/>
      <c r="P511" s="2"/>
      <c r="Q511" s="2"/>
      <c r="R511" s="2"/>
      <c r="S511" s="8"/>
    </row>
    <row r="512" spans="15:19" x14ac:dyDescent="0.2">
      <c r="O512" s="6"/>
      <c r="P512" s="2"/>
      <c r="Q512" s="2"/>
      <c r="R512" s="2"/>
      <c r="S512" s="8"/>
    </row>
    <row r="513" spans="15:19" x14ac:dyDescent="0.2">
      <c r="O513" s="6"/>
      <c r="P513" s="2"/>
      <c r="Q513" s="2"/>
      <c r="R513" s="2"/>
      <c r="S513" s="8"/>
    </row>
    <row r="514" spans="15:19" x14ac:dyDescent="0.2">
      <c r="O514" s="6"/>
      <c r="P514" s="2"/>
      <c r="Q514" s="2"/>
      <c r="R514" s="2"/>
      <c r="S514" s="8"/>
    </row>
    <row r="515" spans="15:19" x14ac:dyDescent="0.2">
      <c r="O515" s="6"/>
      <c r="P515" s="2"/>
      <c r="Q515" s="2"/>
      <c r="R515" s="2"/>
      <c r="S515" s="8"/>
    </row>
    <row r="516" spans="15:19" x14ac:dyDescent="0.2">
      <c r="O516" s="6"/>
      <c r="P516" s="2"/>
      <c r="Q516" s="2"/>
      <c r="R516" s="2"/>
      <c r="S516" s="8"/>
    </row>
    <row r="517" spans="15:19" x14ac:dyDescent="0.2">
      <c r="O517" s="6"/>
      <c r="P517" s="2"/>
      <c r="Q517" s="2"/>
      <c r="R517" s="2"/>
      <c r="S517" s="8"/>
    </row>
    <row r="518" spans="15:19" x14ac:dyDescent="0.2">
      <c r="O518" s="6"/>
      <c r="P518" s="2"/>
      <c r="Q518" s="2"/>
      <c r="R518" s="2"/>
      <c r="S518" s="8"/>
    </row>
    <row r="519" spans="15:19" x14ac:dyDescent="0.2">
      <c r="O519" s="6"/>
      <c r="P519" s="2"/>
      <c r="Q519" s="2"/>
      <c r="R519" s="2"/>
      <c r="S519" s="8"/>
    </row>
    <row r="520" spans="15:19" x14ac:dyDescent="0.2">
      <c r="O520" s="6"/>
      <c r="P520" s="2"/>
      <c r="Q520" s="2"/>
      <c r="R520" s="2"/>
      <c r="S520" s="8"/>
    </row>
    <row r="521" spans="15:19" x14ac:dyDescent="0.2">
      <c r="O521" s="6"/>
      <c r="P521" s="2"/>
      <c r="Q521" s="2"/>
      <c r="R521" s="2"/>
      <c r="S521" s="8"/>
    </row>
    <row r="522" spans="15:19" x14ac:dyDescent="0.2">
      <c r="O522" s="6"/>
      <c r="P522" s="2"/>
      <c r="Q522" s="2"/>
      <c r="R522" s="2"/>
      <c r="S522" s="8"/>
    </row>
    <row r="523" spans="15:19" x14ac:dyDescent="0.2">
      <c r="O523" s="6"/>
      <c r="P523" s="2"/>
      <c r="Q523" s="2"/>
      <c r="R523" s="2"/>
      <c r="S523" s="8"/>
    </row>
    <row r="524" spans="15:19" x14ac:dyDescent="0.2">
      <c r="O524" s="6"/>
      <c r="P524" s="2"/>
      <c r="Q524" s="2"/>
      <c r="R524" s="2"/>
      <c r="S524" s="8"/>
    </row>
    <row r="525" spans="15:19" x14ac:dyDescent="0.2">
      <c r="O525" s="6"/>
      <c r="P525" s="2"/>
      <c r="Q525" s="2"/>
      <c r="R525" s="2"/>
      <c r="S525" s="8"/>
    </row>
    <row r="526" spans="15:19" x14ac:dyDescent="0.2">
      <c r="O526" s="6"/>
      <c r="P526" s="2"/>
      <c r="Q526" s="2"/>
      <c r="R526" s="2"/>
      <c r="S526" s="8"/>
    </row>
    <row r="527" spans="15:19" x14ac:dyDescent="0.2">
      <c r="O527" s="6"/>
      <c r="P527" s="2"/>
      <c r="Q527" s="2"/>
      <c r="R527" s="2"/>
      <c r="S527" s="8"/>
    </row>
    <row r="528" spans="15:19" x14ac:dyDescent="0.2">
      <c r="O528" s="6"/>
      <c r="P528" s="2"/>
      <c r="Q528" s="2"/>
      <c r="R528" s="2"/>
      <c r="S528" s="8"/>
    </row>
    <row r="529" spans="15:19" x14ac:dyDescent="0.2">
      <c r="O529" s="6"/>
      <c r="P529" s="2"/>
      <c r="Q529" s="2"/>
      <c r="R529" s="2"/>
      <c r="S529" s="8"/>
    </row>
    <row r="530" spans="15:19" x14ac:dyDescent="0.2">
      <c r="O530" s="6"/>
      <c r="P530" s="2"/>
      <c r="Q530" s="2"/>
      <c r="R530" s="2"/>
      <c r="S530" s="8"/>
    </row>
    <row r="531" spans="15:19" x14ac:dyDescent="0.2">
      <c r="O531" s="6"/>
      <c r="P531" s="2"/>
      <c r="Q531" s="2"/>
      <c r="R531" s="2"/>
      <c r="S531" s="8"/>
    </row>
    <row r="532" spans="15:19" x14ac:dyDescent="0.2">
      <c r="O532" s="6"/>
      <c r="P532" s="2"/>
      <c r="Q532" s="2"/>
      <c r="R532" s="2"/>
      <c r="S532" s="8"/>
    </row>
    <row r="533" spans="15:19" x14ac:dyDescent="0.2">
      <c r="O533" s="6"/>
      <c r="P533" s="2"/>
      <c r="Q533" s="2"/>
      <c r="R533" s="2"/>
      <c r="S533" s="8"/>
    </row>
    <row r="534" spans="15:19" x14ac:dyDescent="0.2">
      <c r="O534" s="6"/>
      <c r="P534" s="2"/>
      <c r="Q534" s="2"/>
      <c r="R534" s="2"/>
      <c r="S534" s="8"/>
    </row>
    <row r="535" spans="15:19" x14ac:dyDescent="0.2">
      <c r="O535" s="6"/>
      <c r="P535" s="2"/>
      <c r="Q535" s="2"/>
      <c r="R535" s="2"/>
      <c r="S535" s="8"/>
    </row>
    <row r="536" spans="15:19" x14ac:dyDescent="0.2">
      <c r="O536" s="6"/>
      <c r="P536" s="2"/>
      <c r="Q536" s="2"/>
      <c r="R536" s="2"/>
      <c r="S536" s="8"/>
    </row>
    <row r="537" spans="15:19" x14ac:dyDescent="0.2">
      <c r="O537" s="6"/>
      <c r="P537" s="2"/>
      <c r="Q537" s="2"/>
      <c r="R537" s="2"/>
      <c r="S537" s="8"/>
    </row>
    <row r="538" spans="15:19" x14ac:dyDescent="0.2">
      <c r="O538" s="6"/>
      <c r="P538" s="2"/>
      <c r="Q538" s="2"/>
      <c r="R538" s="2"/>
      <c r="S538" s="8"/>
    </row>
    <row r="539" spans="15:19" x14ac:dyDescent="0.2">
      <c r="O539" s="6"/>
      <c r="P539" s="2"/>
      <c r="Q539" s="2"/>
      <c r="R539" s="2"/>
      <c r="S539" s="8"/>
    </row>
    <row r="540" spans="15:19" x14ac:dyDescent="0.2">
      <c r="O540" s="6"/>
      <c r="P540" s="2"/>
      <c r="Q540" s="2"/>
      <c r="R540" s="2"/>
      <c r="S540" s="8"/>
    </row>
    <row r="541" spans="15:19" x14ac:dyDescent="0.2">
      <c r="O541" s="6"/>
      <c r="P541" s="2"/>
      <c r="Q541" s="2"/>
      <c r="R541" s="2"/>
      <c r="S541" s="8"/>
    </row>
    <row r="542" spans="15:19" x14ac:dyDescent="0.2">
      <c r="O542" s="6"/>
      <c r="P542" s="2"/>
      <c r="Q542" s="2"/>
      <c r="R542" s="2"/>
      <c r="S542" s="8"/>
    </row>
    <row r="543" spans="15:19" x14ac:dyDescent="0.2">
      <c r="O543" s="6"/>
      <c r="P543" s="2"/>
      <c r="Q543" s="2"/>
      <c r="R543" s="2"/>
      <c r="S543" s="8"/>
    </row>
    <row r="544" spans="15:19" x14ac:dyDescent="0.2">
      <c r="O544" s="6"/>
      <c r="P544" s="2"/>
      <c r="Q544" s="2"/>
      <c r="R544" s="2"/>
      <c r="S544" s="8"/>
    </row>
    <row r="545" spans="15:19" x14ac:dyDescent="0.2">
      <c r="O545" s="6"/>
      <c r="P545" s="2"/>
      <c r="Q545" s="2"/>
      <c r="R545" s="2"/>
      <c r="S545" s="8"/>
    </row>
    <row r="546" spans="15:19" x14ac:dyDescent="0.2">
      <c r="O546" s="6"/>
      <c r="P546" s="2"/>
      <c r="Q546" s="2"/>
      <c r="R546" s="2"/>
      <c r="S546" s="8"/>
    </row>
    <row r="547" spans="15:19" x14ac:dyDescent="0.2">
      <c r="O547" s="6"/>
      <c r="P547" s="2"/>
      <c r="Q547" s="2"/>
      <c r="R547" s="2"/>
      <c r="S547" s="8"/>
    </row>
    <row r="548" spans="15:19" x14ac:dyDescent="0.2">
      <c r="O548" s="6"/>
      <c r="P548" s="2"/>
      <c r="Q548" s="2"/>
      <c r="R548" s="2"/>
      <c r="S548" s="8"/>
    </row>
    <row r="549" spans="15:19" x14ac:dyDescent="0.2">
      <c r="O549" s="6"/>
      <c r="P549" s="2"/>
      <c r="Q549" s="2"/>
      <c r="R549" s="2"/>
      <c r="S549" s="8"/>
    </row>
    <row r="550" spans="15:19" x14ac:dyDescent="0.2">
      <c r="O550" s="6"/>
      <c r="P550" s="2"/>
      <c r="Q550" s="2"/>
      <c r="R550" s="2"/>
      <c r="S550" s="8"/>
    </row>
    <row r="551" spans="15:19" x14ac:dyDescent="0.2">
      <c r="O551" s="6"/>
      <c r="P551" s="2"/>
      <c r="Q551" s="2"/>
      <c r="R551" s="2"/>
      <c r="S551" s="8"/>
    </row>
    <row r="552" spans="15:19" x14ac:dyDescent="0.2">
      <c r="O552" s="6"/>
      <c r="P552" s="2"/>
      <c r="Q552" s="2"/>
      <c r="R552" s="2"/>
      <c r="S552" s="8"/>
    </row>
    <row r="553" spans="15:19" x14ac:dyDescent="0.2">
      <c r="O553" s="6"/>
      <c r="P553" s="2"/>
      <c r="Q553" s="2"/>
      <c r="R553" s="2"/>
      <c r="S553" s="8"/>
    </row>
    <row r="554" spans="15:19" x14ac:dyDescent="0.2">
      <c r="O554" s="6"/>
      <c r="P554" s="2"/>
      <c r="Q554" s="2"/>
      <c r="R554" s="2"/>
      <c r="S554" s="8"/>
    </row>
    <row r="555" spans="15:19" x14ac:dyDescent="0.2">
      <c r="O555" s="6"/>
      <c r="P555" s="2"/>
      <c r="Q555" s="2"/>
      <c r="R555" s="2"/>
      <c r="S555" s="8"/>
    </row>
    <row r="556" spans="15:19" x14ac:dyDescent="0.2">
      <c r="O556" s="6"/>
      <c r="P556" s="2"/>
      <c r="Q556" s="2"/>
      <c r="R556" s="2"/>
      <c r="S556" s="8"/>
    </row>
    <row r="557" spans="15:19" x14ac:dyDescent="0.2">
      <c r="O557" s="6"/>
      <c r="P557" s="2"/>
      <c r="Q557" s="2"/>
      <c r="R557" s="2"/>
      <c r="S557" s="8"/>
    </row>
    <row r="558" spans="15:19" x14ac:dyDescent="0.2">
      <c r="O558" s="6"/>
      <c r="P558" s="2"/>
      <c r="Q558" s="2"/>
      <c r="R558" s="2"/>
      <c r="S558" s="8"/>
    </row>
    <row r="559" spans="15:19" x14ac:dyDescent="0.2">
      <c r="O559" s="6"/>
      <c r="P559" s="2"/>
      <c r="Q559" s="2"/>
      <c r="R559" s="2"/>
      <c r="S559" s="8"/>
    </row>
    <row r="560" spans="15:19" x14ac:dyDescent="0.2">
      <c r="O560" s="6"/>
      <c r="P560" s="2"/>
      <c r="Q560" s="2"/>
      <c r="R560" s="2"/>
      <c r="S560" s="8"/>
    </row>
    <row r="561" spans="15:19" x14ac:dyDescent="0.2">
      <c r="O561" s="6"/>
      <c r="P561" s="2"/>
      <c r="Q561" s="2"/>
      <c r="R561" s="2"/>
      <c r="S561" s="8"/>
    </row>
    <row r="562" spans="15:19" x14ac:dyDescent="0.2">
      <c r="O562" s="6"/>
      <c r="P562" s="2"/>
      <c r="Q562" s="2"/>
      <c r="R562" s="2"/>
      <c r="S562" s="8"/>
    </row>
    <row r="563" spans="15:19" x14ac:dyDescent="0.2">
      <c r="O563" s="6"/>
      <c r="P563" s="2"/>
      <c r="Q563" s="2"/>
      <c r="R563" s="2"/>
      <c r="S563" s="8"/>
    </row>
    <row r="564" spans="15:19" x14ac:dyDescent="0.2">
      <c r="O564" s="6"/>
      <c r="P564" s="2"/>
      <c r="Q564" s="2"/>
      <c r="R564" s="2"/>
      <c r="S564" s="8"/>
    </row>
    <row r="565" spans="15:19" x14ac:dyDescent="0.2">
      <c r="O565" s="6"/>
      <c r="P565" s="2"/>
      <c r="Q565" s="2"/>
      <c r="R565" s="2"/>
      <c r="S565" s="8"/>
    </row>
    <row r="566" spans="15:19" x14ac:dyDescent="0.2">
      <c r="O566" s="6"/>
      <c r="P566" s="2"/>
      <c r="Q566" s="2"/>
      <c r="R566" s="2"/>
      <c r="S566" s="8"/>
    </row>
    <row r="567" spans="15:19" x14ac:dyDescent="0.2">
      <c r="O567" s="6"/>
      <c r="P567" s="2"/>
      <c r="Q567" s="2"/>
      <c r="R567" s="2"/>
      <c r="S567" s="8"/>
    </row>
    <row r="568" spans="15:19" x14ac:dyDescent="0.2">
      <c r="O568" s="6"/>
      <c r="P568" s="2"/>
      <c r="Q568" s="2"/>
      <c r="R568" s="2"/>
      <c r="S568" s="8"/>
    </row>
    <row r="569" spans="15:19" x14ac:dyDescent="0.2">
      <c r="O569" s="6"/>
      <c r="P569" s="2"/>
      <c r="Q569" s="2"/>
      <c r="R569" s="2"/>
      <c r="S569" s="8"/>
    </row>
    <row r="570" spans="15:19" x14ac:dyDescent="0.2">
      <c r="O570" s="6"/>
      <c r="P570" s="2"/>
      <c r="Q570" s="2"/>
      <c r="R570" s="2"/>
      <c r="S570" s="8"/>
    </row>
    <row r="571" spans="15:19" x14ac:dyDescent="0.2">
      <c r="O571" s="6"/>
      <c r="P571" s="2"/>
      <c r="Q571" s="2"/>
      <c r="R571" s="2"/>
      <c r="S571" s="8"/>
    </row>
    <row r="572" spans="15:19" x14ac:dyDescent="0.2">
      <c r="O572" s="6"/>
      <c r="P572" s="2"/>
      <c r="Q572" s="2"/>
      <c r="R572" s="2"/>
      <c r="S572" s="8"/>
    </row>
    <row r="573" spans="15:19" x14ac:dyDescent="0.2">
      <c r="O573" s="6"/>
      <c r="P573" s="2"/>
      <c r="Q573" s="2"/>
      <c r="R573" s="2"/>
      <c r="S573" s="8"/>
    </row>
    <row r="574" spans="15:19" x14ac:dyDescent="0.2">
      <c r="O574" s="6"/>
      <c r="P574" s="2"/>
      <c r="Q574" s="2"/>
      <c r="R574" s="2"/>
      <c r="S574" s="8"/>
    </row>
    <row r="575" spans="15:19" x14ac:dyDescent="0.2">
      <c r="O575" s="6"/>
      <c r="P575" s="2"/>
      <c r="Q575" s="2"/>
      <c r="R575" s="2"/>
      <c r="S575" s="8"/>
    </row>
    <row r="576" spans="15:19" x14ac:dyDescent="0.2">
      <c r="O576" s="6"/>
      <c r="P576" s="2"/>
      <c r="Q576" s="2"/>
      <c r="R576" s="2"/>
      <c r="S576" s="8"/>
    </row>
    <row r="577" spans="15:19" x14ac:dyDescent="0.2">
      <c r="O577" s="6"/>
      <c r="P577" s="2"/>
      <c r="Q577" s="2"/>
      <c r="R577" s="2"/>
      <c r="S577" s="8"/>
    </row>
    <row r="578" spans="15:19" x14ac:dyDescent="0.2">
      <c r="O578" s="6"/>
      <c r="P578" s="2"/>
      <c r="Q578" s="2"/>
      <c r="R578" s="2"/>
      <c r="S578" s="8"/>
    </row>
    <row r="579" spans="15:19" x14ac:dyDescent="0.2">
      <c r="O579" s="6"/>
      <c r="P579" s="2"/>
      <c r="Q579" s="2"/>
      <c r="R579" s="2"/>
      <c r="S579" s="8"/>
    </row>
    <row r="580" spans="15:19" x14ac:dyDescent="0.2">
      <c r="O580" s="6"/>
      <c r="P580" s="2"/>
      <c r="Q580" s="2"/>
      <c r="R580" s="2"/>
      <c r="S580" s="8"/>
    </row>
    <row r="581" spans="15:19" x14ac:dyDescent="0.2">
      <c r="O581" s="6"/>
      <c r="P581" s="2"/>
      <c r="Q581" s="2"/>
      <c r="R581" s="2"/>
      <c r="S581" s="8"/>
    </row>
    <row r="582" spans="15:19" x14ac:dyDescent="0.2">
      <c r="O582" s="6"/>
      <c r="P582" s="2"/>
      <c r="Q582" s="2"/>
      <c r="R582" s="2"/>
      <c r="S582" s="8"/>
    </row>
    <row r="583" spans="15:19" x14ac:dyDescent="0.2">
      <c r="O583" s="6"/>
      <c r="P583" s="2"/>
      <c r="Q583" s="2"/>
      <c r="R583" s="2"/>
      <c r="S583" s="8"/>
    </row>
    <row r="584" spans="15:19" x14ac:dyDescent="0.2">
      <c r="O584" s="6"/>
      <c r="P584" s="2"/>
      <c r="Q584" s="2"/>
      <c r="R584" s="2"/>
      <c r="S584" s="8"/>
    </row>
    <row r="585" spans="15:19" x14ac:dyDescent="0.2">
      <c r="O585" s="6"/>
      <c r="P585" s="2"/>
      <c r="Q585" s="2"/>
      <c r="R585" s="2"/>
      <c r="S585" s="8"/>
    </row>
    <row r="586" spans="15:19" x14ac:dyDescent="0.2">
      <c r="O586" s="6"/>
      <c r="P586" s="2"/>
      <c r="Q586" s="2"/>
      <c r="R586" s="2"/>
      <c r="S586" s="8"/>
    </row>
    <row r="587" spans="15:19" x14ac:dyDescent="0.2">
      <c r="O587" s="6"/>
      <c r="P587" s="2"/>
      <c r="Q587" s="2"/>
      <c r="R587" s="2"/>
      <c r="S587" s="8"/>
    </row>
    <row r="588" spans="15:19" x14ac:dyDescent="0.2">
      <c r="O588" s="6"/>
      <c r="P588" s="2"/>
      <c r="Q588" s="2"/>
      <c r="R588" s="2"/>
      <c r="S588" s="8"/>
    </row>
    <row r="589" spans="15:19" x14ac:dyDescent="0.2">
      <c r="O589" s="6"/>
      <c r="P589" s="2"/>
      <c r="Q589" s="2"/>
      <c r="R589" s="2"/>
      <c r="S589" s="8"/>
    </row>
    <row r="590" spans="15:19" x14ac:dyDescent="0.2">
      <c r="O590" s="6"/>
      <c r="P590" s="2"/>
      <c r="Q590" s="2"/>
      <c r="R590" s="2"/>
      <c r="S590" s="8"/>
    </row>
    <row r="591" spans="15:19" x14ac:dyDescent="0.2">
      <c r="O591" s="6"/>
      <c r="P591" s="2"/>
      <c r="Q591" s="2"/>
      <c r="R591" s="2"/>
      <c r="S591" s="8"/>
    </row>
    <row r="592" spans="15:19" x14ac:dyDescent="0.2">
      <c r="O592" s="6"/>
      <c r="P592" s="2"/>
      <c r="Q592" s="2"/>
      <c r="R592" s="2"/>
      <c r="S592" s="8"/>
    </row>
    <row r="593" spans="15:19" x14ac:dyDescent="0.2">
      <c r="O593" s="6"/>
      <c r="P593" s="2"/>
      <c r="Q593" s="2"/>
      <c r="R593" s="2"/>
      <c r="S593" s="8"/>
    </row>
    <row r="594" spans="15:19" x14ac:dyDescent="0.2">
      <c r="O594" s="6"/>
      <c r="P594" s="2"/>
      <c r="Q594" s="2"/>
      <c r="R594" s="2"/>
      <c r="S594" s="8"/>
    </row>
    <row r="595" spans="15:19" x14ac:dyDescent="0.2">
      <c r="O595" s="6"/>
      <c r="P595" s="2"/>
      <c r="Q595" s="2"/>
      <c r="R595" s="2"/>
      <c r="S595" s="8"/>
    </row>
    <row r="596" spans="15:19" x14ac:dyDescent="0.2">
      <c r="O596" s="6"/>
      <c r="P596" s="2"/>
      <c r="Q596" s="2"/>
      <c r="R596" s="2"/>
      <c r="S596" s="8"/>
    </row>
    <row r="597" spans="15:19" x14ac:dyDescent="0.2">
      <c r="O597" s="6"/>
      <c r="P597" s="2"/>
      <c r="Q597" s="2"/>
      <c r="R597" s="2"/>
      <c r="S597" s="8"/>
    </row>
    <row r="598" spans="15:19" x14ac:dyDescent="0.2">
      <c r="O598" s="6"/>
      <c r="P598" s="2"/>
      <c r="Q598" s="2"/>
      <c r="R598" s="2"/>
      <c r="S598" s="8"/>
    </row>
    <row r="599" spans="15:19" x14ac:dyDescent="0.2">
      <c r="O599" s="6"/>
      <c r="P599" s="2"/>
      <c r="Q599" s="2"/>
      <c r="R599" s="2"/>
      <c r="S599" s="8"/>
    </row>
    <row r="600" spans="15:19" x14ac:dyDescent="0.2">
      <c r="O600" s="6"/>
      <c r="P600" s="2"/>
      <c r="Q600" s="2"/>
      <c r="R600" s="2"/>
      <c r="S600" s="8"/>
    </row>
    <row r="601" spans="15:19" x14ac:dyDescent="0.2">
      <c r="O601" s="6"/>
      <c r="P601" s="2"/>
      <c r="Q601" s="2"/>
      <c r="R601" s="2"/>
      <c r="S601" s="8"/>
    </row>
    <row r="602" spans="15:19" x14ac:dyDescent="0.2">
      <c r="O602" s="6"/>
      <c r="P602" s="2"/>
      <c r="Q602" s="2"/>
      <c r="R602" s="2"/>
      <c r="S602" s="8"/>
    </row>
    <row r="603" spans="15:19" x14ac:dyDescent="0.2">
      <c r="O603" s="6"/>
      <c r="P603" s="2"/>
      <c r="Q603" s="2"/>
      <c r="R603" s="2"/>
      <c r="S603" s="8"/>
    </row>
    <row r="604" spans="15:19" x14ac:dyDescent="0.2">
      <c r="O604" s="6"/>
      <c r="P604" s="2"/>
      <c r="Q604" s="2"/>
      <c r="R604" s="2"/>
      <c r="S604" s="8"/>
    </row>
    <row r="605" spans="15:19" x14ac:dyDescent="0.2">
      <c r="O605" s="6"/>
      <c r="P605" s="2"/>
      <c r="Q605" s="2"/>
      <c r="R605" s="2"/>
      <c r="S605" s="8"/>
    </row>
    <row r="606" spans="15:19" x14ac:dyDescent="0.2">
      <c r="O606" s="6"/>
      <c r="P606" s="2"/>
      <c r="Q606" s="2"/>
      <c r="R606" s="2"/>
      <c r="S606" s="8"/>
    </row>
    <row r="607" spans="15:19" x14ac:dyDescent="0.2">
      <c r="O607" s="6"/>
      <c r="P607" s="2"/>
      <c r="Q607" s="2"/>
      <c r="R607" s="2"/>
      <c r="S607" s="8"/>
    </row>
    <row r="608" spans="15:19" x14ac:dyDescent="0.2">
      <c r="O608" s="6"/>
      <c r="P608" s="2"/>
      <c r="Q608" s="2"/>
      <c r="R608" s="2"/>
      <c r="S608" s="8"/>
    </row>
    <row r="609" spans="15:19" x14ac:dyDescent="0.2">
      <c r="O609" s="6"/>
      <c r="P609" s="2"/>
      <c r="Q609" s="2"/>
      <c r="R609" s="2"/>
      <c r="S609" s="8"/>
    </row>
    <row r="610" spans="15:19" x14ac:dyDescent="0.2">
      <c r="O610" s="6"/>
      <c r="P610" s="2"/>
      <c r="Q610" s="2"/>
      <c r="R610" s="2"/>
      <c r="S610" s="8"/>
    </row>
    <row r="611" spans="15:19" x14ac:dyDescent="0.2">
      <c r="O611" s="6"/>
      <c r="P611" s="2"/>
      <c r="Q611" s="2"/>
      <c r="R611" s="2"/>
      <c r="S611" s="8"/>
    </row>
    <row r="612" spans="15:19" x14ac:dyDescent="0.2">
      <c r="O612" s="6"/>
      <c r="P612" s="2"/>
      <c r="Q612" s="2"/>
      <c r="R612" s="2"/>
      <c r="S612" s="8"/>
    </row>
    <row r="613" spans="15:19" x14ac:dyDescent="0.2">
      <c r="O613" s="6"/>
      <c r="P613" s="2"/>
      <c r="Q613" s="2"/>
      <c r="R613" s="2"/>
      <c r="S613" s="8"/>
    </row>
    <row r="614" spans="15:19" x14ac:dyDescent="0.2">
      <c r="O614" s="6"/>
      <c r="P614" s="2"/>
      <c r="Q614" s="2"/>
      <c r="R614" s="2"/>
      <c r="S614" s="8"/>
    </row>
    <row r="615" spans="15:19" x14ac:dyDescent="0.2">
      <c r="O615" s="6"/>
      <c r="P615" s="2"/>
      <c r="Q615" s="2"/>
      <c r="R615" s="2"/>
      <c r="S615" s="8"/>
    </row>
    <row r="616" spans="15:19" x14ac:dyDescent="0.2">
      <c r="O616" s="6"/>
      <c r="P616" s="2"/>
      <c r="Q616" s="2"/>
      <c r="R616" s="2"/>
      <c r="S616" s="8"/>
    </row>
    <row r="617" spans="15:19" x14ac:dyDescent="0.2">
      <c r="O617" s="6"/>
      <c r="P617" s="2"/>
      <c r="Q617" s="2"/>
      <c r="R617" s="2"/>
      <c r="S617" s="8"/>
    </row>
    <row r="618" spans="15:19" x14ac:dyDescent="0.2">
      <c r="O618" s="6"/>
      <c r="P618" s="2"/>
      <c r="Q618" s="2"/>
      <c r="R618" s="2"/>
      <c r="S618" s="8"/>
    </row>
    <row r="619" spans="15:19" x14ac:dyDescent="0.2">
      <c r="O619" s="6"/>
      <c r="P619" s="2"/>
      <c r="Q619" s="2"/>
      <c r="R619" s="2"/>
      <c r="S619" s="8"/>
    </row>
    <row r="620" spans="15:19" x14ac:dyDescent="0.2">
      <c r="O620" s="6"/>
      <c r="P620" s="2"/>
      <c r="Q620" s="2"/>
      <c r="R620" s="2"/>
      <c r="S620" s="8"/>
    </row>
    <row r="621" spans="15:19" x14ac:dyDescent="0.2">
      <c r="O621" s="6"/>
      <c r="P621" s="2"/>
      <c r="Q621" s="2"/>
      <c r="R621" s="2"/>
      <c r="S621" s="8"/>
    </row>
    <row r="622" spans="15:19" x14ac:dyDescent="0.2">
      <c r="O622" s="6"/>
      <c r="P622" s="2"/>
      <c r="Q622" s="2"/>
      <c r="R622" s="2"/>
      <c r="S622" s="8"/>
    </row>
    <row r="623" spans="15:19" x14ac:dyDescent="0.2">
      <c r="O623" s="6"/>
      <c r="P623" s="2"/>
      <c r="Q623" s="2"/>
      <c r="R623" s="2"/>
      <c r="S623" s="8"/>
    </row>
    <row r="624" spans="15:19" x14ac:dyDescent="0.2">
      <c r="O624" s="6"/>
      <c r="P624" s="2"/>
      <c r="Q624" s="2"/>
      <c r="R624" s="2"/>
      <c r="S624" s="8"/>
    </row>
    <row r="625" spans="15:19" x14ac:dyDescent="0.2">
      <c r="O625" s="6"/>
      <c r="P625" s="2"/>
      <c r="Q625" s="2"/>
      <c r="R625" s="2"/>
      <c r="S625" s="8"/>
    </row>
    <row r="626" spans="15:19" x14ac:dyDescent="0.2">
      <c r="O626" s="6"/>
      <c r="P626" s="2"/>
      <c r="Q626" s="2"/>
      <c r="R626" s="2"/>
      <c r="S626" s="8"/>
    </row>
    <row r="627" spans="15:19" x14ac:dyDescent="0.2">
      <c r="O627" s="6"/>
      <c r="P627" s="2"/>
      <c r="Q627" s="2"/>
      <c r="R627" s="2"/>
      <c r="S627" s="8"/>
    </row>
    <row r="628" spans="15:19" x14ac:dyDescent="0.2">
      <c r="O628" s="6"/>
      <c r="P628" s="2"/>
      <c r="Q628" s="2"/>
      <c r="R628" s="2"/>
      <c r="S628" s="8"/>
    </row>
    <row r="629" spans="15:19" x14ac:dyDescent="0.2">
      <c r="O629" s="6"/>
      <c r="P629" s="2"/>
      <c r="Q629" s="2"/>
      <c r="R629" s="2"/>
      <c r="S629" s="8"/>
    </row>
    <row r="630" spans="15:19" x14ac:dyDescent="0.2">
      <c r="O630" s="6"/>
      <c r="P630" s="2"/>
      <c r="Q630" s="2"/>
      <c r="R630" s="2"/>
      <c r="S630" s="8"/>
    </row>
    <row r="631" spans="15:19" x14ac:dyDescent="0.2">
      <c r="O631" s="6"/>
      <c r="P631" s="2"/>
      <c r="Q631" s="2"/>
      <c r="R631" s="2"/>
      <c r="S631" s="8"/>
    </row>
    <row r="632" spans="15:19" x14ac:dyDescent="0.2">
      <c r="O632" s="6"/>
      <c r="P632" s="2"/>
      <c r="Q632" s="2"/>
      <c r="R632" s="2"/>
      <c r="S632" s="8"/>
    </row>
    <row r="633" spans="15:19" x14ac:dyDescent="0.2">
      <c r="O633" s="6"/>
      <c r="P633" s="2"/>
      <c r="Q633" s="2"/>
      <c r="R633" s="2"/>
      <c r="S633" s="8"/>
    </row>
    <row r="634" spans="15:19" x14ac:dyDescent="0.2">
      <c r="O634" s="6"/>
      <c r="P634" s="2"/>
      <c r="Q634" s="2"/>
      <c r="R634" s="2"/>
      <c r="S634" s="8"/>
    </row>
    <row r="635" spans="15:19" x14ac:dyDescent="0.2">
      <c r="O635" s="6"/>
      <c r="P635" s="2"/>
      <c r="Q635" s="2"/>
      <c r="R635" s="2"/>
      <c r="S635" s="8"/>
    </row>
    <row r="636" spans="15:19" x14ac:dyDescent="0.2">
      <c r="O636" s="6"/>
      <c r="P636" s="2"/>
      <c r="Q636" s="2"/>
      <c r="R636" s="2"/>
      <c r="S636" s="8"/>
    </row>
    <row r="637" spans="15:19" x14ac:dyDescent="0.2">
      <c r="O637" s="6"/>
      <c r="P637" s="2"/>
      <c r="Q637" s="2"/>
      <c r="R637" s="2"/>
      <c r="S637" s="8"/>
    </row>
    <row r="638" spans="15:19" x14ac:dyDescent="0.2">
      <c r="O638" s="6"/>
      <c r="P638" s="2"/>
      <c r="Q638" s="2"/>
      <c r="R638" s="2"/>
      <c r="S638" s="8"/>
    </row>
    <row r="639" spans="15:19" x14ac:dyDescent="0.2">
      <c r="O639" s="6"/>
      <c r="P639" s="2"/>
      <c r="Q639" s="2"/>
      <c r="R639" s="2"/>
      <c r="S639" s="8"/>
    </row>
    <row r="640" spans="15:19" x14ac:dyDescent="0.2">
      <c r="O640" s="6"/>
      <c r="P640" s="2"/>
      <c r="Q640" s="2"/>
      <c r="R640" s="2"/>
      <c r="S640" s="8"/>
    </row>
    <row r="641" spans="15:19" x14ac:dyDescent="0.2">
      <c r="O641" s="6"/>
      <c r="P641" s="2"/>
      <c r="Q641" s="2"/>
      <c r="R641" s="2"/>
      <c r="S641" s="8"/>
    </row>
    <row r="642" spans="15:19" x14ac:dyDescent="0.2">
      <c r="O642" s="6"/>
      <c r="P642" s="2"/>
      <c r="Q642" s="2"/>
      <c r="R642" s="2"/>
      <c r="S642" s="8"/>
    </row>
    <row r="643" spans="15:19" x14ac:dyDescent="0.2">
      <c r="O643" s="6"/>
      <c r="P643" s="2"/>
      <c r="Q643" s="2"/>
      <c r="R643" s="2"/>
      <c r="S643" s="8"/>
    </row>
    <row r="644" spans="15:19" x14ac:dyDescent="0.2">
      <c r="O644" s="6"/>
      <c r="P644" s="2"/>
      <c r="Q644" s="2"/>
      <c r="R644" s="2"/>
      <c r="S644" s="8"/>
    </row>
    <row r="645" spans="15:19" x14ac:dyDescent="0.2">
      <c r="O645" s="6"/>
      <c r="P645" s="2"/>
      <c r="Q645" s="2"/>
      <c r="R645" s="2"/>
      <c r="S645" s="8"/>
    </row>
    <row r="646" spans="15:19" x14ac:dyDescent="0.2">
      <c r="O646" s="6"/>
      <c r="P646" s="2"/>
      <c r="Q646" s="2"/>
      <c r="R646" s="2"/>
      <c r="S646" s="8"/>
    </row>
    <row r="647" spans="15:19" x14ac:dyDescent="0.2">
      <c r="O647" s="6"/>
      <c r="P647" s="2"/>
      <c r="Q647" s="2"/>
      <c r="R647" s="2"/>
      <c r="S647" s="8"/>
    </row>
    <row r="648" spans="15:19" x14ac:dyDescent="0.2">
      <c r="O648" s="6"/>
      <c r="P648" s="2"/>
      <c r="Q648" s="2"/>
      <c r="R648" s="2"/>
      <c r="S648" s="8"/>
    </row>
    <row r="649" spans="15:19" x14ac:dyDescent="0.2">
      <c r="O649" s="6"/>
      <c r="P649" s="2"/>
      <c r="Q649" s="2"/>
      <c r="R649" s="2"/>
      <c r="S649" s="8"/>
    </row>
    <row r="650" spans="15:19" x14ac:dyDescent="0.2">
      <c r="O650" s="6"/>
      <c r="P650" s="2"/>
      <c r="Q650" s="2"/>
      <c r="R650" s="2"/>
      <c r="S650" s="8"/>
    </row>
    <row r="651" spans="15:19" x14ac:dyDescent="0.2">
      <c r="O651" s="6"/>
      <c r="P651" s="2"/>
      <c r="Q651" s="2"/>
      <c r="R651" s="2"/>
      <c r="S651" s="8"/>
    </row>
    <row r="652" spans="15:19" x14ac:dyDescent="0.2">
      <c r="O652" s="6"/>
      <c r="P652" s="2"/>
      <c r="Q652" s="2"/>
      <c r="R652" s="2"/>
      <c r="S652" s="8"/>
    </row>
    <row r="653" spans="15:19" x14ac:dyDescent="0.2">
      <c r="O653" s="6"/>
      <c r="P653" s="2"/>
      <c r="Q653" s="2"/>
      <c r="R653" s="2"/>
      <c r="S653" s="8"/>
    </row>
    <row r="654" spans="15:19" x14ac:dyDescent="0.2">
      <c r="O654" s="6"/>
      <c r="P654" s="2"/>
      <c r="Q654" s="2"/>
      <c r="R654" s="2"/>
      <c r="S654" s="8"/>
    </row>
    <row r="655" spans="15:19" x14ac:dyDescent="0.2">
      <c r="O655" s="6"/>
      <c r="P655" s="2"/>
      <c r="Q655" s="2"/>
      <c r="R655" s="2"/>
      <c r="S655" s="8"/>
    </row>
    <row r="656" spans="15:19" x14ac:dyDescent="0.2">
      <c r="O656" s="6"/>
      <c r="P656" s="2"/>
      <c r="Q656" s="2"/>
      <c r="R656" s="2"/>
      <c r="S656" s="8"/>
    </row>
    <row r="657" spans="15:19" x14ac:dyDescent="0.2">
      <c r="O657" s="6"/>
      <c r="P657" s="2"/>
      <c r="Q657" s="2"/>
      <c r="R657" s="2"/>
      <c r="S657" s="8"/>
    </row>
    <row r="658" spans="15:19" x14ac:dyDescent="0.2">
      <c r="O658" s="6"/>
      <c r="P658" s="2"/>
      <c r="Q658" s="2"/>
      <c r="R658" s="2"/>
      <c r="S658" s="8"/>
    </row>
    <row r="659" spans="15:19" x14ac:dyDescent="0.2">
      <c r="O659" s="6"/>
      <c r="P659" s="2"/>
      <c r="Q659" s="2"/>
      <c r="R659" s="2"/>
      <c r="S659" s="8"/>
    </row>
    <row r="660" spans="15:19" x14ac:dyDescent="0.2">
      <c r="O660" s="6"/>
      <c r="P660" s="2"/>
      <c r="Q660" s="2"/>
      <c r="R660" s="2"/>
      <c r="S660" s="8"/>
    </row>
    <row r="661" spans="15:19" x14ac:dyDescent="0.2">
      <c r="O661" s="6"/>
      <c r="P661" s="2"/>
      <c r="Q661" s="2"/>
      <c r="R661" s="2"/>
      <c r="S661" s="8"/>
    </row>
    <row r="662" spans="15:19" x14ac:dyDescent="0.2">
      <c r="O662" s="6"/>
      <c r="P662" s="2"/>
      <c r="Q662" s="2"/>
      <c r="R662" s="2"/>
      <c r="S662" s="8"/>
    </row>
    <row r="663" spans="15:19" x14ac:dyDescent="0.2">
      <c r="O663" s="6"/>
      <c r="P663" s="2"/>
      <c r="Q663" s="2"/>
      <c r="R663" s="2"/>
      <c r="S663" s="8"/>
    </row>
    <row r="664" spans="15:19" x14ac:dyDescent="0.2">
      <c r="O664" s="6"/>
      <c r="P664" s="2"/>
      <c r="Q664" s="2"/>
      <c r="R664" s="2"/>
      <c r="S664" s="8"/>
    </row>
    <row r="665" spans="15:19" x14ac:dyDescent="0.2">
      <c r="O665" s="6"/>
      <c r="P665" s="2"/>
      <c r="Q665" s="2"/>
      <c r="R665" s="2"/>
      <c r="S665" s="8"/>
    </row>
    <row r="666" spans="15:19" x14ac:dyDescent="0.2">
      <c r="O666" s="6"/>
      <c r="P666" s="2"/>
      <c r="Q666" s="2"/>
      <c r="R666" s="2"/>
      <c r="S666" s="8"/>
    </row>
    <row r="667" spans="15:19" x14ac:dyDescent="0.2">
      <c r="O667" s="6"/>
      <c r="P667" s="2"/>
      <c r="Q667" s="2"/>
      <c r="R667" s="2"/>
      <c r="S667" s="8"/>
    </row>
    <row r="668" spans="15:19" x14ac:dyDescent="0.2">
      <c r="O668" s="6"/>
      <c r="P668" s="2"/>
      <c r="Q668" s="2"/>
      <c r="R668" s="2"/>
      <c r="S668" s="8"/>
    </row>
    <row r="669" spans="15:19" x14ac:dyDescent="0.2">
      <c r="O669" s="6"/>
      <c r="P669" s="2"/>
      <c r="Q669" s="2"/>
      <c r="R669" s="2"/>
      <c r="S669" s="8"/>
    </row>
    <row r="670" spans="15:19" x14ac:dyDescent="0.2">
      <c r="O670" s="6"/>
      <c r="P670" s="2"/>
      <c r="Q670" s="2"/>
      <c r="R670" s="2"/>
      <c r="S670" s="8"/>
    </row>
    <row r="671" spans="15:19" x14ac:dyDescent="0.2">
      <c r="O671" s="6"/>
      <c r="P671" s="2"/>
      <c r="Q671" s="2"/>
      <c r="R671" s="2"/>
      <c r="S671" s="8"/>
    </row>
    <row r="672" spans="15:19" x14ac:dyDescent="0.2">
      <c r="O672" s="6"/>
      <c r="P672" s="2"/>
      <c r="Q672" s="2"/>
      <c r="R672" s="2"/>
      <c r="S672" s="8"/>
    </row>
    <row r="673" spans="15:19" x14ac:dyDescent="0.2">
      <c r="O673" s="6"/>
      <c r="P673" s="2"/>
      <c r="Q673" s="2"/>
      <c r="R673" s="2"/>
      <c r="S673" s="8"/>
    </row>
    <row r="674" spans="15:19" x14ac:dyDescent="0.2">
      <c r="O674" s="6"/>
      <c r="P674" s="2"/>
      <c r="Q674" s="2"/>
      <c r="R674" s="2"/>
      <c r="S674" s="8"/>
    </row>
    <row r="675" spans="15:19" x14ac:dyDescent="0.2">
      <c r="O675" s="6"/>
      <c r="P675" s="2"/>
      <c r="Q675" s="2"/>
      <c r="R675" s="2"/>
      <c r="S675" s="8"/>
    </row>
    <row r="676" spans="15:19" x14ac:dyDescent="0.2">
      <c r="O676" s="6"/>
      <c r="P676" s="2"/>
      <c r="Q676" s="2"/>
      <c r="R676" s="2"/>
      <c r="S676" s="8"/>
    </row>
    <row r="677" spans="15:19" x14ac:dyDescent="0.2">
      <c r="O677" s="6"/>
      <c r="P677" s="2"/>
      <c r="Q677" s="2"/>
      <c r="R677" s="2"/>
      <c r="S677" s="8"/>
    </row>
    <row r="678" spans="15:19" x14ac:dyDescent="0.2">
      <c r="O678" s="6"/>
      <c r="P678" s="2"/>
      <c r="Q678" s="2"/>
      <c r="R678" s="2"/>
      <c r="S678" s="8"/>
    </row>
    <row r="679" spans="15:19" x14ac:dyDescent="0.2">
      <c r="O679" s="6"/>
      <c r="P679" s="2"/>
      <c r="Q679" s="2"/>
      <c r="R679" s="2"/>
      <c r="S679" s="8"/>
    </row>
    <row r="680" spans="15:19" x14ac:dyDescent="0.2">
      <c r="O680" s="6"/>
      <c r="P680" s="2"/>
      <c r="Q680" s="2"/>
      <c r="R680" s="2"/>
      <c r="S680" s="8"/>
    </row>
    <row r="681" spans="15:19" x14ac:dyDescent="0.2">
      <c r="O681" s="6"/>
      <c r="P681" s="2"/>
      <c r="Q681" s="2"/>
      <c r="R681" s="2"/>
      <c r="S681" s="8"/>
    </row>
    <row r="682" spans="15:19" x14ac:dyDescent="0.2">
      <c r="O682" s="6"/>
      <c r="P682" s="2"/>
      <c r="Q682" s="2"/>
      <c r="R682" s="2"/>
      <c r="S682" s="8"/>
    </row>
    <row r="683" spans="15:19" x14ac:dyDescent="0.2">
      <c r="O683" s="6"/>
      <c r="P683" s="2"/>
      <c r="Q683" s="2"/>
      <c r="R683" s="2"/>
      <c r="S683" s="8"/>
    </row>
    <row r="684" spans="15:19" x14ac:dyDescent="0.2">
      <c r="O684" s="6"/>
      <c r="P684" s="2"/>
      <c r="Q684" s="2"/>
      <c r="R684" s="2"/>
      <c r="S684" s="8"/>
    </row>
    <row r="685" spans="15:19" x14ac:dyDescent="0.2">
      <c r="O685" s="6"/>
      <c r="P685" s="2"/>
      <c r="Q685" s="2"/>
      <c r="R685" s="2"/>
      <c r="S685" s="8"/>
    </row>
    <row r="686" spans="15:19" x14ac:dyDescent="0.2">
      <c r="O686" s="6"/>
      <c r="P686" s="2"/>
      <c r="Q686" s="2"/>
      <c r="R686" s="2"/>
      <c r="S686" s="8"/>
    </row>
    <row r="687" spans="15:19" x14ac:dyDescent="0.2">
      <c r="O687" s="6"/>
      <c r="P687" s="2"/>
      <c r="Q687" s="2"/>
      <c r="R687" s="2"/>
      <c r="S687" s="8"/>
    </row>
    <row r="688" spans="15:19" x14ac:dyDescent="0.2">
      <c r="O688" s="6"/>
      <c r="P688" s="2"/>
      <c r="Q688" s="2"/>
      <c r="R688" s="2"/>
      <c r="S688" s="8"/>
    </row>
    <row r="689" spans="15:19" x14ac:dyDescent="0.2">
      <c r="O689" s="6"/>
      <c r="P689" s="2"/>
      <c r="Q689" s="2"/>
      <c r="R689" s="2"/>
      <c r="S689" s="8"/>
    </row>
    <row r="690" spans="15:19" x14ac:dyDescent="0.2">
      <c r="O690" s="6"/>
      <c r="P690" s="2"/>
      <c r="Q690" s="2"/>
      <c r="R690" s="2"/>
      <c r="S690" s="8"/>
    </row>
    <row r="691" spans="15:19" x14ac:dyDescent="0.2">
      <c r="O691" s="6"/>
      <c r="P691" s="2"/>
      <c r="Q691" s="2"/>
      <c r="R691" s="2"/>
      <c r="S691" s="8"/>
    </row>
    <row r="692" spans="15:19" x14ac:dyDescent="0.2">
      <c r="O692" s="6"/>
      <c r="P692" s="2"/>
      <c r="Q692" s="2"/>
      <c r="R692" s="2"/>
      <c r="S692" s="8"/>
    </row>
    <row r="693" spans="15:19" x14ac:dyDescent="0.2">
      <c r="O693" s="6"/>
      <c r="P693" s="2"/>
      <c r="Q693" s="2"/>
      <c r="R693" s="2"/>
      <c r="S693" s="8"/>
    </row>
    <row r="694" spans="15:19" x14ac:dyDescent="0.2">
      <c r="O694" s="6"/>
      <c r="P694" s="2"/>
      <c r="Q694" s="2"/>
      <c r="R694" s="2"/>
      <c r="S694" s="8"/>
    </row>
    <row r="695" spans="15:19" x14ac:dyDescent="0.2">
      <c r="O695" s="6"/>
      <c r="P695" s="2"/>
      <c r="Q695" s="2"/>
      <c r="R695" s="2"/>
      <c r="S695" s="8"/>
    </row>
    <row r="696" spans="15:19" x14ac:dyDescent="0.2">
      <c r="O696" s="6"/>
      <c r="P696" s="2"/>
      <c r="Q696" s="2"/>
      <c r="R696" s="2"/>
      <c r="S696" s="8"/>
    </row>
    <row r="697" spans="15:19" x14ac:dyDescent="0.2">
      <c r="O697" s="6"/>
      <c r="P697" s="2"/>
      <c r="Q697" s="2"/>
      <c r="R697" s="2"/>
      <c r="S697" s="8"/>
    </row>
    <row r="698" spans="15:19" x14ac:dyDescent="0.2">
      <c r="O698" s="6"/>
      <c r="P698" s="2"/>
      <c r="Q698" s="2"/>
      <c r="R698" s="2"/>
      <c r="S698" s="8"/>
    </row>
    <row r="699" spans="15:19" x14ac:dyDescent="0.2">
      <c r="O699" s="6"/>
      <c r="P699" s="2"/>
      <c r="Q699" s="2"/>
      <c r="R699" s="2"/>
      <c r="S699" s="8"/>
    </row>
    <row r="700" spans="15:19" x14ac:dyDescent="0.2">
      <c r="O700" s="6"/>
      <c r="P700" s="2"/>
      <c r="Q700" s="2"/>
      <c r="R700" s="2"/>
      <c r="S700" s="8"/>
    </row>
    <row r="701" spans="15:19" x14ac:dyDescent="0.2">
      <c r="O701" s="6"/>
      <c r="P701" s="2"/>
      <c r="Q701" s="2"/>
      <c r="R701" s="2"/>
      <c r="S701" s="8"/>
    </row>
    <row r="702" spans="15:19" x14ac:dyDescent="0.2">
      <c r="O702" s="6"/>
      <c r="P702" s="2"/>
      <c r="Q702" s="2"/>
      <c r="R702" s="2"/>
      <c r="S702" s="8"/>
    </row>
    <row r="703" spans="15:19" x14ac:dyDescent="0.2">
      <c r="O703" s="6"/>
      <c r="P703" s="2"/>
      <c r="Q703" s="2"/>
      <c r="R703" s="2"/>
      <c r="S703" s="8"/>
    </row>
    <row r="704" spans="15:19" x14ac:dyDescent="0.2">
      <c r="O704" s="6"/>
      <c r="P704" s="2"/>
      <c r="Q704" s="2"/>
      <c r="R704" s="2"/>
      <c r="S704" s="8"/>
    </row>
    <row r="705" spans="15:19" x14ac:dyDescent="0.2">
      <c r="O705" s="6"/>
      <c r="P705" s="2"/>
      <c r="Q705" s="2"/>
      <c r="R705" s="2"/>
      <c r="S705" s="8"/>
    </row>
    <row r="706" spans="15:19" x14ac:dyDescent="0.2">
      <c r="O706" s="6"/>
      <c r="P706" s="2"/>
      <c r="Q706" s="2"/>
      <c r="R706" s="2"/>
      <c r="S706" s="8"/>
    </row>
    <row r="707" spans="15:19" x14ac:dyDescent="0.2">
      <c r="O707" s="6"/>
      <c r="P707" s="2"/>
      <c r="Q707" s="2"/>
      <c r="R707" s="2"/>
      <c r="S707" s="8"/>
    </row>
    <row r="708" spans="15:19" x14ac:dyDescent="0.2">
      <c r="O708" s="6"/>
      <c r="P708" s="2"/>
      <c r="Q708" s="2"/>
      <c r="R708" s="2"/>
      <c r="S708" s="8"/>
    </row>
    <row r="709" spans="15:19" x14ac:dyDescent="0.2">
      <c r="O709" s="6"/>
      <c r="P709" s="2"/>
      <c r="Q709" s="2"/>
      <c r="R709" s="2"/>
      <c r="S709" s="8"/>
    </row>
    <row r="710" spans="15:19" x14ac:dyDescent="0.2">
      <c r="O710" s="6"/>
      <c r="P710" s="2"/>
      <c r="Q710" s="2"/>
      <c r="R710" s="2"/>
      <c r="S710" s="8"/>
    </row>
    <row r="711" spans="15:19" x14ac:dyDescent="0.2">
      <c r="O711" s="6"/>
      <c r="P711" s="2"/>
      <c r="Q711" s="2"/>
      <c r="R711" s="2"/>
      <c r="S711" s="8"/>
    </row>
    <row r="712" spans="15:19" x14ac:dyDescent="0.2">
      <c r="O712" s="6"/>
      <c r="P712" s="2"/>
      <c r="Q712" s="2"/>
      <c r="R712" s="2"/>
      <c r="S712" s="8"/>
    </row>
    <row r="713" spans="15:19" x14ac:dyDescent="0.2">
      <c r="O713" s="6"/>
      <c r="P713" s="2"/>
      <c r="Q713" s="2"/>
      <c r="R713" s="2"/>
      <c r="S713" s="8"/>
    </row>
    <row r="714" spans="15:19" x14ac:dyDescent="0.2">
      <c r="O714" s="6"/>
      <c r="P714" s="2"/>
      <c r="Q714" s="2"/>
      <c r="R714" s="2"/>
      <c r="S714" s="8"/>
    </row>
    <row r="715" spans="15:19" x14ac:dyDescent="0.2">
      <c r="O715" s="6"/>
      <c r="P715" s="2"/>
      <c r="Q715" s="2"/>
      <c r="R715" s="2"/>
      <c r="S715" s="8"/>
    </row>
    <row r="716" spans="15:19" x14ac:dyDescent="0.2">
      <c r="O716" s="6"/>
      <c r="P716" s="2"/>
      <c r="Q716" s="2"/>
      <c r="R716" s="2"/>
      <c r="S716" s="8"/>
    </row>
    <row r="717" spans="15:19" x14ac:dyDescent="0.2">
      <c r="O717" s="6"/>
      <c r="P717" s="2"/>
      <c r="Q717" s="2"/>
      <c r="R717" s="2"/>
      <c r="S717" s="8"/>
    </row>
    <row r="718" spans="15:19" x14ac:dyDescent="0.2">
      <c r="O718" s="6"/>
      <c r="P718" s="2"/>
      <c r="Q718" s="2"/>
      <c r="R718" s="2"/>
      <c r="S718" s="8"/>
    </row>
    <row r="719" spans="15:19" x14ac:dyDescent="0.2">
      <c r="O719" s="6"/>
      <c r="P719" s="2"/>
      <c r="Q719" s="2"/>
      <c r="R719" s="2"/>
      <c r="S719" s="8"/>
    </row>
    <row r="720" spans="15:19" x14ac:dyDescent="0.2">
      <c r="O720" s="6"/>
      <c r="P720" s="2"/>
      <c r="Q720" s="2"/>
      <c r="R720" s="2"/>
      <c r="S720" s="8"/>
    </row>
    <row r="721" spans="15:19" x14ac:dyDescent="0.2">
      <c r="O721" s="6"/>
      <c r="P721" s="2"/>
      <c r="Q721" s="2"/>
      <c r="R721" s="2"/>
      <c r="S721" s="8"/>
    </row>
    <row r="722" spans="15:19" x14ac:dyDescent="0.2">
      <c r="O722" s="6"/>
      <c r="P722" s="2"/>
      <c r="Q722" s="2"/>
      <c r="R722" s="2"/>
      <c r="S722" s="8"/>
    </row>
    <row r="723" spans="15:19" x14ac:dyDescent="0.2">
      <c r="O723" s="6"/>
      <c r="P723" s="2"/>
      <c r="Q723" s="2"/>
      <c r="R723" s="2"/>
      <c r="S723" s="8"/>
    </row>
    <row r="724" spans="15:19" x14ac:dyDescent="0.2">
      <c r="O724" s="6"/>
      <c r="P724" s="2"/>
      <c r="Q724" s="2"/>
      <c r="R724" s="2"/>
      <c r="S724" s="8"/>
    </row>
    <row r="725" spans="15:19" x14ac:dyDescent="0.2">
      <c r="O725" s="6"/>
      <c r="P725" s="2"/>
      <c r="Q725" s="2"/>
      <c r="R725" s="2"/>
      <c r="S725" s="8"/>
    </row>
    <row r="726" spans="15:19" x14ac:dyDescent="0.2">
      <c r="O726" s="6"/>
      <c r="P726" s="2"/>
      <c r="Q726" s="2"/>
      <c r="R726" s="2"/>
      <c r="S726" s="8"/>
    </row>
    <row r="727" spans="15:19" x14ac:dyDescent="0.2">
      <c r="O727" s="6"/>
      <c r="P727" s="2"/>
      <c r="Q727" s="2"/>
      <c r="R727" s="2"/>
      <c r="S727" s="8"/>
    </row>
    <row r="728" spans="15:19" x14ac:dyDescent="0.2">
      <c r="O728" s="6"/>
      <c r="P728" s="2"/>
      <c r="Q728" s="2"/>
      <c r="R728" s="2"/>
      <c r="S728" s="8"/>
    </row>
    <row r="729" spans="15:19" x14ac:dyDescent="0.2">
      <c r="O729" s="6"/>
      <c r="P729" s="2"/>
      <c r="Q729" s="2"/>
      <c r="R729" s="2"/>
      <c r="S729" s="8"/>
    </row>
    <row r="730" spans="15:19" x14ac:dyDescent="0.2">
      <c r="O730" s="6"/>
      <c r="P730" s="2"/>
      <c r="Q730" s="2"/>
      <c r="R730" s="2"/>
      <c r="S730" s="8"/>
    </row>
    <row r="731" spans="15:19" x14ac:dyDescent="0.2">
      <c r="O731" s="6"/>
      <c r="P731" s="2"/>
      <c r="Q731" s="2"/>
      <c r="R731" s="2"/>
      <c r="S731" s="8"/>
    </row>
    <row r="732" spans="15:19" x14ac:dyDescent="0.2">
      <c r="O732" s="6"/>
      <c r="P732" s="2"/>
      <c r="Q732" s="2"/>
      <c r="R732" s="2"/>
      <c r="S732" s="8"/>
    </row>
    <row r="733" spans="15:19" x14ac:dyDescent="0.2">
      <c r="O733" s="6"/>
      <c r="P733" s="2"/>
      <c r="Q733" s="2"/>
      <c r="R733" s="2"/>
      <c r="S733" s="8"/>
    </row>
    <row r="734" spans="15:19" x14ac:dyDescent="0.2">
      <c r="O734" s="6"/>
      <c r="P734" s="2"/>
      <c r="Q734" s="2"/>
      <c r="R734" s="2"/>
      <c r="S734" s="8"/>
    </row>
    <row r="735" spans="15:19" x14ac:dyDescent="0.2">
      <c r="O735" s="6"/>
      <c r="P735" s="2"/>
      <c r="Q735" s="2"/>
      <c r="R735" s="2"/>
      <c r="S735" s="8"/>
    </row>
    <row r="736" spans="15:19" x14ac:dyDescent="0.2">
      <c r="O736" s="6"/>
      <c r="P736" s="2"/>
      <c r="Q736" s="2"/>
      <c r="R736" s="2"/>
      <c r="S736" s="8"/>
    </row>
    <row r="737" spans="15:19" x14ac:dyDescent="0.2">
      <c r="O737" s="6"/>
      <c r="P737" s="2"/>
      <c r="Q737" s="2"/>
      <c r="R737" s="2"/>
      <c r="S737" s="8"/>
    </row>
    <row r="738" spans="15:19" x14ac:dyDescent="0.2">
      <c r="O738" s="6"/>
      <c r="P738" s="2"/>
      <c r="Q738" s="2"/>
      <c r="R738" s="2"/>
      <c r="S738" s="8"/>
    </row>
    <row r="739" spans="15:19" x14ac:dyDescent="0.2">
      <c r="O739" s="6"/>
      <c r="P739" s="2"/>
      <c r="Q739" s="2"/>
      <c r="R739" s="2"/>
      <c r="S739" s="8"/>
    </row>
    <row r="740" spans="15:19" x14ac:dyDescent="0.2">
      <c r="O740" s="6"/>
      <c r="P740" s="2"/>
      <c r="Q740" s="2"/>
      <c r="R740" s="2"/>
      <c r="S740" s="8"/>
    </row>
    <row r="741" spans="15:19" x14ac:dyDescent="0.2">
      <c r="O741" s="6"/>
      <c r="P741" s="2"/>
      <c r="Q741" s="2"/>
      <c r="R741" s="2"/>
      <c r="S741" s="8"/>
    </row>
    <row r="742" spans="15:19" x14ac:dyDescent="0.2">
      <c r="O742" s="6"/>
      <c r="P742" s="2"/>
      <c r="Q742" s="2"/>
      <c r="R742" s="2"/>
      <c r="S742" s="8"/>
    </row>
    <row r="743" spans="15:19" x14ac:dyDescent="0.2">
      <c r="O743" s="6"/>
      <c r="P743" s="2"/>
      <c r="Q743" s="2"/>
      <c r="R743" s="2"/>
      <c r="S743" s="8"/>
    </row>
    <row r="744" spans="15:19" x14ac:dyDescent="0.2">
      <c r="O744" s="6"/>
      <c r="P744" s="2"/>
      <c r="Q744" s="2"/>
      <c r="R744" s="2"/>
      <c r="S744" s="8"/>
    </row>
    <row r="745" spans="15:19" x14ac:dyDescent="0.2">
      <c r="O745" s="6"/>
      <c r="P745" s="2"/>
      <c r="Q745" s="2"/>
      <c r="R745" s="2"/>
      <c r="S745" s="8"/>
    </row>
    <row r="746" spans="15:19" x14ac:dyDescent="0.2">
      <c r="O746" s="6"/>
      <c r="P746" s="2"/>
      <c r="Q746" s="2"/>
      <c r="R746" s="2"/>
      <c r="S746" s="8"/>
    </row>
    <row r="747" spans="15:19" x14ac:dyDescent="0.2">
      <c r="O747" s="6"/>
      <c r="P747" s="2"/>
      <c r="Q747" s="2"/>
      <c r="R747" s="2"/>
      <c r="S747" s="8"/>
    </row>
    <row r="748" spans="15:19" x14ac:dyDescent="0.2">
      <c r="O748" s="6"/>
      <c r="P748" s="2"/>
      <c r="Q748" s="2"/>
      <c r="R748" s="2"/>
      <c r="S748" s="8"/>
    </row>
    <row r="749" spans="15:19" x14ac:dyDescent="0.2">
      <c r="O749" s="6"/>
      <c r="P749" s="2"/>
      <c r="Q749" s="2"/>
      <c r="R749" s="2"/>
      <c r="S749" s="8"/>
    </row>
    <row r="750" spans="15:19" x14ac:dyDescent="0.2">
      <c r="O750" s="6"/>
      <c r="P750" s="2"/>
      <c r="Q750" s="2"/>
      <c r="R750" s="2"/>
      <c r="S750" s="8"/>
    </row>
    <row r="751" spans="15:19" x14ac:dyDescent="0.2">
      <c r="O751" s="6"/>
      <c r="P751" s="2"/>
      <c r="Q751" s="2"/>
      <c r="R751" s="2"/>
      <c r="S751" s="8"/>
    </row>
    <row r="752" spans="15:19" x14ac:dyDescent="0.2">
      <c r="O752" s="6"/>
      <c r="P752" s="2"/>
      <c r="Q752" s="2"/>
      <c r="R752" s="2"/>
      <c r="S752" s="8"/>
    </row>
    <row r="753" spans="15:19" x14ac:dyDescent="0.2">
      <c r="O753" s="6"/>
      <c r="P753" s="2"/>
      <c r="Q753" s="2"/>
      <c r="R753" s="2"/>
      <c r="S753" s="8"/>
    </row>
    <row r="754" spans="15:19" x14ac:dyDescent="0.2">
      <c r="O754" s="6"/>
      <c r="P754" s="2"/>
      <c r="Q754" s="2"/>
      <c r="R754" s="2"/>
      <c r="S754" s="8"/>
    </row>
    <row r="755" spans="15:19" x14ac:dyDescent="0.2">
      <c r="O755" s="6"/>
      <c r="P755" s="2"/>
      <c r="Q755" s="2"/>
      <c r="R755" s="2"/>
      <c r="S755" s="8"/>
    </row>
    <row r="756" spans="15:19" x14ac:dyDescent="0.2">
      <c r="O756" s="6"/>
      <c r="P756" s="2"/>
      <c r="Q756" s="2"/>
      <c r="R756" s="2"/>
      <c r="S756" s="8"/>
    </row>
    <row r="757" spans="15:19" x14ac:dyDescent="0.2">
      <c r="O757" s="6"/>
      <c r="P757" s="2"/>
      <c r="Q757" s="2"/>
      <c r="R757" s="2"/>
      <c r="S757" s="8"/>
    </row>
    <row r="758" spans="15:19" x14ac:dyDescent="0.2">
      <c r="O758" s="6"/>
      <c r="P758" s="2"/>
      <c r="Q758" s="2"/>
      <c r="R758" s="2"/>
      <c r="S758" s="8"/>
    </row>
    <row r="759" spans="15:19" x14ac:dyDescent="0.2">
      <c r="O759" s="6"/>
      <c r="P759" s="2"/>
      <c r="Q759" s="2"/>
      <c r="R759" s="2"/>
      <c r="S759" s="8"/>
    </row>
    <row r="760" spans="15:19" x14ac:dyDescent="0.2">
      <c r="O760" s="6"/>
      <c r="P760" s="2"/>
      <c r="Q760" s="2"/>
      <c r="R760" s="2"/>
      <c r="S760" s="8"/>
    </row>
    <row r="761" spans="15:19" x14ac:dyDescent="0.2">
      <c r="O761" s="6"/>
      <c r="P761" s="2"/>
      <c r="Q761" s="2"/>
      <c r="R761" s="2"/>
      <c r="S761" s="8"/>
    </row>
    <row r="762" spans="15:19" x14ac:dyDescent="0.2">
      <c r="O762" s="6"/>
      <c r="P762" s="2"/>
      <c r="Q762" s="2"/>
      <c r="R762" s="2"/>
      <c r="S762" s="8"/>
    </row>
    <row r="763" spans="15:19" x14ac:dyDescent="0.2">
      <c r="O763" s="6"/>
      <c r="P763" s="2"/>
      <c r="Q763" s="2"/>
      <c r="R763" s="2"/>
      <c r="S763" s="8"/>
    </row>
    <row r="764" spans="15:19" x14ac:dyDescent="0.2">
      <c r="O764" s="6"/>
      <c r="P764" s="2"/>
      <c r="Q764" s="2"/>
      <c r="R764" s="2"/>
      <c r="S764" s="8"/>
    </row>
    <row r="765" spans="15:19" x14ac:dyDescent="0.2">
      <c r="O765" s="6"/>
      <c r="P765" s="2"/>
      <c r="Q765" s="2"/>
      <c r="R765" s="2"/>
      <c r="S765" s="8"/>
    </row>
    <row r="766" spans="15:19" x14ac:dyDescent="0.2">
      <c r="O766" s="6"/>
      <c r="P766" s="2"/>
      <c r="Q766" s="2"/>
      <c r="R766" s="2"/>
      <c r="S766" s="8"/>
    </row>
    <row r="767" spans="15:19" x14ac:dyDescent="0.2">
      <c r="O767" s="6"/>
      <c r="P767" s="2"/>
      <c r="Q767" s="2"/>
      <c r="R767" s="2"/>
      <c r="S767" s="8"/>
    </row>
    <row r="768" spans="15:19" x14ac:dyDescent="0.2">
      <c r="O768" s="6"/>
      <c r="P768" s="2"/>
      <c r="Q768" s="2"/>
      <c r="R768" s="2"/>
      <c r="S768" s="8"/>
    </row>
    <row r="769" spans="15:19" x14ac:dyDescent="0.2">
      <c r="O769" s="6"/>
      <c r="P769" s="2"/>
      <c r="Q769" s="2"/>
      <c r="R769" s="2"/>
      <c r="S769" s="8"/>
    </row>
    <row r="770" spans="15:19" x14ac:dyDescent="0.2">
      <c r="O770" s="6"/>
      <c r="P770" s="2"/>
      <c r="Q770" s="2"/>
      <c r="R770" s="2"/>
      <c r="S770" s="8"/>
    </row>
    <row r="771" spans="15:19" x14ac:dyDescent="0.2">
      <c r="O771" s="6"/>
      <c r="P771" s="2"/>
      <c r="Q771" s="2"/>
      <c r="R771" s="2"/>
      <c r="S771" s="8"/>
    </row>
    <row r="772" spans="15:19" x14ac:dyDescent="0.2">
      <c r="O772" s="6"/>
      <c r="P772" s="2"/>
      <c r="Q772" s="2"/>
      <c r="R772" s="2"/>
      <c r="S772" s="8"/>
    </row>
    <row r="773" spans="15:19" x14ac:dyDescent="0.2">
      <c r="O773" s="6"/>
      <c r="P773" s="2"/>
      <c r="Q773" s="2"/>
      <c r="R773" s="2"/>
      <c r="S773" s="8"/>
    </row>
    <row r="774" spans="15:19" x14ac:dyDescent="0.2">
      <c r="O774" s="6"/>
      <c r="P774" s="2"/>
      <c r="Q774" s="2"/>
      <c r="R774" s="2"/>
      <c r="S774" s="8"/>
    </row>
    <row r="775" spans="15:19" x14ac:dyDescent="0.2">
      <c r="O775" s="6"/>
      <c r="P775" s="2"/>
      <c r="Q775" s="2"/>
      <c r="R775" s="2"/>
      <c r="S775" s="8"/>
    </row>
    <row r="776" spans="15:19" x14ac:dyDescent="0.2">
      <c r="O776" s="6"/>
      <c r="P776" s="2"/>
      <c r="Q776" s="2"/>
      <c r="R776" s="2"/>
      <c r="S776" s="8"/>
    </row>
    <row r="777" spans="15:19" x14ac:dyDescent="0.2">
      <c r="O777" s="6"/>
      <c r="P777" s="2"/>
      <c r="Q777" s="2"/>
      <c r="R777" s="2"/>
      <c r="S777" s="8"/>
    </row>
    <row r="778" spans="15:19" x14ac:dyDescent="0.2">
      <c r="O778" s="6"/>
      <c r="P778" s="2"/>
      <c r="Q778" s="2"/>
      <c r="R778" s="2"/>
      <c r="S778" s="8"/>
    </row>
    <row r="779" spans="15:19" x14ac:dyDescent="0.2">
      <c r="O779" s="6"/>
      <c r="P779" s="2"/>
      <c r="Q779" s="2"/>
      <c r="R779" s="2"/>
      <c r="S779" s="8"/>
    </row>
    <row r="780" spans="15:19" x14ac:dyDescent="0.2">
      <c r="O780" s="6"/>
      <c r="P780" s="2"/>
      <c r="Q780" s="2"/>
      <c r="R780" s="2"/>
      <c r="S780" s="8"/>
    </row>
    <row r="781" spans="15:19" x14ac:dyDescent="0.2">
      <c r="O781" s="6"/>
      <c r="P781" s="2"/>
      <c r="Q781" s="2"/>
      <c r="R781" s="2"/>
      <c r="S781" s="8"/>
    </row>
    <row r="782" spans="15:19" x14ac:dyDescent="0.2">
      <c r="O782" s="6"/>
      <c r="P782" s="2"/>
      <c r="Q782" s="2"/>
      <c r="R782" s="2"/>
      <c r="S782" s="8"/>
    </row>
    <row r="783" spans="15:19" x14ac:dyDescent="0.2">
      <c r="O783" s="6"/>
      <c r="P783" s="2"/>
      <c r="Q783" s="2"/>
      <c r="R783" s="2"/>
      <c r="S783" s="8"/>
    </row>
    <row r="784" spans="15:19" x14ac:dyDescent="0.2">
      <c r="O784" s="6"/>
      <c r="P784" s="2"/>
      <c r="Q784" s="2"/>
      <c r="R784" s="2"/>
      <c r="S784" s="8"/>
    </row>
    <row r="785" spans="15:19" x14ac:dyDescent="0.2">
      <c r="O785" s="6"/>
      <c r="P785" s="2"/>
      <c r="Q785" s="2"/>
      <c r="R785" s="2"/>
      <c r="S785" s="8"/>
    </row>
    <row r="786" spans="15:19" x14ac:dyDescent="0.2">
      <c r="O786" s="6"/>
      <c r="P786" s="2"/>
      <c r="Q786" s="2"/>
      <c r="R786" s="2"/>
      <c r="S786" s="8"/>
    </row>
    <row r="787" spans="15:19" x14ac:dyDescent="0.2">
      <c r="O787" s="6"/>
      <c r="P787" s="2"/>
      <c r="Q787" s="2"/>
      <c r="R787" s="2"/>
      <c r="S787" s="8"/>
    </row>
    <row r="788" spans="15:19" x14ac:dyDescent="0.2">
      <c r="O788" s="6"/>
      <c r="P788" s="2"/>
      <c r="Q788" s="2"/>
      <c r="R788" s="2"/>
      <c r="S788" s="8"/>
    </row>
    <row r="789" spans="15:19" x14ac:dyDescent="0.2">
      <c r="O789" s="6"/>
      <c r="P789" s="2"/>
      <c r="Q789" s="2"/>
      <c r="R789" s="2"/>
      <c r="S789" s="8"/>
    </row>
    <row r="790" spans="15:19" x14ac:dyDescent="0.2">
      <c r="O790" s="6"/>
      <c r="P790" s="2"/>
      <c r="Q790" s="2"/>
      <c r="R790" s="2"/>
      <c r="S790" s="8"/>
    </row>
    <row r="791" spans="15:19" x14ac:dyDescent="0.2">
      <c r="O791" s="6"/>
      <c r="P791" s="2" t="e">
        <f>'Infrastructure Benchmarks - ref'!$A2:$S205/'Infrastructure Benchmarks - ref'!$A2:$S205</f>
        <v>#VALUE!</v>
      </c>
      <c r="Q791" s="2"/>
      <c r="R791" s="2"/>
      <c r="S791" s="8"/>
    </row>
    <row r="792" spans="15:19" x14ac:dyDescent="0.2">
      <c r="O792" s="6"/>
      <c r="P792" s="2" t="e">
        <f>'Infrastructure Benchmarks - ref'!$A2:$S205/'Infrastructure Benchmarks - ref'!$A2:$S205</f>
        <v>#VALUE!</v>
      </c>
      <c r="Q792" s="2"/>
      <c r="R792" s="2"/>
      <c r="S792" s="8"/>
    </row>
    <row r="793" spans="15:19" x14ac:dyDescent="0.2">
      <c r="O793" s="6"/>
      <c r="P793" s="2" t="e">
        <f>'Infrastructure Benchmarks - ref'!$A2:$S205/'Infrastructure Benchmarks - ref'!$A2:$S205</f>
        <v>#VALUE!</v>
      </c>
      <c r="Q793" s="2"/>
      <c r="R793" s="2"/>
      <c r="S793" s="8"/>
    </row>
    <row r="794" spans="15:19" x14ac:dyDescent="0.2">
      <c r="O794" s="6"/>
      <c r="P794" s="2" t="e">
        <f>'Infrastructure Benchmarks - ref'!$A2:$S205/'Infrastructure Benchmarks - ref'!$A2:$S205</f>
        <v>#VALUE!</v>
      </c>
      <c r="Q794" s="2"/>
      <c r="R794" s="2"/>
      <c r="S794" s="8"/>
    </row>
    <row r="795" spans="15:19" x14ac:dyDescent="0.2">
      <c r="O795" s="6"/>
      <c r="P795" s="2" t="e">
        <f>'Infrastructure Benchmarks - ref'!$A2:$S205/'Infrastructure Benchmarks - ref'!$A2:$S205</f>
        <v>#VALUE!</v>
      </c>
      <c r="Q795" s="2"/>
      <c r="R795" s="2"/>
      <c r="S795" s="8"/>
    </row>
    <row r="796" spans="15:19" x14ac:dyDescent="0.2">
      <c r="O796" s="6"/>
      <c r="P796" s="2" t="e">
        <f>'Infrastructure Benchmarks - ref'!$A2:$S205/'Infrastructure Benchmarks - ref'!$A2:$S205</f>
        <v>#VALUE!</v>
      </c>
      <c r="Q796" s="2"/>
      <c r="R796" s="2"/>
      <c r="S796" s="8"/>
    </row>
    <row r="797" spans="15:19" x14ac:dyDescent="0.2">
      <c r="O797" s="6"/>
      <c r="P797" s="2" t="e">
        <f>'Infrastructure Benchmarks - ref'!$A2:$S205/'Infrastructure Benchmarks - ref'!$A2:$S205</f>
        <v>#VALUE!</v>
      </c>
      <c r="Q797" s="2"/>
      <c r="R797" s="2"/>
      <c r="S797" s="8"/>
    </row>
    <row r="798" spans="15:19" x14ac:dyDescent="0.2">
      <c r="O798" s="6"/>
      <c r="P798" s="2" t="e">
        <f>'Infrastructure Benchmarks - ref'!$A2:$S205/'Infrastructure Benchmarks - ref'!$A2:$S205</f>
        <v>#VALUE!</v>
      </c>
      <c r="Q798" s="2"/>
      <c r="R798" s="2"/>
      <c r="S798" s="8"/>
    </row>
    <row r="799" spans="15:19" x14ac:dyDescent="0.2">
      <c r="O799" s="6"/>
      <c r="P799" s="2" t="e">
        <f>'Infrastructure Benchmarks - ref'!$A2:$S205/'Infrastructure Benchmarks - ref'!$A2:$S205</f>
        <v>#VALUE!</v>
      </c>
      <c r="Q799" s="2"/>
      <c r="R799" s="2"/>
      <c r="S799" s="8"/>
    </row>
    <row r="800" spans="15:19" x14ac:dyDescent="0.2">
      <c r="O800" s="6"/>
      <c r="P800" s="2" t="e">
        <f>'Infrastructure Benchmarks - ref'!$A2:$S205/'Infrastructure Benchmarks - ref'!$A2:$S205</f>
        <v>#VALUE!</v>
      </c>
      <c r="Q800" s="2"/>
      <c r="R800" s="2"/>
      <c r="S800" s="8"/>
    </row>
    <row r="801" spans="15:19" x14ac:dyDescent="0.2">
      <c r="O801" s="6"/>
      <c r="P801" s="2" t="e">
        <f>'Infrastructure Benchmarks - ref'!$A2:$S205/'Infrastructure Benchmarks - ref'!$A2:$S205</f>
        <v>#VALUE!</v>
      </c>
      <c r="Q801" s="2"/>
      <c r="R801" s="2"/>
      <c r="S801" s="8"/>
    </row>
    <row r="802" spans="15:19" x14ac:dyDescent="0.2">
      <c r="O802" s="6"/>
      <c r="P802" s="2" t="e">
        <f>'Infrastructure Benchmarks - ref'!$A2:$S205/'Infrastructure Benchmarks - ref'!$A2:$S205</f>
        <v>#VALUE!</v>
      </c>
      <c r="Q802" s="2"/>
      <c r="R802" s="2"/>
      <c r="S802" s="8"/>
    </row>
    <row r="803" spans="15:19" x14ac:dyDescent="0.2">
      <c r="O803" s="6"/>
      <c r="P803" s="2" t="e">
        <f>'Infrastructure Benchmarks - ref'!$A2:$S205/'Infrastructure Benchmarks - ref'!$A2:$S205</f>
        <v>#VALUE!</v>
      </c>
      <c r="Q803" s="2"/>
      <c r="R803" s="2"/>
      <c r="S803" s="8"/>
    </row>
    <row r="804" spans="15:19" x14ac:dyDescent="0.2">
      <c r="O804" s="6"/>
      <c r="P804" s="2" t="e">
        <f>'Infrastructure Benchmarks - ref'!$A2:$S205/'Infrastructure Benchmarks - ref'!$A2:$S205</f>
        <v>#VALUE!</v>
      </c>
      <c r="Q804" s="2"/>
      <c r="R804" s="2"/>
      <c r="S804" s="8"/>
    </row>
    <row r="805" spans="15:19" x14ac:dyDescent="0.2">
      <c r="O805" s="6"/>
      <c r="P805" s="2" t="e">
        <f>'Infrastructure Benchmarks - ref'!$A2:$S205/'Infrastructure Benchmarks - ref'!$A2:$S205</f>
        <v>#VALUE!</v>
      </c>
      <c r="Q805" s="2"/>
      <c r="R805" s="2"/>
      <c r="S805" s="8"/>
    </row>
    <row r="806" spans="15:19" x14ac:dyDescent="0.2">
      <c r="O806" s="6"/>
      <c r="P806" s="2" t="e">
        <f>'Infrastructure Benchmarks - ref'!$A2:$S205/'Infrastructure Benchmarks - ref'!$A2:$S205</f>
        <v>#VALUE!</v>
      </c>
      <c r="Q806" s="2"/>
      <c r="R806" s="2"/>
      <c r="S806" s="8"/>
    </row>
    <row r="807" spans="15:19" x14ac:dyDescent="0.2">
      <c r="O807" s="6"/>
      <c r="P807" s="2" t="e">
        <f>'Infrastructure Benchmarks - ref'!$A2:$S205/'Infrastructure Benchmarks - ref'!$A2:$S205</f>
        <v>#VALUE!</v>
      </c>
      <c r="Q807" s="2"/>
      <c r="R807" s="2"/>
      <c r="S807" s="8"/>
    </row>
    <row r="808" spans="15:19" x14ac:dyDescent="0.2">
      <c r="O808" s="6"/>
      <c r="P808" s="2" t="e">
        <f>'Infrastructure Benchmarks - ref'!$A2:$S205/'Infrastructure Benchmarks - ref'!$A2:$S205</f>
        <v>#VALUE!</v>
      </c>
      <c r="Q808" s="2"/>
      <c r="R808" s="2"/>
      <c r="S808" s="8"/>
    </row>
    <row r="809" spans="15:19" x14ac:dyDescent="0.2">
      <c r="O809" s="6"/>
      <c r="P809" s="2" t="e">
        <f>'Infrastructure Benchmarks - ref'!$A2:$S205/'Infrastructure Benchmarks - ref'!$A2:$S205</f>
        <v>#VALUE!</v>
      </c>
      <c r="Q809" s="2"/>
      <c r="R809" s="2"/>
      <c r="S809" s="8"/>
    </row>
    <row r="810" spans="15:19" x14ac:dyDescent="0.2">
      <c r="O810" s="6"/>
      <c r="P810" s="2" t="e">
        <f>'Infrastructure Benchmarks - ref'!$A2:$S205/'Infrastructure Benchmarks - ref'!$A2:$S205</f>
        <v>#VALUE!</v>
      </c>
      <c r="Q810" s="2"/>
      <c r="R810" s="2"/>
      <c r="S810" s="8"/>
    </row>
    <row r="811" spans="15:19" x14ac:dyDescent="0.2">
      <c r="O811" s="6"/>
      <c r="P811" s="2" t="e">
        <f>'Infrastructure Benchmarks - ref'!$A2:$S205/'Infrastructure Benchmarks - ref'!$A2:$S205</f>
        <v>#VALUE!</v>
      </c>
      <c r="Q811" s="2"/>
      <c r="R811" s="2"/>
      <c r="S811" s="8"/>
    </row>
    <row r="812" spans="15:19" x14ac:dyDescent="0.2">
      <c r="O812" s="6"/>
      <c r="P812" s="2" t="e">
        <f>'Infrastructure Benchmarks - ref'!$A2:$S205/'Infrastructure Benchmarks - ref'!$A2:$S205</f>
        <v>#VALUE!</v>
      </c>
      <c r="Q812" s="2"/>
      <c r="R812" s="2"/>
      <c r="S812" s="8"/>
    </row>
    <row r="813" spans="15:19" x14ac:dyDescent="0.2">
      <c r="O813" s="6"/>
      <c r="P813" s="2" t="e">
        <f>'Infrastructure Benchmarks - ref'!$A2:$S205/'Infrastructure Benchmarks - ref'!$A2:$S205</f>
        <v>#VALUE!</v>
      </c>
      <c r="Q813" s="2"/>
      <c r="R813" s="2"/>
      <c r="S813" s="8"/>
    </row>
    <row r="814" spans="15:19" x14ac:dyDescent="0.2">
      <c r="O814" s="6"/>
      <c r="P814" s="2" t="e">
        <f>'Infrastructure Benchmarks - ref'!$A2:$S205/'Infrastructure Benchmarks - ref'!$A2:$S205</f>
        <v>#VALUE!</v>
      </c>
      <c r="Q814" s="2"/>
      <c r="R814" s="2"/>
      <c r="S814" s="8"/>
    </row>
    <row r="815" spans="15:19" x14ac:dyDescent="0.2">
      <c r="O815" s="6"/>
      <c r="P815" s="2" t="e">
        <f>'Infrastructure Benchmarks - ref'!$A2:$S205/'Infrastructure Benchmarks - ref'!$A2:$S205</f>
        <v>#VALUE!</v>
      </c>
      <c r="Q815" s="2"/>
      <c r="R815" s="2"/>
      <c r="S815" s="8"/>
    </row>
    <row r="816" spans="15:19" x14ac:dyDescent="0.2">
      <c r="O816" s="6"/>
      <c r="P816" s="2" t="e">
        <f>'Infrastructure Benchmarks - ref'!$A2:$S205/'Infrastructure Benchmarks - ref'!$A2:$S205</f>
        <v>#VALUE!</v>
      </c>
      <c r="Q816" s="2"/>
      <c r="R816" s="2"/>
      <c r="S816" s="8"/>
    </row>
    <row r="817" spans="15:19" x14ac:dyDescent="0.2">
      <c r="O817" s="6"/>
      <c r="P817" s="2" t="e">
        <f>'Infrastructure Benchmarks - ref'!$A2:$S205/'Infrastructure Benchmarks - ref'!$A2:$S205</f>
        <v>#VALUE!</v>
      </c>
      <c r="Q817" s="2"/>
      <c r="R817" s="2"/>
      <c r="S817" s="8"/>
    </row>
    <row r="818" spans="15:19" x14ac:dyDescent="0.2">
      <c r="O818" s="6"/>
      <c r="P818" s="2" t="e">
        <f>'Infrastructure Benchmarks - ref'!$A2:$S205/'Infrastructure Benchmarks - ref'!$A2:$S205</f>
        <v>#VALUE!</v>
      </c>
      <c r="Q818" s="2"/>
      <c r="R818" s="2"/>
      <c r="S818" s="8"/>
    </row>
    <row r="819" spans="15:19" x14ac:dyDescent="0.2">
      <c r="O819" s="6"/>
      <c r="P819" s="2" t="e">
        <f>'Infrastructure Benchmarks - ref'!$A2:$S205/'Infrastructure Benchmarks - ref'!$A2:$S205</f>
        <v>#VALUE!</v>
      </c>
      <c r="Q819" s="2"/>
      <c r="R819" s="2"/>
      <c r="S819" s="8"/>
    </row>
    <row r="820" spans="15:19" x14ac:dyDescent="0.2">
      <c r="O820" s="6"/>
      <c r="P820" s="2" t="e">
        <f>'Infrastructure Benchmarks - ref'!$A2:$S205/'Infrastructure Benchmarks - ref'!$A2:$S205</f>
        <v>#VALUE!</v>
      </c>
      <c r="Q820" s="2"/>
      <c r="R820" s="2"/>
      <c r="S820" s="8"/>
    </row>
    <row r="821" spans="15:19" x14ac:dyDescent="0.2">
      <c r="O821" s="6"/>
      <c r="P821" s="2" t="e">
        <f>'Infrastructure Benchmarks - ref'!$A2:$S205/'Infrastructure Benchmarks - ref'!$A2:$S205</f>
        <v>#VALUE!</v>
      </c>
      <c r="Q821" s="2"/>
      <c r="R821" s="2"/>
      <c r="S821" s="8"/>
    </row>
    <row r="822" spans="15:19" x14ac:dyDescent="0.2">
      <c r="O822" s="6"/>
      <c r="P822" s="2" t="e">
        <f>'Infrastructure Benchmarks - ref'!$A2:$S205/'Infrastructure Benchmarks - ref'!$A2:$S205</f>
        <v>#VALUE!</v>
      </c>
      <c r="Q822" s="2"/>
      <c r="R822" s="2"/>
      <c r="S822" s="8"/>
    </row>
    <row r="823" spans="15:19" x14ac:dyDescent="0.2">
      <c r="O823" s="6"/>
      <c r="P823" s="2" t="e">
        <f>'Infrastructure Benchmarks - ref'!$A2:$S205/'Infrastructure Benchmarks - ref'!$A2:$S205</f>
        <v>#VALUE!</v>
      </c>
      <c r="Q823" s="2"/>
      <c r="R823" s="2"/>
      <c r="S823" s="8"/>
    </row>
    <row r="824" spans="15:19" x14ac:dyDescent="0.2">
      <c r="O824" s="6"/>
      <c r="P824" s="2" t="e">
        <f>'Infrastructure Benchmarks - ref'!$A2:$S205/'Infrastructure Benchmarks - ref'!$A2:$S205</f>
        <v>#VALUE!</v>
      </c>
      <c r="Q824" s="2"/>
      <c r="R824" s="2"/>
      <c r="S824" s="8"/>
    </row>
    <row r="825" spans="15:19" x14ac:dyDescent="0.2">
      <c r="O825" s="6"/>
      <c r="P825" s="2" t="e">
        <f>'Infrastructure Benchmarks - ref'!$A2:$S205/'Infrastructure Benchmarks - ref'!$A2:$S205</f>
        <v>#VALUE!</v>
      </c>
      <c r="Q825" s="2"/>
      <c r="R825" s="2"/>
      <c r="S825" s="8"/>
    </row>
    <row r="826" spans="15:19" x14ac:dyDescent="0.2">
      <c r="O826" s="6"/>
      <c r="P826" s="2" t="e">
        <f>'Infrastructure Benchmarks - ref'!$A2:$S205/'Infrastructure Benchmarks - ref'!$A2:$S205</f>
        <v>#VALUE!</v>
      </c>
      <c r="Q826" s="2"/>
      <c r="R826" s="2"/>
      <c r="S826" s="8"/>
    </row>
    <row r="827" spans="15:19" x14ac:dyDescent="0.2">
      <c r="O827" s="6"/>
      <c r="P827" s="2" t="e">
        <f>'Infrastructure Benchmarks - ref'!$A2:$S205/'Infrastructure Benchmarks - ref'!$A2:$S205</f>
        <v>#VALUE!</v>
      </c>
      <c r="Q827" s="2"/>
      <c r="R827" s="2"/>
      <c r="S827" s="8"/>
    </row>
    <row r="828" spans="15:19" x14ac:dyDescent="0.2">
      <c r="O828" s="6"/>
      <c r="P828" s="2" t="e">
        <f>'Infrastructure Benchmarks - ref'!$A2:$S205/'Infrastructure Benchmarks - ref'!$A2:$S205</f>
        <v>#VALUE!</v>
      </c>
      <c r="Q828" s="2"/>
      <c r="R828" s="2"/>
      <c r="S828" s="8"/>
    </row>
    <row r="829" spans="15:19" x14ac:dyDescent="0.2">
      <c r="O829" s="6"/>
      <c r="P829" s="2" t="e">
        <f>'Infrastructure Benchmarks - ref'!$A2:$S205/'Infrastructure Benchmarks - ref'!$A2:$S205</f>
        <v>#VALUE!</v>
      </c>
      <c r="Q829" s="2"/>
      <c r="R829" s="2"/>
      <c r="S829" s="8"/>
    </row>
    <row r="830" spans="15:19" x14ac:dyDescent="0.2">
      <c r="O830" s="6"/>
      <c r="P830" s="2" t="e">
        <f>'Infrastructure Benchmarks - ref'!$A2:$S205/'Infrastructure Benchmarks - ref'!$A2:$S205</f>
        <v>#VALUE!</v>
      </c>
      <c r="Q830" s="2"/>
      <c r="R830" s="2"/>
      <c r="S830" s="8"/>
    </row>
    <row r="831" spans="15:19" x14ac:dyDescent="0.2">
      <c r="O831" s="6"/>
      <c r="P831" s="2" t="e">
        <f>'Infrastructure Benchmarks - ref'!$A2:$S205/'Infrastructure Benchmarks - ref'!$A2:$S205</f>
        <v>#VALUE!</v>
      </c>
      <c r="Q831" s="2"/>
      <c r="R831" s="2"/>
      <c r="S831" s="8"/>
    </row>
    <row r="832" spans="15:19" x14ac:dyDescent="0.2">
      <c r="O832" s="6"/>
      <c r="P832" s="2" t="e">
        <f>'Infrastructure Benchmarks - ref'!$A2:$S205/'Infrastructure Benchmarks - ref'!$A2:$S205</f>
        <v>#VALUE!</v>
      </c>
      <c r="Q832" s="2"/>
      <c r="R832" s="2"/>
      <c r="S832" s="8"/>
    </row>
    <row r="833" spans="15:19" x14ac:dyDescent="0.2">
      <c r="O833" s="6"/>
      <c r="P833" s="2" t="e">
        <f>'Infrastructure Benchmarks - ref'!$A2:$S205/'Infrastructure Benchmarks - ref'!$A2:$S205</f>
        <v>#VALUE!</v>
      </c>
      <c r="Q833" s="2"/>
      <c r="R833" s="2"/>
      <c r="S833" s="8"/>
    </row>
    <row r="834" spans="15:19" x14ac:dyDescent="0.2">
      <c r="O834" s="6"/>
      <c r="P834" s="2" t="e">
        <f>'Infrastructure Benchmarks - ref'!$A2:$S205/'Infrastructure Benchmarks - ref'!$A2:$S205</f>
        <v>#VALUE!</v>
      </c>
      <c r="Q834" s="2"/>
      <c r="R834" s="2"/>
      <c r="S834" s="8"/>
    </row>
    <row r="835" spans="15:19" x14ac:dyDescent="0.2">
      <c r="O835" s="6"/>
      <c r="P835" s="2" t="e">
        <f>'Infrastructure Benchmarks - ref'!$A2:$S205/'Infrastructure Benchmarks - ref'!$A2:$S205</f>
        <v>#VALUE!</v>
      </c>
      <c r="Q835" s="2"/>
      <c r="R835" s="2"/>
      <c r="S835" s="8"/>
    </row>
    <row r="836" spans="15:19" x14ac:dyDescent="0.2">
      <c r="O836" s="6"/>
      <c r="P836" s="2" t="e">
        <f>'Infrastructure Benchmarks - ref'!$A2:$S205/'Infrastructure Benchmarks - ref'!$A2:$S205</f>
        <v>#VALUE!</v>
      </c>
      <c r="Q836" s="2"/>
      <c r="R836" s="2"/>
      <c r="S836" s="8"/>
    </row>
    <row r="837" spans="15:19" x14ac:dyDescent="0.2">
      <c r="O837" s="6"/>
      <c r="P837" s="2" t="e">
        <f>'Infrastructure Benchmarks - ref'!$A2:$S205/'Infrastructure Benchmarks - ref'!$A2:$S205</f>
        <v>#VALUE!</v>
      </c>
      <c r="Q837" s="2"/>
      <c r="R837" s="2"/>
      <c r="S837" s="8"/>
    </row>
    <row r="838" spans="15:19" x14ac:dyDescent="0.2">
      <c r="O838" s="6"/>
      <c r="P838" s="2" t="e">
        <f>'Infrastructure Benchmarks - ref'!$A2:$S205/'Infrastructure Benchmarks - ref'!$A2:$S205</f>
        <v>#VALUE!</v>
      </c>
      <c r="Q838" s="2"/>
      <c r="R838" s="2"/>
      <c r="S838" s="8"/>
    </row>
    <row r="839" spans="15:19" x14ac:dyDescent="0.2">
      <c r="O839" s="6"/>
      <c r="P839" s="2" t="e">
        <f>'Infrastructure Benchmarks - ref'!$A2:$S205/'Infrastructure Benchmarks - ref'!$A2:$S205</f>
        <v>#VALUE!</v>
      </c>
      <c r="Q839" s="2"/>
      <c r="R839" s="2"/>
      <c r="S839" s="8"/>
    </row>
    <row r="840" spans="15:19" x14ac:dyDescent="0.2">
      <c r="O840" s="6"/>
      <c r="P840" s="2" t="e">
        <f>'Infrastructure Benchmarks - ref'!$A2:$S205/'Infrastructure Benchmarks - ref'!$A2:$S205</f>
        <v>#VALUE!</v>
      </c>
      <c r="Q840" s="2"/>
      <c r="R840" s="2"/>
      <c r="S840" s="8"/>
    </row>
    <row r="841" spans="15:19" x14ac:dyDescent="0.2">
      <c r="O841" s="6"/>
      <c r="P841" s="2" t="e">
        <f>'Infrastructure Benchmarks - ref'!$A2:$S205/'Infrastructure Benchmarks - ref'!$A2:$S205</f>
        <v>#VALUE!</v>
      </c>
      <c r="Q841" s="2"/>
      <c r="R841" s="2"/>
      <c r="S841" s="8"/>
    </row>
    <row r="842" spans="15:19" x14ac:dyDescent="0.2">
      <c r="O842" s="6"/>
      <c r="P842" s="2" t="e">
        <f>'Infrastructure Benchmarks - ref'!$A2:$S205/'Infrastructure Benchmarks - ref'!$A2:$S205</f>
        <v>#VALUE!</v>
      </c>
      <c r="Q842" s="2"/>
      <c r="R842" s="2"/>
      <c r="S842" s="8"/>
    </row>
    <row r="843" spans="15:19" x14ac:dyDescent="0.2">
      <c r="O843" s="6"/>
      <c r="P843" s="2" t="e">
        <f>'Infrastructure Benchmarks - ref'!$A2:$S205/'Infrastructure Benchmarks - ref'!$A2:$S205</f>
        <v>#VALUE!</v>
      </c>
      <c r="Q843" s="2"/>
      <c r="R843" s="2"/>
      <c r="S843" s="8"/>
    </row>
    <row r="844" spans="15:19" x14ac:dyDescent="0.2">
      <c r="O844" s="6"/>
      <c r="P844" s="2" t="e">
        <f>'Infrastructure Benchmarks - ref'!$A2:$S205/'Infrastructure Benchmarks - ref'!$A2:$S205</f>
        <v>#VALUE!</v>
      </c>
      <c r="Q844" s="2"/>
      <c r="R844" s="2"/>
      <c r="S844" s="8"/>
    </row>
    <row r="845" spans="15:19" x14ac:dyDescent="0.2">
      <c r="O845" s="6"/>
      <c r="P845" s="2" t="e">
        <f>'Infrastructure Benchmarks - ref'!$A2:$S205/'Infrastructure Benchmarks - ref'!$A2:$S205</f>
        <v>#VALUE!</v>
      </c>
      <c r="Q845" s="2"/>
      <c r="R845" s="2"/>
      <c r="S845" s="8"/>
    </row>
  </sheetData>
  <pageMargins left="0.7" right="0.7" top="0.75" bottom="0.75" header="0.3" footer="0.3"/>
  <pageSetup scale="2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77CE-DECC-4F36-A9E1-4D792F921731}">
  <dimension ref="A1:BY737"/>
  <sheetViews>
    <sheetView zoomScale="85" zoomScaleNormal="85" workbookViewId="0">
      <selection activeCell="E20" sqref="E2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26.5" style="1" customWidth="1"/>
    <col min="7" max="7" width="29.83203125" style="1" customWidth="1"/>
    <col min="8" max="9" width="29.83203125" style="4" customWidth="1"/>
    <col min="10" max="12" width="29.83203125" style="7" customWidth="1"/>
    <col min="13" max="13" width="28.1640625" style="4" customWidth="1"/>
    <col min="14" max="14" width="17.5" style="7" bestFit="1" customWidth="1"/>
    <col min="15" max="17" width="14.33203125" style="3" customWidth="1"/>
    <col min="18" max="18" width="12.83203125" style="4" customWidth="1"/>
  </cols>
  <sheetData>
    <row r="1" spans="1:77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7" t="s">
        <v>19</v>
      </c>
      <c r="K1" s="7" t="s">
        <v>64</v>
      </c>
      <c r="L1" s="7" t="s">
        <v>63</v>
      </c>
      <c r="M1" s="4" t="s">
        <v>9</v>
      </c>
      <c r="N1" s="5" t="s">
        <v>21</v>
      </c>
      <c r="O1" s="2" t="s">
        <v>66</v>
      </c>
      <c r="P1" s="2" t="s">
        <v>67</v>
      </c>
      <c r="Q1" s="2" t="s">
        <v>68</v>
      </c>
      <c r="R1" s="9" t="s">
        <v>0</v>
      </c>
    </row>
    <row r="2" spans="1:77" x14ac:dyDescent="0.2">
      <c r="A2" t="s">
        <v>70</v>
      </c>
      <c r="B2" t="s">
        <v>2</v>
      </c>
      <c r="C2" t="s">
        <v>3</v>
      </c>
      <c r="D2" t="s">
        <v>13</v>
      </c>
      <c r="E2" t="s">
        <v>31</v>
      </c>
      <c r="F2" s="1" t="s">
        <v>6</v>
      </c>
      <c r="G2" s="1" t="s">
        <v>10</v>
      </c>
      <c r="H2" s="4" t="s">
        <v>16</v>
      </c>
      <c r="I2" s="4" t="s">
        <v>18</v>
      </c>
      <c r="J2" s="7">
        <v>157951</v>
      </c>
      <c r="K2" s="7">
        <v>557289</v>
      </c>
      <c r="L2" s="7">
        <v>119039</v>
      </c>
      <c r="M2" s="4" t="s">
        <v>24</v>
      </c>
      <c r="N2" s="10">
        <f>8271141+1800000</f>
        <v>10071141</v>
      </c>
      <c r="O2" s="2">
        <f>financials345[[#This Row],[Total Cost]]/financials345[[#This Row],[Right of Way Area]]</f>
        <v>63.761172768770059</v>
      </c>
      <c r="P2" s="2">
        <f>financials345[[#This Row],[Total Cost]]/financials345[[#This Row],[GLA]]</f>
        <v>18.071666585918617</v>
      </c>
      <c r="Q2" s="2">
        <f>financials345[[#This Row],[Total Cost]]/financials345[[#This Row],[GFA]]</f>
        <v>84.603709708582898</v>
      </c>
      <c r="R2" s="2" t="s">
        <v>4</v>
      </c>
      <c r="S2" s="2"/>
      <c r="T2" s="1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x14ac:dyDescent="0.2">
      <c r="A3" t="s">
        <v>70</v>
      </c>
      <c r="B3" t="s">
        <v>2</v>
      </c>
      <c r="C3" t="s">
        <v>3</v>
      </c>
      <c r="D3" t="s">
        <v>13</v>
      </c>
      <c r="E3" t="s">
        <v>31</v>
      </c>
      <c r="F3" s="1" t="s">
        <v>6</v>
      </c>
      <c r="G3" s="1" t="s">
        <v>10</v>
      </c>
      <c r="H3" s="4" t="s">
        <v>16</v>
      </c>
      <c r="I3" s="4" t="s">
        <v>18</v>
      </c>
      <c r="J3" s="7">
        <v>157951</v>
      </c>
      <c r="K3" s="7">
        <v>557289</v>
      </c>
      <c r="L3" s="7">
        <v>119039</v>
      </c>
      <c r="M3" s="4" t="s">
        <v>44</v>
      </c>
      <c r="N3" s="14" t="s">
        <v>69</v>
      </c>
      <c r="O3" s="7" t="s">
        <v>62</v>
      </c>
      <c r="P3" s="7" t="s">
        <v>62</v>
      </c>
      <c r="Q3" s="7" t="s">
        <v>62</v>
      </c>
      <c r="R3" s="2" t="s">
        <v>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x14ac:dyDescent="0.2">
      <c r="N4" s="1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2">
      <c r="N5" s="10"/>
      <c r="O5" s="2"/>
      <c r="P5" s="2"/>
      <c r="Q5" s="2"/>
      <c r="R5" s="2"/>
    </row>
    <row r="6" spans="1:77" x14ac:dyDescent="0.2">
      <c r="N6" s="10"/>
      <c r="O6" s="2"/>
      <c r="P6" s="2"/>
      <c r="Q6" s="2"/>
      <c r="R6" s="2"/>
    </row>
    <row r="7" spans="1:77" x14ac:dyDescent="0.2">
      <c r="N7" s="10"/>
      <c r="O7" s="2"/>
      <c r="P7" s="2"/>
      <c r="Q7" s="2"/>
      <c r="R7" s="2"/>
    </row>
    <row r="8" spans="1:77" x14ac:dyDescent="0.2">
      <c r="N8" s="10"/>
      <c r="O8" s="2"/>
      <c r="P8" s="2"/>
      <c r="Q8" s="2"/>
      <c r="R8" s="2"/>
    </row>
    <row r="9" spans="1:77" x14ac:dyDescent="0.2">
      <c r="N9" s="10"/>
      <c r="O9" s="2"/>
      <c r="P9" s="2"/>
      <c r="Q9" s="2"/>
      <c r="R9" s="2"/>
    </row>
    <row r="10" spans="1:77" x14ac:dyDescent="0.2">
      <c r="O10" s="7"/>
      <c r="P10" s="7"/>
      <c r="Q10" s="7"/>
      <c r="R10" s="2"/>
    </row>
    <row r="11" spans="1:77" x14ac:dyDescent="0.2">
      <c r="O11" s="7"/>
      <c r="P11" s="7"/>
      <c r="Q11" s="7"/>
      <c r="R11" s="2"/>
    </row>
    <row r="12" spans="1:77" x14ac:dyDescent="0.2">
      <c r="N12" s="10"/>
      <c r="O12" s="2"/>
      <c r="P12" s="2"/>
      <c r="Q12" s="2"/>
      <c r="R12" s="2"/>
    </row>
    <row r="13" spans="1:77" x14ac:dyDescent="0.2">
      <c r="N13" s="10"/>
      <c r="O13" s="2"/>
      <c r="P13" s="2"/>
      <c r="Q13" s="2"/>
      <c r="R13" s="2"/>
    </row>
    <row r="14" spans="1:77" x14ac:dyDescent="0.2">
      <c r="N14" s="15"/>
      <c r="O14" s="2"/>
      <c r="P14" s="2"/>
      <c r="Q14" s="2"/>
      <c r="R14" s="2"/>
    </row>
    <row r="15" spans="1:77" x14ac:dyDescent="0.2">
      <c r="N15" s="10"/>
      <c r="O15" s="2"/>
      <c r="P15" s="2"/>
      <c r="Q15" s="2"/>
      <c r="R15" s="2"/>
    </row>
    <row r="16" spans="1:77" x14ac:dyDescent="0.2">
      <c r="O16" s="7"/>
      <c r="P16" s="7"/>
      <c r="Q16" s="7"/>
      <c r="R16" s="2"/>
    </row>
    <row r="17" spans="13:18" x14ac:dyDescent="0.2">
      <c r="N17" s="15"/>
      <c r="O17" s="2"/>
      <c r="P17" s="2"/>
      <c r="Q17" s="2"/>
      <c r="R17" s="2"/>
    </row>
    <row r="18" spans="13:18" x14ac:dyDescent="0.2">
      <c r="N18" s="15"/>
      <c r="O18" s="2"/>
      <c r="P18" s="2"/>
      <c r="Q18" s="2"/>
      <c r="R18" s="2"/>
    </row>
    <row r="19" spans="13:18" x14ac:dyDescent="0.2">
      <c r="O19" s="2"/>
      <c r="P19" s="2"/>
      <c r="Q19" s="2"/>
      <c r="R19" s="2"/>
    </row>
    <row r="20" spans="13:18" x14ac:dyDescent="0.2">
      <c r="O20" s="7"/>
      <c r="P20" s="7"/>
      <c r="Q20" s="7"/>
      <c r="R20" s="2"/>
    </row>
    <row r="21" spans="13:18" x14ac:dyDescent="0.2">
      <c r="O21" s="7"/>
      <c r="P21" s="7"/>
      <c r="Q21" s="7"/>
      <c r="R21" s="2"/>
    </row>
    <row r="22" spans="13:18" x14ac:dyDescent="0.2">
      <c r="O22" s="7"/>
      <c r="P22" s="7"/>
      <c r="Q22" s="7"/>
      <c r="R22" s="2"/>
    </row>
    <row r="23" spans="13:18" x14ac:dyDescent="0.2">
      <c r="N23" s="15"/>
      <c r="O23" s="2"/>
      <c r="P23" s="2"/>
      <c r="Q23" s="2"/>
      <c r="R23" s="2"/>
    </row>
    <row r="24" spans="13:18" x14ac:dyDescent="0.2">
      <c r="O24" s="7"/>
      <c r="P24" s="7"/>
      <c r="Q24" s="7"/>
      <c r="R24" s="2"/>
    </row>
    <row r="25" spans="13:18" x14ac:dyDescent="0.2">
      <c r="N25" s="10"/>
      <c r="O25" s="2"/>
      <c r="P25" s="2"/>
      <c r="Q25" s="2"/>
      <c r="R25" s="2"/>
    </row>
    <row r="26" spans="13:18" x14ac:dyDescent="0.2">
      <c r="N26" s="15"/>
      <c r="O26" s="2"/>
      <c r="P26" s="2"/>
      <c r="Q26" s="2"/>
      <c r="R26" s="2"/>
    </row>
    <row r="27" spans="13:18" x14ac:dyDescent="0.2">
      <c r="N27" s="15"/>
      <c r="O27" s="2"/>
      <c r="P27" s="2"/>
      <c r="Q27" s="2"/>
      <c r="R27" s="2"/>
    </row>
    <row r="28" spans="13:18" x14ac:dyDescent="0.2">
      <c r="N28" s="15"/>
      <c r="O28" s="2"/>
      <c r="P28" s="2"/>
      <c r="Q28" s="2"/>
      <c r="R28" s="2"/>
    </row>
    <row r="29" spans="13:18" x14ac:dyDescent="0.2">
      <c r="O29" s="7"/>
      <c r="P29" s="7"/>
      <c r="Q29" s="7"/>
      <c r="R29" s="2"/>
    </row>
    <row r="30" spans="13:18" x14ac:dyDescent="0.2">
      <c r="O30" s="7"/>
      <c r="P30" s="7"/>
      <c r="Q30" s="7"/>
      <c r="R30" s="2"/>
    </row>
    <row r="35" spans="14:18" x14ac:dyDescent="0.2">
      <c r="N35" s="10"/>
      <c r="O35" s="2"/>
      <c r="P35" s="2"/>
      <c r="Q35" s="2"/>
      <c r="R35" s="9"/>
    </row>
    <row r="36" spans="14:18" x14ac:dyDescent="0.2">
      <c r="N36" s="10"/>
      <c r="O36" s="2"/>
      <c r="P36" s="2"/>
      <c r="Q36" s="2"/>
      <c r="R36" s="9"/>
    </row>
    <row r="37" spans="14:18" x14ac:dyDescent="0.2">
      <c r="N37" s="10"/>
      <c r="O37" s="2"/>
      <c r="P37" s="2"/>
      <c r="Q37" s="2"/>
      <c r="R37" s="9"/>
    </row>
    <row r="38" spans="14:18" x14ac:dyDescent="0.2">
      <c r="N38" s="10"/>
      <c r="O38" s="2"/>
      <c r="P38" s="2"/>
      <c r="Q38" s="2"/>
      <c r="R38" s="9"/>
    </row>
    <row r="39" spans="14:18" x14ac:dyDescent="0.2">
      <c r="N39" s="10"/>
      <c r="O39" s="2"/>
      <c r="P39" s="2"/>
      <c r="Q39" s="2"/>
      <c r="R39" s="9"/>
    </row>
    <row r="40" spans="14:18" x14ac:dyDescent="0.2">
      <c r="N40" s="10"/>
      <c r="O40" s="2"/>
      <c r="P40" s="2"/>
      <c r="Q40" s="2"/>
      <c r="R40" s="9"/>
    </row>
    <row r="41" spans="14:18" x14ac:dyDescent="0.2">
      <c r="N41" s="10"/>
      <c r="O41" s="2"/>
      <c r="P41" s="2"/>
      <c r="Q41" s="2"/>
      <c r="R41" s="9"/>
    </row>
    <row r="42" spans="14:18" x14ac:dyDescent="0.2">
      <c r="N42" s="10"/>
      <c r="O42" s="2"/>
      <c r="P42" s="2"/>
      <c r="Q42" s="2"/>
      <c r="R42" s="9"/>
    </row>
    <row r="43" spans="14:18" x14ac:dyDescent="0.2">
      <c r="N43" s="10"/>
      <c r="O43" s="2"/>
      <c r="P43" s="2"/>
      <c r="Q43" s="2"/>
      <c r="R43" s="9"/>
    </row>
    <row r="44" spans="14:18" x14ac:dyDescent="0.2">
      <c r="N44" s="10"/>
      <c r="O44" s="2"/>
      <c r="P44" s="2"/>
      <c r="Q44" s="2"/>
      <c r="R44" s="9"/>
    </row>
    <row r="45" spans="14:18" x14ac:dyDescent="0.2">
      <c r="N45" s="10"/>
      <c r="O45" s="2"/>
      <c r="P45" s="2"/>
      <c r="Q45" s="2"/>
      <c r="R45" s="9"/>
    </row>
    <row r="46" spans="14:18" x14ac:dyDescent="0.2">
      <c r="N46" s="10"/>
      <c r="O46" s="2"/>
      <c r="P46" s="2"/>
      <c r="Q46" s="2"/>
      <c r="R46" s="9"/>
    </row>
    <row r="47" spans="14:18" x14ac:dyDescent="0.2">
      <c r="N47" s="11"/>
      <c r="O47" s="2"/>
      <c r="P47" s="2"/>
      <c r="Q47" s="2"/>
      <c r="R47" s="12"/>
    </row>
    <row r="48" spans="14:18" x14ac:dyDescent="0.2">
      <c r="N48" s="11"/>
      <c r="O48" s="2"/>
      <c r="P48" s="2"/>
      <c r="Q48" s="2"/>
      <c r="R48" s="12"/>
    </row>
    <row r="49" spans="14:18" x14ac:dyDescent="0.2">
      <c r="N49" s="11"/>
      <c r="O49" s="2"/>
      <c r="P49" s="2"/>
      <c r="Q49" s="2"/>
      <c r="R49" s="12"/>
    </row>
    <row r="50" spans="14:18" x14ac:dyDescent="0.2">
      <c r="N50" s="11"/>
      <c r="O50" s="2"/>
      <c r="P50" s="2"/>
      <c r="Q50" s="2"/>
      <c r="R50" s="12"/>
    </row>
    <row r="51" spans="14:18" x14ac:dyDescent="0.2">
      <c r="N51" s="11"/>
      <c r="O51" s="2"/>
      <c r="P51" s="2"/>
      <c r="Q51" s="2"/>
      <c r="R51" s="12"/>
    </row>
    <row r="52" spans="14:18" x14ac:dyDescent="0.2">
      <c r="N52" s="11"/>
      <c r="O52" s="2"/>
      <c r="P52" s="2"/>
      <c r="Q52" s="2"/>
      <c r="R52" s="12"/>
    </row>
    <row r="53" spans="14:18" x14ac:dyDescent="0.2">
      <c r="N53" s="11"/>
      <c r="O53" s="2"/>
      <c r="P53" s="2"/>
      <c r="Q53" s="2"/>
      <c r="R53" s="12"/>
    </row>
    <row r="54" spans="14:18" x14ac:dyDescent="0.2">
      <c r="N54" s="11"/>
      <c r="O54" s="2"/>
      <c r="P54" s="2"/>
      <c r="Q54" s="2"/>
      <c r="R54" s="12"/>
    </row>
    <row r="55" spans="14:18" x14ac:dyDescent="0.2">
      <c r="N55" s="11"/>
      <c r="O55" s="2"/>
      <c r="P55" s="2"/>
      <c r="Q55" s="2"/>
      <c r="R55" s="12"/>
    </row>
    <row r="56" spans="14:18" x14ac:dyDescent="0.2">
      <c r="N56" s="11"/>
      <c r="O56" s="2"/>
      <c r="P56" s="2"/>
      <c r="Q56" s="2"/>
      <c r="R56" s="12"/>
    </row>
    <row r="57" spans="14:18" x14ac:dyDescent="0.2">
      <c r="N57" s="11"/>
      <c r="O57" s="2"/>
      <c r="P57" s="2"/>
      <c r="Q57" s="2"/>
      <c r="R57" s="12"/>
    </row>
    <row r="58" spans="14:18" x14ac:dyDescent="0.2">
      <c r="N58" s="11"/>
      <c r="O58" s="2"/>
      <c r="P58" s="2"/>
      <c r="Q58" s="2"/>
      <c r="R58" s="12"/>
    </row>
    <row r="59" spans="14:18" x14ac:dyDescent="0.2">
      <c r="N59" s="10"/>
      <c r="O59" s="2"/>
      <c r="P59" s="2"/>
      <c r="Q59" s="2"/>
      <c r="R59" s="9"/>
    </row>
    <row r="60" spans="14:18" x14ac:dyDescent="0.2">
      <c r="N60" s="10"/>
      <c r="O60" s="2"/>
      <c r="P60" s="2"/>
      <c r="Q60" s="2"/>
      <c r="R60" s="9"/>
    </row>
    <row r="61" spans="14:18" x14ac:dyDescent="0.2">
      <c r="N61" s="10"/>
      <c r="O61" s="2"/>
      <c r="P61" s="2"/>
      <c r="Q61" s="2"/>
      <c r="R61" s="9"/>
    </row>
    <row r="62" spans="14:18" x14ac:dyDescent="0.2">
      <c r="N62" s="10"/>
      <c r="O62" s="2"/>
      <c r="P62" s="2"/>
      <c r="Q62" s="2"/>
      <c r="R62" s="9"/>
    </row>
    <row r="63" spans="14:18" x14ac:dyDescent="0.2">
      <c r="N63" s="10"/>
      <c r="O63" s="2"/>
      <c r="P63" s="2"/>
      <c r="Q63" s="2"/>
      <c r="R63" s="9"/>
    </row>
    <row r="64" spans="14:18" x14ac:dyDescent="0.2">
      <c r="N64" s="10"/>
      <c r="O64" s="2"/>
      <c r="P64" s="2"/>
      <c r="Q64" s="2"/>
      <c r="R64" s="9"/>
    </row>
    <row r="65" spans="14:18" x14ac:dyDescent="0.2">
      <c r="N65" s="10"/>
      <c r="O65" s="2"/>
      <c r="P65" s="2"/>
      <c r="Q65" s="2"/>
      <c r="R65" s="9"/>
    </row>
    <row r="66" spans="14:18" x14ac:dyDescent="0.2">
      <c r="N66" s="10"/>
      <c r="O66" s="2"/>
      <c r="P66" s="2"/>
      <c r="Q66" s="2"/>
      <c r="R66" s="9"/>
    </row>
    <row r="67" spans="14:18" x14ac:dyDescent="0.2">
      <c r="N67" s="10"/>
      <c r="O67" s="2"/>
      <c r="P67" s="2"/>
      <c r="Q67" s="2"/>
      <c r="R67" s="9"/>
    </row>
    <row r="68" spans="14:18" x14ac:dyDescent="0.2">
      <c r="N68" s="10"/>
      <c r="O68" s="2"/>
      <c r="P68" s="2"/>
      <c r="Q68" s="2"/>
      <c r="R68" s="9"/>
    </row>
    <row r="69" spans="14:18" x14ac:dyDescent="0.2">
      <c r="N69" s="10"/>
      <c r="O69" s="2"/>
      <c r="P69" s="2"/>
      <c r="Q69" s="2"/>
      <c r="R69" s="9"/>
    </row>
    <row r="70" spans="14:18" x14ac:dyDescent="0.2">
      <c r="N70" s="10"/>
      <c r="O70" s="2"/>
      <c r="P70" s="2"/>
      <c r="Q70" s="2"/>
      <c r="R70" s="9"/>
    </row>
    <row r="71" spans="14:18" x14ac:dyDescent="0.2">
      <c r="N71" s="10"/>
      <c r="O71" s="2"/>
      <c r="P71" s="2"/>
      <c r="Q71" s="2"/>
      <c r="R71" s="9"/>
    </row>
    <row r="72" spans="14:18" x14ac:dyDescent="0.2">
      <c r="N72" s="10"/>
      <c r="O72" s="2"/>
      <c r="P72" s="2"/>
      <c r="Q72" s="2"/>
      <c r="R72" s="9"/>
    </row>
    <row r="73" spans="14:18" x14ac:dyDescent="0.2">
      <c r="N73" s="10"/>
      <c r="O73" s="2"/>
      <c r="P73" s="2"/>
      <c r="Q73" s="2"/>
      <c r="R73" s="9"/>
    </row>
    <row r="74" spans="14:18" x14ac:dyDescent="0.2">
      <c r="N74" s="10"/>
      <c r="O74" s="2"/>
      <c r="P74" s="2"/>
      <c r="Q74" s="2"/>
      <c r="R74" s="9"/>
    </row>
    <row r="75" spans="14:18" x14ac:dyDescent="0.2">
      <c r="N75" s="10"/>
      <c r="O75" s="2"/>
      <c r="P75" s="2"/>
      <c r="Q75" s="2"/>
      <c r="R75" s="9"/>
    </row>
    <row r="76" spans="14:18" x14ac:dyDescent="0.2">
      <c r="N76" s="10"/>
      <c r="O76" s="2"/>
      <c r="P76" s="2"/>
      <c r="Q76" s="2"/>
      <c r="R76" s="9"/>
    </row>
    <row r="77" spans="14:18" x14ac:dyDescent="0.2">
      <c r="N77" s="10"/>
      <c r="O77" s="2"/>
      <c r="P77" s="2"/>
      <c r="Q77" s="2"/>
      <c r="R77" s="9"/>
    </row>
    <row r="78" spans="14:18" x14ac:dyDescent="0.2">
      <c r="N78" s="10"/>
      <c r="O78" s="2"/>
      <c r="P78" s="2"/>
      <c r="Q78" s="2"/>
      <c r="R78" s="9"/>
    </row>
    <row r="79" spans="14:18" x14ac:dyDescent="0.2">
      <c r="N79" s="10"/>
      <c r="O79" s="2"/>
      <c r="P79" s="2"/>
      <c r="Q79" s="2"/>
      <c r="R79" s="9"/>
    </row>
    <row r="80" spans="14:18" x14ac:dyDescent="0.2">
      <c r="N80" s="10"/>
      <c r="O80" s="2"/>
      <c r="P80" s="2"/>
      <c r="Q80" s="2"/>
      <c r="R80" s="9"/>
    </row>
    <row r="81" spans="14:18" x14ac:dyDescent="0.2">
      <c r="N81" s="10"/>
      <c r="O81" s="2"/>
      <c r="P81" s="2"/>
      <c r="Q81" s="2"/>
      <c r="R81" s="9"/>
    </row>
    <row r="82" spans="14:18" x14ac:dyDescent="0.2">
      <c r="N82" s="10"/>
      <c r="O82" s="2"/>
      <c r="P82" s="2"/>
      <c r="Q82" s="2"/>
      <c r="R82" s="9"/>
    </row>
    <row r="83" spans="14:18" x14ac:dyDescent="0.2">
      <c r="N83" s="10"/>
      <c r="O83" s="2"/>
      <c r="P83" s="2"/>
      <c r="Q83" s="2"/>
      <c r="R83" s="9"/>
    </row>
    <row r="84" spans="14:18" x14ac:dyDescent="0.2">
      <c r="N84" s="10"/>
      <c r="O84" s="2"/>
      <c r="P84" s="2"/>
      <c r="Q84" s="2"/>
      <c r="R84" s="9"/>
    </row>
    <row r="85" spans="14:18" x14ac:dyDescent="0.2">
      <c r="N85" s="10"/>
      <c r="O85" s="2"/>
      <c r="P85" s="2"/>
      <c r="Q85" s="2"/>
      <c r="R85" s="9"/>
    </row>
    <row r="86" spans="14:18" x14ac:dyDescent="0.2">
      <c r="N86" s="10"/>
      <c r="O86" s="2"/>
      <c r="P86" s="2"/>
      <c r="Q86" s="2"/>
      <c r="R86" s="9"/>
    </row>
    <row r="87" spans="14:18" x14ac:dyDescent="0.2">
      <c r="N87" s="10"/>
      <c r="O87" s="2"/>
      <c r="P87" s="2"/>
      <c r="Q87" s="2"/>
      <c r="R87" s="9"/>
    </row>
    <row r="88" spans="14:18" x14ac:dyDescent="0.2">
      <c r="N88" s="10"/>
      <c r="O88" s="2"/>
      <c r="P88" s="2"/>
      <c r="Q88" s="2"/>
      <c r="R88" s="9"/>
    </row>
    <row r="89" spans="14:18" x14ac:dyDescent="0.2">
      <c r="N89" s="10"/>
      <c r="O89" s="2"/>
      <c r="P89" s="2"/>
      <c r="Q89" s="2"/>
      <c r="R89" s="9"/>
    </row>
    <row r="90" spans="14:18" x14ac:dyDescent="0.2">
      <c r="N90" s="10"/>
      <c r="O90" s="2"/>
      <c r="P90" s="2"/>
      <c r="Q90" s="2"/>
      <c r="R90" s="9"/>
    </row>
    <row r="91" spans="14:18" x14ac:dyDescent="0.2">
      <c r="N91" s="10"/>
      <c r="O91" s="2"/>
      <c r="P91" s="2"/>
      <c r="Q91" s="2"/>
      <c r="R91" s="9"/>
    </row>
    <row r="92" spans="14:18" x14ac:dyDescent="0.2">
      <c r="N92" s="10"/>
      <c r="O92" s="2"/>
      <c r="P92" s="2"/>
      <c r="Q92" s="2"/>
      <c r="R92" s="9"/>
    </row>
    <row r="93" spans="14:18" x14ac:dyDescent="0.2">
      <c r="N93" s="10"/>
      <c r="O93" s="2"/>
      <c r="P93" s="2"/>
      <c r="Q93" s="2"/>
      <c r="R93" s="9"/>
    </row>
    <row r="94" spans="14:18" x14ac:dyDescent="0.2">
      <c r="N94" s="10"/>
      <c r="O94" s="2"/>
      <c r="P94" s="2"/>
      <c r="Q94" s="2"/>
      <c r="R94" s="9"/>
    </row>
    <row r="95" spans="14:18" x14ac:dyDescent="0.2">
      <c r="N95" s="10"/>
      <c r="O95" s="2"/>
      <c r="P95" s="2"/>
      <c r="Q95" s="2"/>
      <c r="R95" s="9"/>
    </row>
    <row r="96" spans="14:18" x14ac:dyDescent="0.2">
      <c r="N96" s="10"/>
      <c r="O96" s="2"/>
      <c r="P96" s="2"/>
      <c r="Q96" s="2"/>
      <c r="R96" s="9"/>
    </row>
    <row r="97" spans="14:18" x14ac:dyDescent="0.2">
      <c r="N97" s="10"/>
      <c r="O97" s="2"/>
      <c r="P97" s="2"/>
      <c r="Q97" s="2"/>
      <c r="R97" s="9"/>
    </row>
    <row r="98" spans="14:18" x14ac:dyDescent="0.2">
      <c r="N98" s="6"/>
      <c r="O98" s="2"/>
      <c r="P98" s="2"/>
      <c r="Q98" s="2"/>
      <c r="R98" s="9"/>
    </row>
    <row r="99" spans="14:18" x14ac:dyDescent="0.2">
      <c r="N99" s="6"/>
      <c r="O99" s="2"/>
      <c r="P99" s="2"/>
      <c r="Q99" s="2"/>
      <c r="R99" s="9"/>
    </row>
    <row r="100" spans="14:18" x14ac:dyDescent="0.2">
      <c r="N100" s="6"/>
      <c r="O100" s="2"/>
      <c r="P100" s="2"/>
      <c r="Q100" s="2"/>
      <c r="R100" s="9"/>
    </row>
    <row r="101" spans="14:18" x14ac:dyDescent="0.2">
      <c r="N101" s="6"/>
      <c r="O101" s="2"/>
      <c r="P101" s="2"/>
      <c r="Q101" s="2"/>
      <c r="R101" s="9"/>
    </row>
    <row r="102" spans="14:18" x14ac:dyDescent="0.2">
      <c r="N102" s="6"/>
      <c r="O102" s="2"/>
      <c r="P102" s="2"/>
      <c r="Q102" s="2"/>
      <c r="R102" s="9"/>
    </row>
    <row r="103" spans="14:18" x14ac:dyDescent="0.2">
      <c r="N103" s="6"/>
      <c r="O103" s="2"/>
      <c r="P103" s="2"/>
      <c r="Q103" s="2"/>
      <c r="R103" s="9"/>
    </row>
    <row r="104" spans="14:18" x14ac:dyDescent="0.2">
      <c r="N104" s="6"/>
      <c r="O104" s="2"/>
      <c r="P104" s="2"/>
      <c r="Q104" s="2"/>
      <c r="R104" s="9"/>
    </row>
    <row r="105" spans="14:18" x14ac:dyDescent="0.2">
      <c r="N105" s="6"/>
      <c r="O105" s="2"/>
      <c r="P105" s="2"/>
      <c r="Q105" s="2"/>
      <c r="R105" s="9"/>
    </row>
    <row r="106" spans="14:18" x14ac:dyDescent="0.2">
      <c r="N106" s="6"/>
      <c r="O106" s="2"/>
      <c r="P106" s="2"/>
      <c r="Q106" s="2"/>
      <c r="R106" s="9"/>
    </row>
    <row r="107" spans="14:18" x14ac:dyDescent="0.2">
      <c r="N107" s="6"/>
      <c r="O107" s="2"/>
      <c r="P107" s="2"/>
      <c r="Q107" s="2"/>
      <c r="R107" s="9"/>
    </row>
    <row r="108" spans="14:18" x14ac:dyDescent="0.2">
      <c r="N108" s="6"/>
      <c r="O108" s="2"/>
      <c r="P108" s="2"/>
      <c r="Q108" s="2"/>
      <c r="R108" s="9"/>
    </row>
    <row r="109" spans="14:18" x14ac:dyDescent="0.2">
      <c r="N109" s="6"/>
      <c r="O109" s="2"/>
      <c r="P109" s="2"/>
      <c r="Q109" s="2"/>
      <c r="R109" s="9"/>
    </row>
    <row r="110" spans="14:18" x14ac:dyDescent="0.2">
      <c r="N110" s="6"/>
      <c r="O110" s="2"/>
      <c r="P110" s="2"/>
      <c r="Q110" s="2"/>
      <c r="R110" s="9"/>
    </row>
    <row r="111" spans="14:18" x14ac:dyDescent="0.2">
      <c r="N111" s="6"/>
      <c r="O111" s="2"/>
      <c r="P111" s="2"/>
      <c r="Q111" s="2"/>
      <c r="R111" s="9"/>
    </row>
    <row r="112" spans="14:18" x14ac:dyDescent="0.2">
      <c r="N112" s="6"/>
      <c r="O112" s="2"/>
      <c r="P112" s="2"/>
      <c r="Q112" s="2"/>
      <c r="R112" s="9"/>
    </row>
    <row r="113" spans="14:18" x14ac:dyDescent="0.2">
      <c r="N113" s="6"/>
      <c r="O113" s="2"/>
      <c r="P113" s="2"/>
      <c r="Q113" s="2"/>
      <c r="R113" s="9"/>
    </row>
    <row r="114" spans="14:18" x14ac:dyDescent="0.2">
      <c r="N114" s="6"/>
      <c r="O114" s="2"/>
      <c r="P114" s="2"/>
      <c r="Q114" s="2"/>
      <c r="R114" s="9"/>
    </row>
    <row r="115" spans="14:18" x14ac:dyDescent="0.2">
      <c r="N115" s="6"/>
      <c r="O115" s="2"/>
      <c r="P115" s="2"/>
      <c r="Q115" s="2"/>
      <c r="R115" s="9"/>
    </row>
    <row r="116" spans="14:18" x14ac:dyDescent="0.2">
      <c r="N116" s="6"/>
      <c r="O116" s="2"/>
      <c r="P116" s="2"/>
      <c r="Q116" s="2"/>
      <c r="R116" s="9"/>
    </row>
    <row r="117" spans="14:18" x14ac:dyDescent="0.2">
      <c r="N117" s="6"/>
      <c r="O117" s="2"/>
      <c r="P117" s="2"/>
      <c r="Q117" s="2"/>
      <c r="R117" s="9"/>
    </row>
    <row r="118" spans="14:18" x14ac:dyDescent="0.2">
      <c r="N118" s="6"/>
      <c r="O118" s="2"/>
      <c r="P118" s="2"/>
      <c r="Q118" s="2"/>
      <c r="R118" s="9"/>
    </row>
    <row r="119" spans="14:18" x14ac:dyDescent="0.2">
      <c r="N119" s="6"/>
      <c r="O119" s="2"/>
      <c r="P119" s="2"/>
      <c r="Q119" s="2"/>
      <c r="R119" s="9"/>
    </row>
    <row r="120" spans="14:18" x14ac:dyDescent="0.2">
      <c r="N120" s="6"/>
      <c r="O120" s="2"/>
      <c r="P120" s="2"/>
      <c r="Q120" s="2"/>
      <c r="R120" s="9"/>
    </row>
    <row r="121" spans="14:18" x14ac:dyDescent="0.2">
      <c r="N121" s="6"/>
      <c r="O121" s="2"/>
      <c r="P121" s="2"/>
      <c r="Q121" s="2"/>
      <c r="R121" s="9"/>
    </row>
    <row r="122" spans="14:18" x14ac:dyDescent="0.2">
      <c r="N122" s="6"/>
      <c r="O122" s="2"/>
      <c r="P122" s="2"/>
      <c r="Q122" s="2"/>
      <c r="R122" s="9"/>
    </row>
    <row r="123" spans="14:18" x14ac:dyDescent="0.2">
      <c r="N123" s="6"/>
      <c r="O123" s="2"/>
      <c r="P123" s="2"/>
      <c r="Q123" s="2"/>
      <c r="R123" s="9"/>
    </row>
    <row r="124" spans="14:18" x14ac:dyDescent="0.2">
      <c r="N124" s="6"/>
      <c r="O124" s="2"/>
      <c r="P124" s="2"/>
      <c r="Q124" s="2"/>
      <c r="R124" s="9"/>
    </row>
    <row r="125" spans="14:18" x14ac:dyDescent="0.2">
      <c r="N125" s="6"/>
      <c r="O125" s="2"/>
      <c r="P125" s="2"/>
      <c r="Q125" s="2"/>
      <c r="R125" s="9"/>
    </row>
    <row r="126" spans="14:18" x14ac:dyDescent="0.2">
      <c r="N126" s="6"/>
      <c r="O126" s="2"/>
      <c r="P126" s="2"/>
      <c r="Q126" s="2"/>
      <c r="R126" s="9"/>
    </row>
    <row r="127" spans="14:18" x14ac:dyDescent="0.2">
      <c r="N127" s="6"/>
      <c r="O127" s="2"/>
      <c r="P127" s="2"/>
      <c r="Q127" s="2"/>
      <c r="R127" s="9"/>
    </row>
    <row r="128" spans="14:18" x14ac:dyDescent="0.2">
      <c r="N128" s="6"/>
      <c r="O128" s="2"/>
      <c r="P128" s="2"/>
      <c r="Q128" s="2"/>
      <c r="R128" s="9"/>
    </row>
    <row r="129" spans="14:18" x14ac:dyDescent="0.2">
      <c r="N129" s="6"/>
      <c r="O129" s="2"/>
      <c r="P129" s="2"/>
      <c r="Q129" s="2"/>
      <c r="R129" s="9"/>
    </row>
    <row r="130" spans="14:18" x14ac:dyDescent="0.2">
      <c r="N130" s="6"/>
      <c r="O130" s="2"/>
      <c r="P130" s="2"/>
      <c r="Q130" s="2"/>
      <c r="R130" s="9"/>
    </row>
    <row r="131" spans="14:18" x14ac:dyDescent="0.2">
      <c r="N131" s="6"/>
      <c r="O131" s="2"/>
      <c r="P131" s="2"/>
      <c r="Q131" s="2"/>
      <c r="R131" s="9"/>
    </row>
    <row r="132" spans="14:18" x14ac:dyDescent="0.2">
      <c r="N132" s="6"/>
      <c r="O132" s="2"/>
      <c r="P132" s="2"/>
      <c r="Q132" s="2"/>
      <c r="R132" s="9"/>
    </row>
    <row r="133" spans="14:18" x14ac:dyDescent="0.2">
      <c r="N133" s="6"/>
      <c r="O133" s="2"/>
      <c r="P133" s="2"/>
      <c r="Q133" s="2"/>
      <c r="R133" s="9"/>
    </row>
    <row r="134" spans="14:18" x14ac:dyDescent="0.2">
      <c r="N134" s="6"/>
      <c r="O134" s="2"/>
      <c r="P134" s="2"/>
      <c r="Q134" s="2"/>
      <c r="R134" s="9"/>
    </row>
    <row r="135" spans="14:18" x14ac:dyDescent="0.2">
      <c r="N135" s="6"/>
      <c r="O135" s="2"/>
      <c r="P135" s="2"/>
      <c r="Q135" s="2"/>
      <c r="R135" s="9"/>
    </row>
    <row r="136" spans="14:18" x14ac:dyDescent="0.2">
      <c r="N136" s="6"/>
      <c r="O136" s="2"/>
      <c r="P136" s="2"/>
      <c r="Q136" s="2"/>
      <c r="R136" s="9"/>
    </row>
    <row r="137" spans="14:18" x14ac:dyDescent="0.2">
      <c r="N137" s="6"/>
      <c r="O137" s="2"/>
      <c r="P137" s="2"/>
      <c r="Q137" s="2"/>
      <c r="R137" s="9"/>
    </row>
    <row r="138" spans="14:18" x14ac:dyDescent="0.2">
      <c r="N138" s="6"/>
      <c r="O138" s="2"/>
      <c r="P138" s="2"/>
      <c r="Q138" s="2"/>
      <c r="R138" s="9"/>
    </row>
    <row r="139" spans="14:18" x14ac:dyDescent="0.2">
      <c r="N139" s="6"/>
      <c r="O139" s="2"/>
      <c r="P139" s="2"/>
      <c r="Q139" s="2"/>
      <c r="R139" s="9"/>
    </row>
    <row r="140" spans="14:18" x14ac:dyDescent="0.2">
      <c r="N140" s="6"/>
      <c r="O140" s="2"/>
      <c r="P140" s="2"/>
      <c r="Q140" s="2"/>
      <c r="R140" s="9"/>
    </row>
    <row r="141" spans="14:18" x14ac:dyDescent="0.2">
      <c r="N141" s="6"/>
      <c r="O141" s="2"/>
      <c r="P141" s="2"/>
      <c r="Q141" s="2"/>
      <c r="R141" s="9"/>
    </row>
    <row r="142" spans="14:18" x14ac:dyDescent="0.2">
      <c r="N142" s="6"/>
      <c r="O142" s="2"/>
      <c r="P142" s="2"/>
      <c r="Q142" s="2"/>
      <c r="R142" s="9"/>
    </row>
    <row r="143" spans="14:18" x14ac:dyDescent="0.2">
      <c r="N143" s="6"/>
      <c r="O143" s="2"/>
      <c r="P143" s="2"/>
      <c r="Q143" s="2"/>
      <c r="R143" s="9"/>
    </row>
    <row r="144" spans="14:18" x14ac:dyDescent="0.2">
      <c r="N144" s="6"/>
      <c r="O144" s="2"/>
      <c r="P144" s="2"/>
      <c r="Q144" s="2"/>
      <c r="R144" s="9"/>
    </row>
    <row r="145" spans="14:18" x14ac:dyDescent="0.2">
      <c r="N145" s="6"/>
      <c r="O145" s="2"/>
      <c r="P145" s="2"/>
      <c r="Q145" s="2"/>
      <c r="R145" s="9"/>
    </row>
    <row r="146" spans="14:18" x14ac:dyDescent="0.2">
      <c r="N146" s="6"/>
      <c r="O146" s="2"/>
      <c r="P146" s="2"/>
      <c r="Q146" s="2"/>
      <c r="R146" s="9"/>
    </row>
    <row r="147" spans="14:18" x14ac:dyDescent="0.2">
      <c r="N147" s="6"/>
      <c r="O147" s="2"/>
      <c r="P147" s="2"/>
      <c r="Q147" s="2"/>
      <c r="R147" s="9"/>
    </row>
    <row r="148" spans="14:18" x14ac:dyDescent="0.2">
      <c r="N148" s="6"/>
      <c r="O148" s="2"/>
      <c r="P148" s="2"/>
      <c r="Q148" s="2"/>
      <c r="R148" s="9"/>
    </row>
    <row r="149" spans="14:18" x14ac:dyDescent="0.2">
      <c r="N149" s="6"/>
      <c r="O149" s="2"/>
      <c r="P149" s="2"/>
      <c r="Q149" s="2"/>
      <c r="R149" s="9"/>
    </row>
    <row r="150" spans="14:18" x14ac:dyDescent="0.2">
      <c r="N150" s="6"/>
      <c r="O150" s="2"/>
      <c r="P150" s="2"/>
      <c r="Q150" s="2"/>
      <c r="R150" s="9"/>
    </row>
    <row r="151" spans="14:18" x14ac:dyDescent="0.2">
      <c r="N151" s="6"/>
      <c r="O151" s="2"/>
      <c r="P151" s="2"/>
      <c r="Q151" s="2"/>
      <c r="R151" s="9"/>
    </row>
    <row r="152" spans="14:18" x14ac:dyDescent="0.2">
      <c r="N152" s="6"/>
      <c r="O152" s="2"/>
      <c r="P152" s="2"/>
      <c r="Q152" s="2"/>
      <c r="R152" s="9"/>
    </row>
    <row r="153" spans="14:18" x14ac:dyDescent="0.2">
      <c r="N153" s="6"/>
      <c r="O153" s="2"/>
      <c r="P153" s="2"/>
      <c r="Q153" s="2"/>
      <c r="R153" s="9"/>
    </row>
    <row r="154" spans="14:18" x14ac:dyDescent="0.2">
      <c r="N154" s="6"/>
      <c r="O154" s="2"/>
      <c r="P154" s="2"/>
      <c r="Q154" s="2"/>
      <c r="R154" s="9"/>
    </row>
    <row r="155" spans="14:18" x14ac:dyDescent="0.2">
      <c r="N155" s="6"/>
      <c r="O155" s="2"/>
      <c r="P155" s="2"/>
      <c r="Q155" s="2"/>
      <c r="R155" s="9"/>
    </row>
    <row r="156" spans="14:18" x14ac:dyDescent="0.2">
      <c r="N156" s="6"/>
      <c r="O156" s="2"/>
      <c r="P156" s="2"/>
      <c r="Q156" s="2"/>
      <c r="R156" s="9"/>
    </row>
    <row r="157" spans="14:18" x14ac:dyDescent="0.2">
      <c r="N157" s="6"/>
      <c r="O157" s="2"/>
      <c r="P157" s="2"/>
      <c r="Q157" s="2"/>
      <c r="R157" s="9"/>
    </row>
    <row r="158" spans="14:18" x14ac:dyDescent="0.2">
      <c r="N158" s="6"/>
      <c r="O158" s="2"/>
      <c r="P158" s="2"/>
      <c r="Q158" s="2"/>
      <c r="R158" s="9"/>
    </row>
    <row r="159" spans="14:18" x14ac:dyDescent="0.2">
      <c r="N159" s="6"/>
      <c r="O159" s="2"/>
      <c r="P159" s="2"/>
      <c r="Q159" s="2"/>
      <c r="R159" s="9"/>
    </row>
    <row r="160" spans="14:18" x14ac:dyDescent="0.2">
      <c r="N160" s="6"/>
      <c r="O160" s="2"/>
      <c r="P160" s="2"/>
      <c r="Q160" s="2"/>
      <c r="R160" s="9"/>
    </row>
    <row r="161" spans="14:18" x14ac:dyDescent="0.2">
      <c r="N161" s="6"/>
      <c r="O161" s="2"/>
      <c r="P161" s="2"/>
      <c r="Q161" s="2"/>
      <c r="R161" s="9"/>
    </row>
    <row r="162" spans="14:18" x14ac:dyDescent="0.2">
      <c r="N162" s="6"/>
      <c r="O162" s="2"/>
      <c r="P162" s="2"/>
      <c r="Q162" s="2"/>
      <c r="R162" s="9"/>
    </row>
    <row r="163" spans="14:18" x14ac:dyDescent="0.2">
      <c r="N163" s="6"/>
      <c r="O163" s="2"/>
      <c r="P163" s="2"/>
      <c r="Q163" s="2"/>
      <c r="R163" s="9"/>
    </row>
    <row r="164" spans="14:18" x14ac:dyDescent="0.2">
      <c r="N164" s="6"/>
      <c r="O164" s="2"/>
      <c r="P164" s="2"/>
      <c r="Q164" s="2"/>
      <c r="R164" s="9"/>
    </row>
    <row r="165" spans="14:18" x14ac:dyDescent="0.2">
      <c r="N165" s="6"/>
      <c r="O165" s="2"/>
      <c r="P165" s="2"/>
      <c r="Q165" s="2"/>
      <c r="R165" s="9"/>
    </row>
    <row r="166" spans="14:18" x14ac:dyDescent="0.2">
      <c r="N166" s="6"/>
      <c r="O166" s="2"/>
      <c r="P166" s="2"/>
      <c r="Q166" s="2"/>
      <c r="R166" s="9"/>
    </row>
    <row r="167" spans="14:18" x14ac:dyDescent="0.2">
      <c r="N167" s="6"/>
      <c r="O167" s="2"/>
      <c r="P167" s="2"/>
      <c r="Q167" s="2"/>
      <c r="R167" s="9"/>
    </row>
    <row r="168" spans="14:18" x14ac:dyDescent="0.2">
      <c r="N168" s="6"/>
      <c r="O168" s="2"/>
      <c r="P168" s="2"/>
      <c r="Q168" s="2"/>
      <c r="R168" s="9"/>
    </row>
    <row r="169" spans="14:18" x14ac:dyDescent="0.2">
      <c r="N169" s="6"/>
      <c r="O169" s="2"/>
      <c r="P169" s="2"/>
      <c r="Q169" s="2"/>
      <c r="R169" s="9"/>
    </row>
    <row r="170" spans="14:18" x14ac:dyDescent="0.2">
      <c r="N170" s="6"/>
      <c r="O170" s="2"/>
      <c r="P170" s="2"/>
      <c r="Q170" s="2"/>
      <c r="R170" s="9"/>
    </row>
    <row r="171" spans="14:18" x14ac:dyDescent="0.2">
      <c r="N171" s="6"/>
      <c r="O171" s="2"/>
      <c r="P171" s="2"/>
      <c r="Q171" s="2"/>
      <c r="R171" s="9"/>
    </row>
    <row r="172" spans="14:18" x14ac:dyDescent="0.2">
      <c r="N172" s="6"/>
      <c r="O172" s="2"/>
      <c r="P172" s="2"/>
      <c r="Q172" s="2"/>
      <c r="R172" s="9"/>
    </row>
    <row r="173" spans="14:18" x14ac:dyDescent="0.2">
      <c r="N173" s="6"/>
      <c r="O173" s="2"/>
      <c r="P173" s="2"/>
      <c r="Q173" s="2"/>
      <c r="R173" s="9"/>
    </row>
    <row r="174" spans="14:18" x14ac:dyDescent="0.2">
      <c r="N174" s="6"/>
      <c r="O174" s="2"/>
      <c r="P174" s="2"/>
      <c r="Q174" s="2"/>
      <c r="R174" s="9"/>
    </row>
    <row r="175" spans="14:18" x14ac:dyDescent="0.2">
      <c r="N175" s="6"/>
      <c r="O175" s="2"/>
      <c r="P175" s="2"/>
      <c r="Q175" s="2"/>
      <c r="R175" s="9"/>
    </row>
    <row r="176" spans="14:18" x14ac:dyDescent="0.2">
      <c r="N176" s="6"/>
      <c r="O176" s="2"/>
      <c r="P176" s="2"/>
      <c r="Q176" s="2"/>
      <c r="R176" s="9"/>
    </row>
    <row r="177" spans="14:18" x14ac:dyDescent="0.2">
      <c r="N177" s="6"/>
      <c r="O177" s="2"/>
      <c r="P177" s="2"/>
      <c r="Q177" s="2"/>
      <c r="R177" s="9"/>
    </row>
    <row r="178" spans="14:18" x14ac:dyDescent="0.2">
      <c r="N178" s="6"/>
      <c r="O178" s="2"/>
      <c r="P178" s="2"/>
      <c r="Q178" s="2"/>
      <c r="R178" s="9"/>
    </row>
    <row r="179" spans="14:18" x14ac:dyDescent="0.2">
      <c r="N179" s="6"/>
      <c r="O179" s="2"/>
      <c r="P179" s="2"/>
      <c r="Q179" s="2"/>
      <c r="R179" s="9"/>
    </row>
    <row r="180" spans="14:18" x14ac:dyDescent="0.2">
      <c r="N180" s="6"/>
      <c r="O180" s="2"/>
      <c r="P180" s="2"/>
      <c r="Q180" s="2"/>
      <c r="R180" s="9"/>
    </row>
    <row r="181" spans="14:18" x14ac:dyDescent="0.2">
      <c r="N181" s="6"/>
      <c r="O181" s="2"/>
      <c r="P181" s="2"/>
      <c r="Q181" s="2"/>
      <c r="R181" s="9"/>
    </row>
    <row r="182" spans="14:18" x14ac:dyDescent="0.2">
      <c r="N182" s="6"/>
      <c r="O182" s="2"/>
      <c r="P182" s="2"/>
      <c r="Q182" s="2"/>
      <c r="R182" s="9"/>
    </row>
    <row r="183" spans="14:18" x14ac:dyDescent="0.2">
      <c r="N183" s="6"/>
      <c r="O183" s="2"/>
      <c r="P183" s="2"/>
      <c r="Q183" s="2"/>
      <c r="R183" s="9"/>
    </row>
    <row r="184" spans="14:18" x14ac:dyDescent="0.2">
      <c r="N184" s="6"/>
      <c r="O184" s="2"/>
      <c r="P184" s="2"/>
      <c r="Q184" s="2"/>
      <c r="R184" s="9"/>
    </row>
    <row r="185" spans="14:18" x14ac:dyDescent="0.2">
      <c r="N185" s="6"/>
      <c r="O185" s="2"/>
      <c r="P185" s="2"/>
      <c r="Q185" s="2"/>
      <c r="R185" s="9"/>
    </row>
    <row r="186" spans="14:18" x14ac:dyDescent="0.2">
      <c r="N186" s="6"/>
      <c r="O186" s="2"/>
      <c r="P186" s="2"/>
      <c r="Q186" s="2"/>
      <c r="R186" s="9"/>
    </row>
    <row r="187" spans="14:18" x14ac:dyDescent="0.2">
      <c r="N187" s="6"/>
      <c r="O187" s="2"/>
      <c r="P187" s="2"/>
      <c r="Q187" s="2"/>
      <c r="R187" s="9"/>
    </row>
    <row r="188" spans="14:18" x14ac:dyDescent="0.2">
      <c r="N188" s="6"/>
      <c r="O188" s="2"/>
      <c r="P188" s="2"/>
      <c r="Q188" s="2"/>
      <c r="R188" s="9"/>
    </row>
    <row r="189" spans="14:18" x14ac:dyDescent="0.2">
      <c r="N189" s="6"/>
      <c r="O189" s="2"/>
      <c r="P189" s="2"/>
      <c r="Q189" s="2"/>
      <c r="R189" s="9"/>
    </row>
    <row r="190" spans="14:18" x14ac:dyDescent="0.2">
      <c r="N190" s="6"/>
      <c r="O190" s="2"/>
      <c r="P190" s="2"/>
      <c r="Q190" s="2"/>
      <c r="R190" s="9"/>
    </row>
    <row r="191" spans="14:18" x14ac:dyDescent="0.2">
      <c r="N191" s="6"/>
      <c r="O191" s="2"/>
      <c r="P191" s="2"/>
      <c r="Q191" s="2"/>
      <c r="R191" s="9"/>
    </row>
    <row r="192" spans="14:18" x14ac:dyDescent="0.2">
      <c r="N192" s="6"/>
      <c r="O192" s="2"/>
      <c r="P192" s="2"/>
      <c r="Q192" s="2"/>
      <c r="R192" s="9"/>
    </row>
    <row r="193" spans="14:18" x14ac:dyDescent="0.2">
      <c r="N193" s="6"/>
      <c r="O193" s="2"/>
      <c r="P193" s="2"/>
      <c r="Q193" s="2"/>
      <c r="R193" s="9"/>
    </row>
    <row r="194" spans="14:18" x14ac:dyDescent="0.2">
      <c r="N194" s="6"/>
      <c r="O194" s="2"/>
      <c r="P194" s="2"/>
      <c r="Q194" s="2"/>
      <c r="R194" s="9"/>
    </row>
    <row r="195" spans="14:18" x14ac:dyDescent="0.2">
      <c r="N195" s="6"/>
      <c r="O195" s="2"/>
      <c r="P195" s="2"/>
      <c r="Q195" s="2"/>
      <c r="R195" s="9"/>
    </row>
    <row r="196" spans="14:18" x14ac:dyDescent="0.2">
      <c r="N196" s="6"/>
      <c r="O196" s="2"/>
      <c r="P196" s="2"/>
      <c r="Q196" s="2"/>
      <c r="R196" s="9"/>
    </row>
    <row r="197" spans="14:18" x14ac:dyDescent="0.2">
      <c r="N197" s="6"/>
      <c r="O197" s="2"/>
      <c r="P197" s="2"/>
      <c r="Q197" s="2"/>
      <c r="R197" s="9"/>
    </row>
    <row r="198" spans="14:18" x14ac:dyDescent="0.2">
      <c r="N198" s="6"/>
      <c r="O198" s="2"/>
      <c r="P198" s="2"/>
      <c r="Q198" s="2"/>
      <c r="R198" s="9"/>
    </row>
    <row r="199" spans="14:18" x14ac:dyDescent="0.2">
      <c r="N199" s="6"/>
      <c r="O199" s="2"/>
      <c r="P199" s="2"/>
      <c r="Q199" s="2"/>
      <c r="R199" s="9"/>
    </row>
    <row r="200" spans="14:18" x14ac:dyDescent="0.2">
      <c r="N200" s="6"/>
      <c r="O200" s="2"/>
      <c r="P200" s="2"/>
      <c r="Q200" s="2"/>
      <c r="R200" s="9"/>
    </row>
    <row r="201" spans="14:18" x14ac:dyDescent="0.2">
      <c r="N201" s="6"/>
      <c r="O201" s="2"/>
      <c r="P201" s="2"/>
      <c r="Q201" s="2"/>
      <c r="R201" s="8"/>
    </row>
    <row r="202" spans="14:18" x14ac:dyDescent="0.2">
      <c r="N202" s="6"/>
      <c r="O202" s="2"/>
      <c r="P202" s="2"/>
      <c r="Q202" s="2"/>
      <c r="R202" s="8"/>
    </row>
    <row r="203" spans="14:18" x14ac:dyDescent="0.2">
      <c r="N203" s="6"/>
      <c r="O203" s="2"/>
      <c r="P203" s="2"/>
      <c r="Q203" s="2"/>
      <c r="R203" s="8"/>
    </row>
    <row r="204" spans="14:18" x14ac:dyDescent="0.2">
      <c r="N204" s="6"/>
      <c r="O204" s="2"/>
      <c r="P204" s="2"/>
      <c r="Q204" s="2"/>
      <c r="R204" s="8"/>
    </row>
    <row r="205" spans="14:18" x14ac:dyDescent="0.2">
      <c r="N205" s="6"/>
      <c r="O205" s="2"/>
      <c r="P205" s="2"/>
      <c r="Q205" s="2"/>
      <c r="R205" s="8"/>
    </row>
    <row r="206" spans="14:18" x14ac:dyDescent="0.2">
      <c r="N206" s="6"/>
      <c r="O206" s="2"/>
      <c r="P206" s="2"/>
      <c r="Q206" s="2"/>
      <c r="R206" s="8"/>
    </row>
    <row r="207" spans="14:18" x14ac:dyDescent="0.2">
      <c r="N207" s="6"/>
      <c r="O207" s="2"/>
      <c r="P207" s="2"/>
      <c r="Q207" s="2"/>
      <c r="R207" s="8"/>
    </row>
    <row r="208" spans="14:18" x14ac:dyDescent="0.2">
      <c r="N208" s="6"/>
      <c r="O208" s="2"/>
      <c r="P208" s="2"/>
      <c r="Q208" s="2"/>
      <c r="R208" s="8"/>
    </row>
    <row r="209" spans="14:18" x14ac:dyDescent="0.2">
      <c r="N209" s="6"/>
      <c r="O209" s="2"/>
      <c r="P209" s="2"/>
      <c r="Q209" s="2"/>
      <c r="R209" s="8"/>
    </row>
    <row r="210" spans="14:18" x14ac:dyDescent="0.2">
      <c r="N210" s="6"/>
      <c r="O210" s="2"/>
      <c r="P210" s="2"/>
      <c r="Q210" s="2"/>
      <c r="R210" s="8"/>
    </row>
    <row r="211" spans="14:18" x14ac:dyDescent="0.2">
      <c r="N211" s="6"/>
      <c r="O211" s="2"/>
      <c r="P211" s="2"/>
      <c r="Q211" s="2"/>
      <c r="R211" s="8"/>
    </row>
    <row r="212" spans="14:18" x14ac:dyDescent="0.2">
      <c r="N212" s="6"/>
      <c r="O212" s="2"/>
      <c r="P212" s="2"/>
      <c r="Q212" s="2"/>
      <c r="R212" s="8"/>
    </row>
    <row r="213" spans="14:18" x14ac:dyDescent="0.2">
      <c r="N213" s="6"/>
      <c r="O213" s="2"/>
      <c r="P213" s="2"/>
      <c r="Q213" s="2"/>
      <c r="R213" s="8"/>
    </row>
    <row r="214" spans="14:18" x14ac:dyDescent="0.2">
      <c r="N214" s="6"/>
      <c r="O214" s="2"/>
      <c r="P214" s="2"/>
      <c r="Q214" s="2"/>
      <c r="R214" s="8"/>
    </row>
    <row r="215" spans="14:18" x14ac:dyDescent="0.2">
      <c r="N215" s="6"/>
      <c r="O215" s="2"/>
      <c r="P215" s="2"/>
      <c r="Q215" s="2"/>
      <c r="R215" s="8"/>
    </row>
    <row r="216" spans="14:18" x14ac:dyDescent="0.2">
      <c r="N216" s="6"/>
      <c r="O216" s="2"/>
      <c r="P216" s="2"/>
      <c r="Q216" s="2"/>
      <c r="R216" s="8"/>
    </row>
    <row r="217" spans="14:18" x14ac:dyDescent="0.2">
      <c r="N217" s="6"/>
      <c r="O217" s="2"/>
      <c r="P217" s="2"/>
      <c r="Q217" s="2"/>
      <c r="R217" s="8"/>
    </row>
    <row r="218" spans="14:18" x14ac:dyDescent="0.2">
      <c r="N218" s="6"/>
      <c r="O218" s="2"/>
      <c r="P218" s="2"/>
      <c r="Q218" s="2"/>
      <c r="R218" s="8"/>
    </row>
    <row r="219" spans="14:18" x14ac:dyDescent="0.2">
      <c r="N219" s="6"/>
      <c r="O219" s="2"/>
      <c r="P219" s="2"/>
      <c r="Q219" s="2"/>
      <c r="R219" s="8"/>
    </row>
    <row r="220" spans="14:18" x14ac:dyDescent="0.2">
      <c r="N220" s="6"/>
      <c r="O220" s="2"/>
      <c r="P220" s="2"/>
      <c r="Q220" s="2"/>
      <c r="R220" s="8"/>
    </row>
    <row r="221" spans="14:18" x14ac:dyDescent="0.2">
      <c r="N221" s="6"/>
      <c r="O221" s="2"/>
      <c r="P221" s="2"/>
      <c r="Q221" s="2"/>
      <c r="R221" s="8"/>
    </row>
    <row r="222" spans="14:18" x14ac:dyDescent="0.2">
      <c r="N222" s="6"/>
      <c r="O222" s="2"/>
      <c r="P222" s="2"/>
      <c r="Q222" s="2"/>
      <c r="R222" s="8"/>
    </row>
    <row r="223" spans="14:18" x14ac:dyDescent="0.2">
      <c r="N223" s="6"/>
      <c r="O223" s="2"/>
      <c r="P223" s="2"/>
      <c r="Q223" s="2"/>
      <c r="R223" s="8"/>
    </row>
    <row r="224" spans="14:18" x14ac:dyDescent="0.2">
      <c r="N224" s="6"/>
      <c r="O224" s="2"/>
      <c r="P224" s="2"/>
      <c r="Q224" s="2"/>
      <c r="R224" s="8"/>
    </row>
    <row r="225" spans="14:18" x14ac:dyDescent="0.2">
      <c r="N225" s="6"/>
      <c r="O225" s="2"/>
      <c r="P225" s="2"/>
      <c r="Q225" s="2"/>
      <c r="R225" s="8"/>
    </row>
    <row r="226" spans="14:18" x14ac:dyDescent="0.2">
      <c r="N226" s="6"/>
      <c r="O226" s="2"/>
      <c r="P226" s="2"/>
      <c r="Q226" s="2"/>
      <c r="R226" s="8"/>
    </row>
    <row r="227" spans="14:18" x14ac:dyDescent="0.2">
      <c r="N227" s="6"/>
      <c r="O227" s="2"/>
      <c r="P227" s="2"/>
      <c r="Q227" s="2"/>
      <c r="R227" s="8"/>
    </row>
    <row r="228" spans="14:18" x14ac:dyDescent="0.2">
      <c r="N228" s="6"/>
      <c r="O228" s="2"/>
      <c r="P228" s="2"/>
      <c r="Q228" s="2"/>
      <c r="R228" s="8"/>
    </row>
    <row r="229" spans="14:18" x14ac:dyDescent="0.2">
      <c r="N229" s="6"/>
      <c r="O229" s="2"/>
      <c r="P229" s="2"/>
      <c r="Q229" s="2"/>
      <c r="R229" s="8"/>
    </row>
    <row r="230" spans="14:18" x14ac:dyDescent="0.2">
      <c r="N230" s="6"/>
      <c r="O230" s="2"/>
      <c r="P230" s="2"/>
      <c r="Q230" s="2"/>
      <c r="R230" s="8"/>
    </row>
    <row r="231" spans="14:18" x14ac:dyDescent="0.2">
      <c r="N231" s="6"/>
      <c r="O231" s="2"/>
      <c r="P231" s="2"/>
      <c r="Q231" s="2"/>
      <c r="R231" s="8"/>
    </row>
    <row r="232" spans="14:18" x14ac:dyDescent="0.2">
      <c r="N232" s="6"/>
      <c r="O232" s="2"/>
      <c r="P232" s="2"/>
      <c r="Q232" s="2"/>
      <c r="R232" s="8"/>
    </row>
    <row r="233" spans="14:18" x14ac:dyDescent="0.2">
      <c r="N233" s="6"/>
      <c r="O233" s="2"/>
      <c r="P233" s="2"/>
      <c r="Q233" s="2"/>
      <c r="R233" s="8"/>
    </row>
    <row r="234" spans="14:18" x14ac:dyDescent="0.2">
      <c r="N234" s="6"/>
      <c r="O234" s="2"/>
      <c r="P234" s="2"/>
      <c r="Q234" s="2"/>
      <c r="R234" s="8"/>
    </row>
    <row r="235" spans="14:18" x14ac:dyDescent="0.2">
      <c r="N235" s="6"/>
      <c r="O235" s="2"/>
      <c r="P235" s="2"/>
      <c r="Q235" s="2"/>
      <c r="R235" s="8"/>
    </row>
    <row r="236" spans="14:18" x14ac:dyDescent="0.2">
      <c r="N236" s="6"/>
      <c r="O236" s="2"/>
      <c r="P236" s="2"/>
      <c r="Q236" s="2"/>
      <c r="R236" s="8"/>
    </row>
    <row r="237" spans="14:18" x14ac:dyDescent="0.2">
      <c r="N237" s="6"/>
      <c r="O237" s="2"/>
      <c r="P237" s="2"/>
      <c r="Q237" s="2"/>
      <c r="R237" s="8"/>
    </row>
    <row r="238" spans="14:18" x14ac:dyDescent="0.2">
      <c r="N238" s="6"/>
      <c r="O238" s="2"/>
      <c r="P238" s="2"/>
      <c r="Q238" s="2"/>
      <c r="R238" s="8"/>
    </row>
    <row r="239" spans="14:18" x14ac:dyDescent="0.2">
      <c r="N239" s="6"/>
      <c r="O239" s="2"/>
      <c r="P239" s="2"/>
      <c r="Q239" s="2"/>
      <c r="R239" s="8"/>
    </row>
    <row r="240" spans="14:18" x14ac:dyDescent="0.2">
      <c r="N240" s="6"/>
      <c r="O240" s="2"/>
      <c r="P240" s="2"/>
      <c r="Q240" s="2"/>
      <c r="R240" s="8"/>
    </row>
    <row r="241" spans="14:18" x14ac:dyDescent="0.2">
      <c r="N241" s="6"/>
      <c r="O241" s="2"/>
      <c r="P241" s="2"/>
      <c r="Q241" s="2"/>
      <c r="R241" s="8"/>
    </row>
    <row r="242" spans="14:18" x14ac:dyDescent="0.2">
      <c r="N242" s="6"/>
      <c r="O242" s="2"/>
      <c r="P242" s="2"/>
      <c r="Q242" s="2"/>
      <c r="R242" s="8"/>
    </row>
    <row r="243" spans="14:18" x14ac:dyDescent="0.2">
      <c r="N243" s="6"/>
      <c r="O243" s="2"/>
      <c r="P243" s="2"/>
      <c r="Q243" s="2"/>
      <c r="R243" s="8"/>
    </row>
    <row r="244" spans="14:18" x14ac:dyDescent="0.2">
      <c r="N244" s="6"/>
      <c r="O244" s="2"/>
      <c r="P244" s="2"/>
      <c r="Q244" s="2"/>
      <c r="R244" s="8"/>
    </row>
    <row r="245" spans="14:18" x14ac:dyDescent="0.2">
      <c r="N245" s="6"/>
      <c r="O245" s="2"/>
      <c r="P245" s="2"/>
      <c r="Q245" s="2"/>
      <c r="R245" s="8"/>
    </row>
    <row r="246" spans="14:18" x14ac:dyDescent="0.2">
      <c r="N246" s="6"/>
      <c r="O246" s="2"/>
      <c r="P246" s="2"/>
      <c r="Q246" s="2"/>
      <c r="R246" s="8"/>
    </row>
    <row r="247" spans="14:18" x14ac:dyDescent="0.2">
      <c r="N247" s="6"/>
      <c r="O247" s="2"/>
      <c r="P247" s="2"/>
      <c r="Q247" s="2"/>
      <c r="R247" s="8"/>
    </row>
    <row r="248" spans="14:18" x14ac:dyDescent="0.2">
      <c r="N248" s="6"/>
      <c r="O248" s="2"/>
      <c r="P248" s="2"/>
      <c r="Q248" s="2"/>
      <c r="R248" s="8"/>
    </row>
    <row r="249" spans="14:18" x14ac:dyDescent="0.2">
      <c r="N249" s="6"/>
      <c r="O249" s="2"/>
      <c r="P249" s="2"/>
      <c r="Q249" s="2"/>
      <c r="R249" s="8"/>
    </row>
    <row r="250" spans="14:18" x14ac:dyDescent="0.2">
      <c r="N250" s="6"/>
      <c r="O250" s="2"/>
      <c r="P250" s="2"/>
      <c r="Q250" s="2"/>
      <c r="R250" s="8"/>
    </row>
    <row r="251" spans="14:18" x14ac:dyDescent="0.2">
      <c r="N251" s="6"/>
      <c r="O251" s="2"/>
      <c r="P251" s="2"/>
      <c r="Q251" s="2"/>
      <c r="R251" s="8"/>
    </row>
    <row r="252" spans="14:18" x14ac:dyDescent="0.2">
      <c r="N252" s="6"/>
      <c r="O252" s="2"/>
      <c r="P252" s="2"/>
      <c r="Q252" s="2"/>
      <c r="R252" s="8"/>
    </row>
    <row r="253" spans="14:18" x14ac:dyDescent="0.2">
      <c r="N253" s="6"/>
      <c r="O253" s="2"/>
      <c r="P253" s="2"/>
      <c r="Q253" s="2"/>
      <c r="R253" s="8"/>
    </row>
    <row r="254" spans="14:18" x14ac:dyDescent="0.2">
      <c r="N254" s="6"/>
      <c r="O254" s="2"/>
      <c r="P254" s="2"/>
      <c r="Q254" s="2"/>
      <c r="R254" s="8"/>
    </row>
    <row r="255" spans="14:18" x14ac:dyDescent="0.2">
      <c r="N255" s="6"/>
      <c r="O255" s="2"/>
      <c r="P255" s="2"/>
      <c r="Q255" s="2"/>
      <c r="R255" s="8"/>
    </row>
    <row r="256" spans="14:18" x14ac:dyDescent="0.2">
      <c r="N256" s="6"/>
      <c r="O256" s="2"/>
      <c r="P256" s="2"/>
      <c r="Q256" s="2"/>
      <c r="R256" s="8"/>
    </row>
    <row r="257" spans="14:18" x14ac:dyDescent="0.2">
      <c r="N257" s="6"/>
      <c r="O257" s="2"/>
      <c r="P257" s="2"/>
      <c r="Q257" s="2"/>
      <c r="R257" s="8"/>
    </row>
    <row r="258" spans="14:18" x14ac:dyDescent="0.2">
      <c r="N258" s="6"/>
      <c r="O258" s="2"/>
      <c r="P258" s="2"/>
      <c r="Q258" s="2"/>
      <c r="R258" s="8"/>
    </row>
    <row r="259" spans="14:18" x14ac:dyDescent="0.2">
      <c r="N259" s="6"/>
      <c r="O259" s="2"/>
      <c r="P259" s="2"/>
      <c r="Q259" s="2"/>
      <c r="R259" s="8"/>
    </row>
    <row r="260" spans="14:18" x14ac:dyDescent="0.2">
      <c r="N260" s="6"/>
      <c r="O260" s="2"/>
      <c r="P260" s="2"/>
      <c r="Q260" s="2"/>
      <c r="R260" s="8"/>
    </row>
    <row r="261" spans="14:18" x14ac:dyDescent="0.2">
      <c r="N261" s="6"/>
      <c r="O261" s="2"/>
      <c r="P261" s="2"/>
      <c r="Q261" s="2"/>
      <c r="R261" s="8"/>
    </row>
    <row r="262" spans="14:18" x14ac:dyDescent="0.2">
      <c r="N262" s="6"/>
      <c r="O262" s="2"/>
      <c r="P262" s="2"/>
      <c r="Q262" s="2"/>
      <c r="R262" s="8"/>
    </row>
    <row r="263" spans="14:18" x14ac:dyDescent="0.2">
      <c r="N263" s="6"/>
      <c r="O263" s="2"/>
      <c r="P263" s="2"/>
      <c r="Q263" s="2"/>
      <c r="R263" s="8"/>
    </row>
    <row r="264" spans="14:18" x14ac:dyDescent="0.2">
      <c r="N264" s="6"/>
      <c r="O264" s="2"/>
      <c r="P264" s="2"/>
      <c r="Q264" s="2"/>
      <c r="R264" s="8"/>
    </row>
    <row r="265" spans="14:18" x14ac:dyDescent="0.2">
      <c r="N265" s="6"/>
      <c r="O265" s="2"/>
      <c r="P265" s="2"/>
      <c r="Q265" s="2"/>
      <c r="R265" s="8"/>
    </row>
    <row r="266" spans="14:18" x14ac:dyDescent="0.2">
      <c r="N266" s="6"/>
      <c r="O266" s="2"/>
      <c r="P266" s="2"/>
      <c r="Q266" s="2"/>
      <c r="R266" s="8"/>
    </row>
    <row r="267" spans="14:18" x14ac:dyDescent="0.2">
      <c r="N267" s="6"/>
      <c r="O267" s="2"/>
      <c r="P267" s="2"/>
      <c r="Q267" s="2"/>
      <c r="R267" s="8"/>
    </row>
    <row r="268" spans="14:18" x14ac:dyDescent="0.2">
      <c r="N268" s="6"/>
      <c r="O268" s="2"/>
      <c r="P268" s="2"/>
      <c r="Q268" s="2"/>
      <c r="R268" s="8"/>
    </row>
    <row r="269" spans="14:18" x14ac:dyDescent="0.2">
      <c r="N269" s="6"/>
      <c r="O269" s="2"/>
      <c r="P269" s="2"/>
      <c r="Q269" s="2"/>
      <c r="R269" s="8"/>
    </row>
    <row r="270" spans="14:18" x14ac:dyDescent="0.2">
      <c r="N270" s="6"/>
      <c r="O270" s="2"/>
      <c r="P270" s="2"/>
      <c r="Q270" s="2"/>
      <c r="R270" s="8"/>
    </row>
    <row r="271" spans="14:18" x14ac:dyDescent="0.2">
      <c r="N271" s="6"/>
      <c r="O271" s="2"/>
      <c r="P271" s="2"/>
      <c r="Q271" s="2"/>
      <c r="R271" s="8"/>
    </row>
    <row r="272" spans="14:18" x14ac:dyDescent="0.2">
      <c r="N272" s="6"/>
      <c r="O272" s="2"/>
      <c r="P272" s="2"/>
      <c r="Q272" s="2"/>
      <c r="R272" s="8"/>
    </row>
    <row r="273" spans="14:18" x14ac:dyDescent="0.2">
      <c r="N273" s="6"/>
      <c r="O273" s="2"/>
      <c r="P273" s="2"/>
      <c r="Q273" s="2"/>
      <c r="R273" s="8"/>
    </row>
    <row r="274" spans="14:18" x14ac:dyDescent="0.2">
      <c r="N274" s="6"/>
      <c r="O274" s="2"/>
      <c r="P274" s="2"/>
      <c r="Q274" s="2"/>
      <c r="R274" s="8"/>
    </row>
    <row r="275" spans="14:18" x14ac:dyDescent="0.2">
      <c r="N275" s="6"/>
      <c r="O275" s="2"/>
      <c r="P275" s="2"/>
      <c r="Q275" s="2"/>
      <c r="R275" s="8"/>
    </row>
    <row r="276" spans="14:18" x14ac:dyDescent="0.2">
      <c r="N276" s="6"/>
      <c r="O276" s="2"/>
      <c r="P276" s="2"/>
      <c r="Q276" s="2"/>
      <c r="R276" s="8"/>
    </row>
    <row r="277" spans="14:18" x14ac:dyDescent="0.2">
      <c r="N277" s="6"/>
      <c r="O277" s="2"/>
      <c r="P277" s="2"/>
      <c r="Q277" s="2"/>
      <c r="R277" s="8"/>
    </row>
    <row r="278" spans="14:18" x14ac:dyDescent="0.2">
      <c r="N278" s="6"/>
      <c r="O278" s="2"/>
      <c r="P278" s="2"/>
      <c r="Q278" s="2"/>
      <c r="R278" s="8"/>
    </row>
    <row r="279" spans="14:18" x14ac:dyDescent="0.2">
      <c r="N279" s="6"/>
      <c r="O279" s="2"/>
      <c r="P279" s="2"/>
      <c r="Q279" s="2"/>
      <c r="R279" s="8"/>
    </row>
    <row r="280" spans="14:18" x14ac:dyDescent="0.2">
      <c r="N280" s="6"/>
      <c r="O280" s="2"/>
      <c r="P280" s="2"/>
      <c r="Q280" s="2"/>
      <c r="R280" s="8"/>
    </row>
    <row r="281" spans="14:18" x14ac:dyDescent="0.2">
      <c r="N281" s="6"/>
      <c r="O281" s="2"/>
      <c r="P281" s="2"/>
      <c r="Q281" s="2"/>
      <c r="R281" s="8"/>
    </row>
    <row r="282" spans="14:18" x14ac:dyDescent="0.2">
      <c r="N282" s="6"/>
      <c r="O282" s="2"/>
      <c r="P282" s="2"/>
      <c r="Q282" s="2"/>
      <c r="R282" s="8"/>
    </row>
    <row r="283" spans="14:18" x14ac:dyDescent="0.2">
      <c r="N283" s="6"/>
      <c r="O283" s="2"/>
      <c r="P283" s="2"/>
      <c r="Q283" s="2"/>
      <c r="R283" s="8"/>
    </row>
    <row r="284" spans="14:18" x14ac:dyDescent="0.2">
      <c r="N284" s="6"/>
      <c r="O284" s="2"/>
      <c r="P284" s="2"/>
      <c r="Q284" s="2"/>
      <c r="R284" s="8"/>
    </row>
    <row r="285" spans="14:18" x14ac:dyDescent="0.2">
      <c r="N285" s="6"/>
      <c r="O285" s="2"/>
      <c r="P285" s="2"/>
      <c r="Q285" s="2"/>
      <c r="R285" s="8"/>
    </row>
    <row r="286" spans="14:18" x14ac:dyDescent="0.2">
      <c r="N286" s="6"/>
      <c r="O286" s="2"/>
      <c r="P286" s="2"/>
      <c r="Q286" s="2"/>
      <c r="R286" s="8"/>
    </row>
    <row r="287" spans="14:18" x14ac:dyDescent="0.2">
      <c r="N287" s="6"/>
      <c r="O287" s="2"/>
      <c r="P287" s="2"/>
      <c r="Q287" s="2"/>
      <c r="R287" s="8"/>
    </row>
    <row r="288" spans="14:18" x14ac:dyDescent="0.2">
      <c r="N288" s="6"/>
      <c r="O288" s="2"/>
      <c r="P288" s="2"/>
      <c r="Q288" s="2"/>
      <c r="R288" s="8"/>
    </row>
    <row r="289" spans="14:18" x14ac:dyDescent="0.2">
      <c r="N289" s="6"/>
      <c r="O289" s="2"/>
      <c r="P289" s="2"/>
      <c r="Q289" s="2"/>
      <c r="R289" s="8"/>
    </row>
    <row r="290" spans="14:18" x14ac:dyDescent="0.2">
      <c r="N290" s="6"/>
      <c r="O290" s="2"/>
      <c r="P290" s="2"/>
      <c r="Q290" s="2"/>
      <c r="R290" s="8"/>
    </row>
    <row r="291" spans="14:18" x14ac:dyDescent="0.2">
      <c r="N291" s="6"/>
      <c r="O291" s="2"/>
      <c r="P291" s="2"/>
      <c r="Q291" s="2"/>
      <c r="R291" s="8"/>
    </row>
    <row r="292" spans="14:18" x14ac:dyDescent="0.2">
      <c r="N292" s="6"/>
      <c r="O292" s="2"/>
      <c r="P292" s="2"/>
      <c r="Q292" s="2"/>
      <c r="R292" s="8"/>
    </row>
    <row r="293" spans="14:18" x14ac:dyDescent="0.2">
      <c r="N293" s="6"/>
      <c r="O293" s="2"/>
      <c r="P293" s="2"/>
      <c r="Q293" s="2"/>
      <c r="R293" s="8"/>
    </row>
    <row r="294" spans="14:18" x14ac:dyDescent="0.2">
      <c r="N294" s="6"/>
      <c r="O294" s="2"/>
      <c r="P294" s="2"/>
      <c r="Q294" s="2"/>
      <c r="R294" s="8"/>
    </row>
    <row r="295" spans="14:18" x14ac:dyDescent="0.2">
      <c r="N295" s="6"/>
      <c r="O295" s="2"/>
      <c r="P295" s="2"/>
      <c r="Q295" s="2"/>
      <c r="R295" s="8"/>
    </row>
    <row r="296" spans="14:18" x14ac:dyDescent="0.2">
      <c r="N296" s="6"/>
      <c r="O296" s="2"/>
      <c r="P296" s="2"/>
      <c r="Q296" s="2"/>
      <c r="R296" s="8"/>
    </row>
    <row r="297" spans="14:18" x14ac:dyDescent="0.2">
      <c r="N297" s="6"/>
      <c r="O297" s="2"/>
      <c r="P297" s="2"/>
      <c r="Q297" s="2"/>
      <c r="R297" s="8"/>
    </row>
    <row r="298" spans="14:18" x14ac:dyDescent="0.2">
      <c r="N298" s="6"/>
      <c r="O298" s="2"/>
      <c r="P298" s="2"/>
      <c r="Q298" s="2"/>
      <c r="R298" s="8"/>
    </row>
    <row r="299" spans="14:18" x14ac:dyDescent="0.2">
      <c r="N299" s="6"/>
      <c r="O299" s="2"/>
      <c r="P299" s="2"/>
      <c r="Q299" s="2"/>
      <c r="R299" s="8"/>
    </row>
    <row r="300" spans="14:18" x14ac:dyDescent="0.2">
      <c r="N300" s="6"/>
      <c r="O300" s="2"/>
      <c r="P300" s="2"/>
      <c r="Q300" s="2"/>
      <c r="R300" s="8"/>
    </row>
    <row r="301" spans="14:18" x14ac:dyDescent="0.2">
      <c r="N301" s="6"/>
      <c r="O301" s="2"/>
      <c r="P301" s="2"/>
      <c r="Q301" s="2"/>
      <c r="R301" s="8"/>
    </row>
    <row r="302" spans="14:18" x14ac:dyDescent="0.2">
      <c r="N302" s="6"/>
      <c r="O302" s="2"/>
      <c r="P302" s="2"/>
      <c r="Q302" s="2"/>
      <c r="R302" s="8"/>
    </row>
    <row r="303" spans="14:18" x14ac:dyDescent="0.2">
      <c r="N303" s="6"/>
      <c r="O303" s="2"/>
      <c r="P303" s="2"/>
      <c r="Q303" s="2"/>
      <c r="R303" s="8"/>
    </row>
    <row r="304" spans="14:18" x14ac:dyDescent="0.2">
      <c r="N304" s="6"/>
      <c r="O304" s="2"/>
      <c r="P304" s="2"/>
      <c r="Q304" s="2"/>
      <c r="R304" s="8"/>
    </row>
    <row r="305" spans="14:18" x14ac:dyDescent="0.2">
      <c r="N305" s="6"/>
      <c r="O305" s="2"/>
      <c r="P305" s="2"/>
      <c r="Q305" s="2"/>
      <c r="R305" s="8"/>
    </row>
    <row r="306" spans="14:18" x14ac:dyDescent="0.2">
      <c r="N306" s="6"/>
      <c r="O306" s="2"/>
      <c r="P306" s="2"/>
      <c r="Q306" s="2"/>
      <c r="R306" s="8"/>
    </row>
    <row r="307" spans="14:18" x14ac:dyDescent="0.2">
      <c r="N307" s="6"/>
      <c r="O307" s="2"/>
      <c r="P307" s="2"/>
      <c r="Q307" s="2"/>
      <c r="R307" s="8"/>
    </row>
    <row r="308" spans="14:18" x14ac:dyDescent="0.2">
      <c r="N308" s="6"/>
      <c r="O308" s="2"/>
      <c r="P308" s="2"/>
      <c r="Q308" s="2"/>
      <c r="R308" s="8"/>
    </row>
    <row r="309" spans="14:18" x14ac:dyDescent="0.2">
      <c r="N309" s="6"/>
      <c r="O309" s="2"/>
      <c r="P309" s="2"/>
      <c r="Q309" s="2"/>
      <c r="R309" s="8"/>
    </row>
    <row r="310" spans="14:18" x14ac:dyDescent="0.2">
      <c r="N310" s="6"/>
      <c r="O310" s="2"/>
      <c r="P310" s="2"/>
      <c r="Q310" s="2"/>
      <c r="R310" s="8"/>
    </row>
    <row r="311" spans="14:18" x14ac:dyDescent="0.2">
      <c r="N311" s="6"/>
      <c r="O311" s="2"/>
      <c r="P311" s="2"/>
      <c r="Q311" s="2"/>
      <c r="R311" s="8"/>
    </row>
    <row r="312" spans="14:18" x14ac:dyDescent="0.2">
      <c r="N312" s="6"/>
      <c r="O312" s="2"/>
      <c r="P312" s="2"/>
      <c r="Q312" s="2"/>
      <c r="R312" s="8"/>
    </row>
    <row r="313" spans="14:18" x14ac:dyDescent="0.2">
      <c r="N313" s="6"/>
      <c r="O313" s="2"/>
      <c r="P313" s="2"/>
      <c r="Q313" s="2"/>
      <c r="R313" s="8"/>
    </row>
    <row r="314" spans="14:18" x14ac:dyDescent="0.2">
      <c r="N314" s="6"/>
      <c r="O314" s="2"/>
      <c r="P314" s="2"/>
      <c r="Q314" s="2"/>
      <c r="R314" s="8"/>
    </row>
    <row r="315" spans="14:18" x14ac:dyDescent="0.2">
      <c r="N315" s="6"/>
      <c r="O315" s="2"/>
      <c r="P315" s="2"/>
      <c r="Q315" s="2"/>
      <c r="R315" s="8"/>
    </row>
    <row r="316" spans="14:18" x14ac:dyDescent="0.2">
      <c r="N316" s="6"/>
      <c r="O316" s="2"/>
      <c r="P316" s="2"/>
      <c r="Q316" s="2"/>
      <c r="R316" s="8"/>
    </row>
    <row r="317" spans="14:18" x14ac:dyDescent="0.2">
      <c r="N317" s="6"/>
      <c r="O317" s="2"/>
      <c r="P317" s="2"/>
      <c r="Q317" s="2"/>
      <c r="R317" s="8"/>
    </row>
    <row r="318" spans="14:18" x14ac:dyDescent="0.2">
      <c r="N318" s="6"/>
      <c r="O318" s="2"/>
      <c r="P318" s="2"/>
      <c r="Q318" s="2"/>
      <c r="R318" s="8"/>
    </row>
    <row r="319" spans="14:18" x14ac:dyDescent="0.2">
      <c r="N319" s="6"/>
      <c r="O319" s="2"/>
      <c r="P319" s="2"/>
      <c r="Q319" s="2"/>
      <c r="R319" s="8"/>
    </row>
    <row r="320" spans="14:18" x14ac:dyDescent="0.2">
      <c r="N320" s="6"/>
      <c r="O320" s="2"/>
      <c r="P320" s="2"/>
      <c r="Q320" s="2"/>
      <c r="R320" s="8"/>
    </row>
    <row r="321" spans="14:18" x14ac:dyDescent="0.2">
      <c r="N321" s="6"/>
      <c r="O321" s="2"/>
      <c r="P321" s="2"/>
      <c r="Q321" s="2"/>
      <c r="R321" s="8"/>
    </row>
    <row r="322" spans="14:18" x14ac:dyDescent="0.2">
      <c r="N322" s="6"/>
      <c r="O322" s="2"/>
      <c r="P322" s="2"/>
      <c r="Q322" s="2"/>
      <c r="R322" s="8"/>
    </row>
    <row r="323" spans="14:18" x14ac:dyDescent="0.2">
      <c r="N323" s="6"/>
      <c r="O323" s="2"/>
      <c r="P323" s="2"/>
      <c r="Q323" s="2"/>
      <c r="R323" s="8"/>
    </row>
    <row r="324" spans="14:18" x14ac:dyDescent="0.2">
      <c r="N324" s="6"/>
      <c r="O324" s="2"/>
      <c r="P324" s="2"/>
      <c r="Q324" s="2"/>
      <c r="R324" s="8"/>
    </row>
    <row r="325" spans="14:18" x14ac:dyDescent="0.2">
      <c r="N325" s="6"/>
      <c r="O325" s="2"/>
      <c r="P325" s="2"/>
      <c r="Q325" s="2"/>
      <c r="R325" s="8"/>
    </row>
    <row r="326" spans="14:18" x14ac:dyDescent="0.2">
      <c r="N326" s="6"/>
      <c r="O326" s="2"/>
      <c r="P326" s="2"/>
      <c r="Q326" s="2"/>
      <c r="R326" s="8"/>
    </row>
    <row r="327" spans="14:18" x14ac:dyDescent="0.2">
      <c r="N327" s="6"/>
      <c r="O327" s="2"/>
      <c r="P327" s="2"/>
      <c r="Q327" s="2"/>
      <c r="R327" s="8"/>
    </row>
    <row r="328" spans="14:18" x14ac:dyDescent="0.2">
      <c r="N328" s="6"/>
      <c r="O328" s="2"/>
      <c r="P328" s="2"/>
      <c r="Q328" s="2"/>
      <c r="R328" s="8"/>
    </row>
    <row r="329" spans="14:18" x14ac:dyDescent="0.2">
      <c r="N329" s="6"/>
      <c r="O329" s="2"/>
      <c r="P329" s="2"/>
      <c r="Q329" s="2"/>
      <c r="R329" s="8"/>
    </row>
    <row r="330" spans="14:18" x14ac:dyDescent="0.2">
      <c r="N330" s="6"/>
      <c r="O330" s="2"/>
      <c r="P330" s="2"/>
      <c r="Q330" s="2"/>
      <c r="R330" s="8"/>
    </row>
    <row r="331" spans="14:18" x14ac:dyDescent="0.2">
      <c r="N331" s="6"/>
      <c r="O331" s="2"/>
      <c r="P331" s="2"/>
      <c r="Q331" s="2"/>
      <c r="R331" s="8"/>
    </row>
    <row r="332" spans="14:18" x14ac:dyDescent="0.2">
      <c r="N332" s="6"/>
      <c r="O332" s="2"/>
      <c r="P332" s="2"/>
      <c r="Q332" s="2"/>
      <c r="R332" s="8"/>
    </row>
    <row r="333" spans="14:18" x14ac:dyDescent="0.2">
      <c r="N333" s="6"/>
      <c r="O333" s="2"/>
      <c r="P333" s="2"/>
      <c r="Q333" s="2"/>
      <c r="R333" s="8"/>
    </row>
    <row r="334" spans="14:18" x14ac:dyDescent="0.2">
      <c r="N334" s="6"/>
      <c r="O334" s="2"/>
      <c r="P334" s="2"/>
      <c r="Q334" s="2"/>
      <c r="R334" s="8"/>
    </row>
    <row r="335" spans="14:18" x14ac:dyDescent="0.2">
      <c r="N335" s="6"/>
      <c r="O335" s="2"/>
      <c r="P335" s="2"/>
      <c r="Q335" s="2"/>
      <c r="R335" s="8"/>
    </row>
    <row r="336" spans="14:18" x14ac:dyDescent="0.2">
      <c r="N336" s="6"/>
      <c r="O336" s="2"/>
      <c r="P336" s="2"/>
      <c r="Q336" s="2"/>
      <c r="R336" s="8"/>
    </row>
    <row r="337" spans="14:18" x14ac:dyDescent="0.2">
      <c r="N337" s="6"/>
      <c r="O337" s="2"/>
      <c r="P337" s="2"/>
      <c r="Q337" s="2"/>
      <c r="R337" s="8"/>
    </row>
    <row r="338" spans="14:18" x14ac:dyDescent="0.2">
      <c r="N338" s="6"/>
      <c r="O338" s="2"/>
      <c r="P338" s="2"/>
      <c r="Q338" s="2"/>
      <c r="R338" s="8"/>
    </row>
    <row r="339" spans="14:18" x14ac:dyDescent="0.2">
      <c r="N339" s="6"/>
      <c r="O339" s="2"/>
      <c r="P339" s="2"/>
      <c r="Q339" s="2"/>
      <c r="R339" s="8"/>
    </row>
    <row r="340" spans="14:18" x14ac:dyDescent="0.2">
      <c r="N340" s="6"/>
      <c r="O340" s="2"/>
      <c r="P340" s="2"/>
      <c r="Q340" s="2"/>
      <c r="R340" s="8"/>
    </row>
    <row r="341" spans="14:18" x14ac:dyDescent="0.2">
      <c r="N341" s="6"/>
      <c r="O341" s="2"/>
      <c r="P341" s="2"/>
      <c r="Q341" s="2"/>
      <c r="R341" s="8"/>
    </row>
    <row r="342" spans="14:18" x14ac:dyDescent="0.2">
      <c r="N342" s="6"/>
      <c r="O342" s="2"/>
      <c r="P342" s="2"/>
      <c r="Q342" s="2"/>
      <c r="R342" s="8"/>
    </row>
    <row r="343" spans="14:18" x14ac:dyDescent="0.2">
      <c r="N343" s="6"/>
      <c r="O343" s="2"/>
      <c r="P343" s="2"/>
      <c r="Q343" s="2"/>
      <c r="R343" s="8"/>
    </row>
    <row r="344" spans="14:18" x14ac:dyDescent="0.2">
      <c r="N344" s="6"/>
      <c r="O344" s="2"/>
      <c r="P344" s="2"/>
      <c r="Q344" s="2"/>
      <c r="R344" s="8"/>
    </row>
    <row r="345" spans="14:18" x14ac:dyDescent="0.2">
      <c r="N345" s="6"/>
      <c r="O345" s="2"/>
      <c r="P345" s="2"/>
      <c r="Q345" s="2"/>
      <c r="R345" s="8"/>
    </row>
    <row r="346" spans="14:18" x14ac:dyDescent="0.2">
      <c r="N346" s="6"/>
      <c r="O346" s="2"/>
      <c r="P346" s="2"/>
      <c r="Q346" s="2"/>
      <c r="R346" s="8"/>
    </row>
    <row r="347" spans="14:18" x14ac:dyDescent="0.2">
      <c r="N347" s="6"/>
      <c r="O347" s="2"/>
      <c r="P347" s="2"/>
      <c r="Q347" s="2"/>
      <c r="R347" s="8"/>
    </row>
    <row r="348" spans="14:18" x14ac:dyDescent="0.2">
      <c r="N348" s="6"/>
      <c r="O348" s="2"/>
      <c r="P348" s="2"/>
      <c r="Q348" s="2"/>
      <c r="R348" s="8"/>
    </row>
    <row r="349" spans="14:18" x14ac:dyDescent="0.2">
      <c r="N349" s="6"/>
      <c r="O349" s="2"/>
      <c r="P349" s="2"/>
      <c r="Q349" s="2"/>
      <c r="R349" s="8"/>
    </row>
    <row r="350" spans="14:18" x14ac:dyDescent="0.2">
      <c r="N350" s="6"/>
      <c r="O350" s="2"/>
      <c r="P350" s="2"/>
      <c r="Q350" s="2"/>
      <c r="R350" s="8"/>
    </row>
    <row r="351" spans="14:18" x14ac:dyDescent="0.2">
      <c r="N351" s="6"/>
      <c r="O351" s="2"/>
      <c r="P351" s="2"/>
      <c r="Q351" s="2"/>
      <c r="R351" s="8"/>
    </row>
    <row r="352" spans="14:18" x14ac:dyDescent="0.2">
      <c r="N352" s="6"/>
      <c r="O352" s="2"/>
      <c r="P352" s="2"/>
      <c r="Q352" s="2"/>
      <c r="R352" s="8"/>
    </row>
    <row r="353" spans="14:18" x14ac:dyDescent="0.2">
      <c r="N353" s="6"/>
      <c r="O353" s="2"/>
      <c r="P353" s="2"/>
      <c r="Q353" s="2"/>
      <c r="R353" s="8"/>
    </row>
    <row r="354" spans="14:18" x14ac:dyDescent="0.2">
      <c r="N354" s="6"/>
      <c r="O354" s="2"/>
      <c r="P354" s="2"/>
      <c r="Q354" s="2"/>
      <c r="R354" s="8"/>
    </row>
    <row r="355" spans="14:18" x14ac:dyDescent="0.2">
      <c r="N355" s="6"/>
      <c r="O355" s="2"/>
      <c r="P355" s="2"/>
      <c r="Q355" s="2"/>
      <c r="R355" s="8"/>
    </row>
    <row r="356" spans="14:18" x14ac:dyDescent="0.2">
      <c r="N356" s="6"/>
      <c r="O356" s="2"/>
      <c r="P356" s="2"/>
      <c r="Q356" s="2"/>
      <c r="R356" s="8"/>
    </row>
    <row r="357" spans="14:18" x14ac:dyDescent="0.2">
      <c r="N357" s="6"/>
      <c r="O357" s="2"/>
      <c r="P357" s="2"/>
      <c r="Q357" s="2"/>
      <c r="R357" s="8"/>
    </row>
    <row r="358" spans="14:18" x14ac:dyDescent="0.2">
      <c r="N358" s="6"/>
      <c r="O358" s="2"/>
      <c r="P358" s="2"/>
      <c r="Q358" s="2"/>
      <c r="R358" s="8"/>
    </row>
    <row r="359" spans="14:18" x14ac:dyDescent="0.2">
      <c r="N359" s="6"/>
      <c r="O359" s="2"/>
      <c r="P359" s="2"/>
      <c r="Q359" s="2"/>
      <c r="R359" s="8"/>
    </row>
    <row r="360" spans="14:18" x14ac:dyDescent="0.2">
      <c r="N360" s="6"/>
      <c r="O360" s="2"/>
      <c r="P360" s="2"/>
      <c r="Q360" s="2"/>
      <c r="R360" s="8"/>
    </row>
    <row r="361" spans="14:18" x14ac:dyDescent="0.2">
      <c r="N361" s="6"/>
      <c r="O361" s="2"/>
      <c r="P361" s="2"/>
      <c r="Q361" s="2"/>
      <c r="R361" s="8"/>
    </row>
    <row r="362" spans="14:18" x14ac:dyDescent="0.2">
      <c r="N362" s="6"/>
      <c r="O362" s="2"/>
      <c r="P362" s="2"/>
      <c r="Q362" s="2"/>
      <c r="R362" s="8"/>
    </row>
    <row r="363" spans="14:18" x14ac:dyDescent="0.2">
      <c r="N363" s="6"/>
      <c r="O363" s="2"/>
      <c r="P363" s="2"/>
      <c r="Q363" s="2"/>
      <c r="R363" s="8"/>
    </row>
    <row r="364" spans="14:18" x14ac:dyDescent="0.2">
      <c r="N364" s="6"/>
      <c r="O364" s="2"/>
      <c r="P364" s="2"/>
      <c r="Q364" s="2"/>
      <c r="R364" s="8"/>
    </row>
    <row r="365" spans="14:18" x14ac:dyDescent="0.2">
      <c r="N365" s="6"/>
      <c r="O365" s="2"/>
      <c r="P365" s="2"/>
      <c r="Q365" s="2"/>
      <c r="R365" s="8"/>
    </row>
    <row r="366" spans="14:18" x14ac:dyDescent="0.2">
      <c r="N366" s="6"/>
      <c r="O366" s="2"/>
      <c r="P366" s="2"/>
      <c r="Q366" s="2"/>
      <c r="R366" s="8"/>
    </row>
    <row r="367" spans="14:18" x14ac:dyDescent="0.2">
      <c r="N367" s="6"/>
      <c r="O367" s="2"/>
      <c r="P367" s="2"/>
      <c r="Q367" s="2"/>
      <c r="R367" s="8"/>
    </row>
    <row r="368" spans="14:18" x14ac:dyDescent="0.2">
      <c r="N368" s="6"/>
      <c r="O368" s="2"/>
      <c r="P368" s="2"/>
      <c r="Q368" s="2"/>
      <c r="R368" s="8"/>
    </row>
    <row r="369" spans="14:18" x14ac:dyDescent="0.2">
      <c r="N369" s="6"/>
      <c r="O369" s="2"/>
      <c r="P369" s="2"/>
      <c r="Q369" s="2"/>
      <c r="R369" s="8"/>
    </row>
    <row r="370" spans="14:18" x14ac:dyDescent="0.2">
      <c r="N370" s="6"/>
      <c r="O370" s="2"/>
      <c r="P370" s="2"/>
      <c r="Q370" s="2"/>
      <c r="R370" s="8"/>
    </row>
    <row r="371" spans="14:18" x14ac:dyDescent="0.2">
      <c r="N371" s="6"/>
      <c r="O371" s="2"/>
      <c r="P371" s="2"/>
      <c r="Q371" s="2"/>
      <c r="R371" s="8"/>
    </row>
    <row r="372" spans="14:18" x14ac:dyDescent="0.2">
      <c r="N372" s="6"/>
      <c r="O372" s="2"/>
      <c r="P372" s="2"/>
      <c r="Q372" s="2"/>
      <c r="R372" s="8"/>
    </row>
    <row r="373" spans="14:18" x14ac:dyDescent="0.2">
      <c r="N373" s="6"/>
      <c r="O373" s="2"/>
      <c r="P373" s="2"/>
      <c r="Q373" s="2"/>
      <c r="R373" s="8"/>
    </row>
    <row r="374" spans="14:18" x14ac:dyDescent="0.2">
      <c r="N374" s="6"/>
      <c r="O374" s="2"/>
      <c r="P374" s="2"/>
      <c r="Q374" s="2"/>
      <c r="R374" s="8"/>
    </row>
    <row r="375" spans="14:18" x14ac:dyDescent="0.2">
      <c r="N375" s="6"/>
      <c r="O375" s="2"/>
      <c r="P375" s="2"/>
      <c r="Q375" s="2"/>
      <c r="R375" s="8"/>
    </row>
    <row r="376" spans="14:18" x14ac:dyDescent="0.2">
      <c r="N376" s="6"/>
      <c r="O376" s="2"/>
      <c r="P376" s="2"/>
      <c r="Q376" s="2"/>
      <c r="R376" s="8"/>
    </row>
    <row r="377" spans="14:18" x14ac:dyDescent="0.2">
      <c r="N377" s="6"/>
      <c r="O377" s="2"/>
      <c r="P377" s="2"/>
      <c r="Q377" s="2"/>
      <c r="R377" s="8"/>
    </row>
    <row r="378" spans="14:18" x14ac:dyDescent="0.2">
      <c r="N378" s="6"/>
      <c r="O378" s="2"/>
      <c r="P378" s="2"/>
      <c r="Q378" s="2"/>
      <c r="R378" s="8"/>
    </row>
    <row r="379" spans="14:18" x14ac:dyDescent="0.2">
      <c r="N379" s="6"/>
      <c r="O379" s="2"/>
      <c r="P379" s="2"/>
      <c r="Q379" s="2"/>
      <c r="R379" s="8"/>
    </row>
    <row r="380" spans="14:18" x14ac:dyDescent="0.2">
      <c r="N380" s="6"/>
      <c r="O380" s="2"/>
      <c r="P380" s="2"/>
      <c r="Q380" s="2"/>
      <c r="R380" s="8"/>
    </row>
    <row r="381" spans="14:18" x14ac:dyDescent="0.2">
      <c r="N381" s="6"/>
      <c r="O381" s="2"/>
      <c r="P381" s="2"/>
      <c r="Q381" s="2"/>
      <c r="R381" s="8"/>
    </row>
    <row r="382" spans="14:18" x14ac:dyDescent="0.2">
      <c r="N382" s="6"/>
      <c r="O382" s="2"/>
      <c r="P382" s="2"/>
      <c r="Q382" s="2"/>
      <c r="R382" s="8"/>
    </row>
    <row r="383" spans="14:18" x14ac:dyDescent="0.2">
      <c r="N383" s="6"/>
      <c r="O383" s="2"/>
      <c r="P383" s="2"/>
      <c r="Q383" s="2"/>
      <c r="R383" s="8"/>
    </row>
    <row r="384" spans="14:18" x14ac:dyDescent="0.2">
      <c r="N384" s="6"/>
      <c r="O384" s="2"/>
      <c r="P384" s="2"/>
      <c r="Q384" s="2"/>
      <c r="R384" s="8"/>
    </row>
    <row r="385" spans="14:18" x14ac:dyDescent="0.2">
      <c r="N385" s="6"/>
      <c r="O385" s="2"/>
      <c r="P385" s="2"/>
      <c r="Q385" s="2"/>
      <c r="R385" s="8"/>
    </row>
    <row r="386" spans="14:18" x14ac:dyDescent="0.2">
      <c r="N386" s="6"/>
      <c r="O386" s="2"/>
      <c r="P386" s="2"/>
      <c r="Q386" s="2"/>
      <c r="R386" s="8"/>
    </row>
    <row r="387" spans="14:18" x14ac:dyDescent="0.2">
      <c r="N387" s="6"/>
      <c r="O387" s="2"/>
      <c r="P387" s="2"/>
      <c r="Q387" s="2"/>
      <c r="R387" s="8"/>
    </row>
    <row r="388" spans="14:18" x14ac:dyDescent="0.2">
      <c r="N388" s="6"/>
      <c r="O388" s="2"/>
      <c r="P388" s="2"/>
      <c r="Q388" s="2"/>
      <c r="R388" s="8"/>
    </row>
    <row r="389" spans="14:18" x14ac:dyDescent="0.2">
      <c r="N389" s="6"/>
      <c r="O389" s="2"/>
      <c r="P389" s="2"/>
      <c r="Q389" s="2"/>
      <c r="R389" s="8"/>
    </row>
    <row r="390" spans="14:18" x14ac:dyDescent="0.2">
      <c r="N390" s="6"/>
      <c r="O390" s="2"/>
      <c r="P390" s="2"/>
      <c r="Q390" s="2"/>
      <c r="R390" s="8"/>
    </row>
    <row r="391" spans="14:18" x14ac:dyDescent="0.2">
      <c r="N391" s="6"/>
      <c r="O391" s="2"/>
      <c r="P391" s="2"/>
      <c r="Q391" s="2"/>
      <c r="R391" s="8"/>
    </row>
    <row r="392" spans="14:18" x14ac:dyDescent="0.2">
      <c r="N392" s="6"/>
      <c r="O392" s="2"/>
      <c r="P392" s="2"/>
      <c r="Q392" s="2"/>
      <c r="R392" s="8"/>
    </row>
    <row r="393" spans="14:18" x14ac:dyDescent="0.2">
      <c r="N393" s="6"/>
      <c r="O393" s="2"/>
      <c r="P393" s="2"/>
      <c r="Q393" s="2"/>
      <c r="R393" s="8"/>
    </row>
    <row r="394" spans="14:18" x14ac:dyDescent="0.2">
      <c r="N394" s="6"/>
      <c r="O394" s="2"/>
      <c r="P394" s="2"/>
      <c r="Q394" s="2"/>
      <c r="R394" s="8"/>
    </row>
    <row r="395" spans="14:18" x14ac:dyDescent="0.2">
      <c r="N395" s="6"/>
      <c r="O395" s="2"/>
      <c r="P395" s="2"/>
      <c r="Q395" s="2"/>
      <c r="R395" s="8"/>
    </row>
    <row r="396" spans="14:18" x14ac:dyDescent="0.2">
      <c r="N396" s="6"/>
      <c r="O396" s="2"/>
      <c r="P396" s="2"/>
      <c r="Q396" s="2"/>
      <c r="R396" s="8"/>
    </row>
    <row r="397" spans="14:18" x14ac:dyDescent="0.2">
      <c r="N397" s="6"/>
      <c r="O397" s="2"/>
      <c r="P397" s="2"/>
      <c r="Q397" s="2"/>
      <c r="R397" s="8"/>
    </row>
    <row r="398" spans="14:18" x14ac:dyDescent="0.2">
      <c r="N398" s="6"/>
      <c r="O398" s="2"/>
      <c r="P398" s="2"/>
      <c r="Q398" s="2"/>
      <c r="R398" s="8"/>
    </row>
    <row r="399" spans="14:18" x14ac:dyDescent="0.2">
      <c r="N399" s="6"/>
      <c r="O399" s="2"/>
      <c r="P399" s="2"/>
      <c r="Q399" s="2"/>
      <c r="R399" s="8"/>
    </row>
    <row r="400" spans="14:18" x14ac:dyDescent="0.2">
      <c r="N400" s="6"/>
      <c r="O400" s="2"/>
      <c r="P400" s="2"/>
      <c r="Q400" s="2"/>
      <c r="R400" s="8"/>
    </row>
    <row r="401" spans="14:18" x14ac:dyDescent="0.2">
      <c r="N401" s="6"/>
      <c r="O401" s="2"/>
      <c r="P401" s="2"/>
      <c r="Q401" s="2"/>
      <c r="R401" s="8"/>
    </row>
    <row r="402" spans="14:18" x14ac:dyDescent="0.2">
      <c r="N402" s="6"/>
      <c r="O402" s="2"/>
      <c r="P402" s="2"/>
      <c r="Q402" s="2"/>
      <c r="R402" s="8"/>
    </row>
    <row r="403" spans="14:18" x14ac:dyDescent="0.2">
      <c r="N403" s="6"/>
      <c r="O403" s="2"/>
      <c r="P403" s="2"/>
      <c r="Q403" s="2"/>
      <c r="R403" s="8"/>
    </row>
    <row r="404" spans="14:18" x14ac:dyDescent="0.2">
      <c r="N404" s="6"/>
      <c r="O404" s="2"/>
      <c r="P404" s="2"/>
      <c r="Q404" s="2"/>
      <c r="R404" s="8"/>
    </row>
    <row r="405" spans="14:18" x14ac:dyDescent="0.2">
      <c r="N405" s="6"/>
      <c r="O405" s="2"/>
      <c r="P405" s="2"/>
      <c r="Q405" s="2"/>
      <c r="R405" s="8"/>
    </row>
    <row r="406" spans="14:18" x14ac:dyDescent="0.2">
      <c r="N406" s="6"/>
      <c r="O406" s="2"/>
      <c r="P406" s="2"/>
      <c r="Q406" s="2"/>
      <c r="R406" s="8"/>
    </row>
    <row r="407" spans="14:18" x14ac:dyDescent="0.2">
      <c r="N407" s="6"/>
      <c r="O407" s="2"/>
      <c r="P407" s="2"/>
      <c r="Q407" s="2"/>
      <c r="R407" s="8"/>
    </row>
    <row r="408" spans="14:18" x14ac:dyDescent="0.2">
      <c r="N408" s="6"/>
      <c r="O408" s="2"/>
      <c r="P408" s="2"/>
      <c r="Q408" s="2"/>
      <c r="R408" s="8"/>
    </row>
    <row r="409" spans="14:18" x14ac:dyDescent="0.2">
      <c r="N409" s="6"/>
      <c r="O409" s="2"/>
      <c r="P409" s="2"/>
      <c r="Q409" s="2"/>
      <c r="R409" s="8"/>
    </row>
    <row r="410" spans="14:18" x14ac:dyDescent="0.2">
      <c r="N410" s="6"/>
      <c r="O410" s="2"/>
      <c r="P410" s="2"/>
      <c r="Q410" s="2"/>
      <c r="R410" s="8"/>
    </row>
    <row r="411" spans="14:18" x14ac:dyDescent="0.2">
      <c r="N411" s="6"/>
      <c r="O411" s="2"/>
      <c r="P411" s="2"/>
      <c r="Q411" s="2"/>
      <c r="R411" s="8"/>
    </row>
    <row r="412" spans="14:18" x14ac:dyDescent="0.2">
      <c r="N412" s="6"/>
      <c r="O412" s="2"/>
      <c r="P412" s="2"/>
      <c r="Q412" s="2"/>
      <c r="R412" s="8"/>
    </row>
    <row r="413" spans="14:18" x14ac:dyDescent="0.2">
      <c r="N413" s="6"/>
      <c r="O413" s="2"/>
      <c r="P413" s="2"/>
      <c r="Q413" s="2"/>
      <c r="R413" s="8"/>
    </row>
    <row r="414" spans="14:18" x14ac:dyDescent="0.2">
      <c r="N414" s="6"/>
      <c r="O414" s="2"/>
      <c r="P414" s="2"/>
      <c r="Q414" s="2"/>
      <c r="R414" s="8"/>
    </row>
    <row r="415" spans="14:18" x14ac:dyDescent="0.2">
      <c r="N415" s="6"/>
      <c r="O415" s="2"/>
      <c r="P415" s="2"/>
      <c r="Q415" s="2"/>
      <c r="R415" s="8"/>
    </row>
    <row r="416" spans="14:18" x14ac:dyDescent="0.2">
      <c r="N416" s="6"/>
      <c r="O416" s="2"/>
      <c r="P416" s="2"/>
      <c r="Q416" s="2"/>
      <c r="R416" s="8"/>
    </row>
    <row r="417" spans="14:18" x14ac:dyDescent="0.2">
      <c r="N417" s="6"/>
      <c r="O417" s="2"/>
      <c r="P417" s="2"/>
      <c r="Q417" s="2"/>
      <c r="R417" s="8"/>
    </row>
    <row r="418" spans="14:18" x14ac:dyDescent="0.2">
      <c r="N418" s="6"/>
      <c r="O418" s="2"/>
      <c r="P418" s="2"/>
      <c r="Q418" s="2"/>
      <c r="R418" s="8"/>
    </row>
    <row r="419" spans="14:18" x14ac:dyDescent="0.2">
      <c r="N419" s="6"/>
      <c r="O419" s="2"/>
      <c r="P419" s="2"/>
      <c r="Q419" s="2"/>
      <c r="R419" s="8"/>
    </row>
    <row r="420" spans="14:18" x14ac:dyDescent="0.2">
      <c r="N420" s="6"/>
      <c r="O420" s="2"/>
      <c r="P420" s="2"/>
      <c r="Q420" s="2"/>
      <c r="R420" s="8"/>
    </row>
    <row r="421" spans="14:18" x14ac:dyDescent="0.2">
      <c r="N421" s="6"/>
      <c r="O421" s="2"/>
      <c r="P421" s="2"/>
      <c r="Q421" s="2"/>
      <c r="R421" s="8"/>
    </row>
    <row r="422" spans="14:18" x14ac:dyDescent="0.2">
      <c r="N422" s="6"/>
      <c r="O422" s="2"/>
      <c r="P422" s="2"/>
      <c r="Q422" s="2"/>
      <c r="R422" s="8"/>
    </row>
    <row r="423" spans="14:18" x14ac:dyDescent="0.2">
      <c r="N423" s="6"/>
      <c r="O423" s="2"/>
      <c r="P423" s="2"/>
      <c r="Q423" s="2"/>
      <c r="R423" s="8"/>
    </row>
    <row r="424" spans="14:18" x14ac:dyDescent="0.2">
      <c r="N424" s="6"/>
      <c r="O424" s="2"/>
      <c r="P424" s="2"/>
      <c r="Q424" s="2"/>
      <c r="R424" s="8"/>
    </row>
    <row r="425" spans="14:18" x14ac:dyDescent="0.2">
      <c r="N425" s="6"/>
      <c r="O425" s="2"/>
      <c r="P425" s="2"/>
      <c r="Q425" s="2"/>
      <c r="R425" s="8"/>
    </row>
    <row r="426" spans="14:18" x14ac:dyDescent="0.2">
      <c r="N426" s="6"/>
      <c r="O426" s="2"/>
      <c r="P426" s="2"/>
      <c r="Q426" s="2"/>
      <c r="R426" s="8"/>
    </row>
    <row r="427" spans="14:18" x14ac:dyDescent="0.2">
      <c r="N427" s="6"/>
      <c r="O427" s="2"/>
      <c r="P427" s="2"/>
      <c r="Q427" s="2"/>
      <c r="R427" s="8"/>
    </row>
    <row r="428" spans="14:18" x14ac:dyDescent="0.2">
      <c r="N428" s="6"/>
      <c r="O428" s="2"/>
      <c r="P428" s="2"/>
      <c r="Q428" s="2"/>
      <c r="R428" s="8"/>
    </row>
    <row r="429" spans="14:18" x14ac:dyDescent="0.2">
      <c r="N429" s="6"/>
      <c r="O429" s="2"/>
      <c r="P429" s="2"/>
      <c r="Q429" s="2"/>
      <c r="R429" s="8"/>
    </row>
    <row r="430" spans="14:18" x14ac:dyDescent="0.2">
      <c r="N430" s="6"/>
      <c r="O430" s="2"/>
      <c r="P430" s="2"/>
      <c r="Q430" s="2"/>
      <c r="R430" s="8"/>
    </row>
    <row r="431" spans="14:18" x14ac:dyDescent="0.2">
      <c r="N431" s="6"/>
      <c r="O431" s="2"/>
      <c r="P431" s="2"/>
      <c r="Q431" s="2"/>
      <c r="R431" s="8"/>
    </row>
    <row r="432" spans="14:18" x14ac:dyDescent="0.2">
      <c r="N432" s="6"/>
      <c r="O432" s="2"/>
      <c r="P432" s="2"/>
      <c r="Q432" s="2"/>
      <c r="R432" s="8"/>
    </row>
    <row r="433" spans="14:18" x14ac:dyDescent="0.2">
      <c r="N433" s="6"/>
      <c r="O433" s="2"/>
      <c r="P433" s="2"/>
      <c r="Q433" s="2"/>
      <c r="R433" s="8"/>
    </row>
    <row r="434" spans="14:18" x14ac:dyDescent="0.2">
      <c r="N434" s="6"/>
      <c r="O434" s="2"/>
      <c r="P434" s="2"/>
      <c r="Q434" s="2"/>
      <c r="R434" s="8"/>
    </row>
    <row r="435" spans="14:18" x14ac:dyDescent="0.2">
      <c r="N435" s="6"/>
      <c r="O435" s="2"/>
      <c r="P435" s="2"/>
      <c r="Q435" s="2"/>
      <c r="R435" s="8"/>
    </row>
    <row r="436" spans="14:18" x14ac:dyDescent="0.2">
      <c r="N436" s="6"/>
      <c r="O436" s="2"/>
      <c r="P436" s="2"/>
      <c r="Q436" s="2"/>
      <c r="R436" s="8"/>
    </row>
    <row r="437" spans="14:18" x14ac:dyDescent="0.2">
      <c r="N437" s="6"/>
      <c r="O437" s="2"/>
      <c r="P437" s="2"/>
      <c r="Q437" s="2"/>
      <c r="R437" s="8"/>
    </row>
    <row r="438" spans="14:18" x14ac:dyDescent="0.2">
      <c r="N438" s="6"/>
      <c r="O438" s="2"/>
      <c r="P438" s="2"/>
      <c r="Q438" s="2"/>
      <c r="R438" s="8"/>
    </row>
    <row r="439" spans="14:18" x14ac:dyDescent="0.2">
      <c r="N439" s="6"/>
      <c r="O439" s="2"/>
      <c r="P439" s="2"/>
      <c r="Q439" s="2"/>
      <c r="R439" s="8"/>
    </row>
    <row r="440" spans="14:18" x14ac:dyDescent="0.2">
      <c r="N440" s="6"/>
      <c r="O440" s="2"/>
      <c r="P440" s="2"/>
      <c r="Q440" s="2"/>
      <c r="R440" s="8"/>
    </row>
    <row r="441" spans="14:18" x14ac:dyDescent="0.2">
      <c r="N441" s="6"/>
      <c r="O441" s="2"/>
      <c r="P441" s="2"/>
      <c r="Q441" s="2"/>
      <c r="R441" s="8"/>
    </row>
    <row r="442" spans="14:18" x14ac:dyDescent="0.2">
      <c r="N442" s="6"/>
      <c r="O442" s="2"/>
      <c r="P442" s="2"/>
      <c r="Q442" s="2"/>
      <c r="R442" s="8"/>
    </row>
    <row r="443" spans="14:18" x14ac:dyDescent="0.2">
      <c r="N443" s="6"/>
      <c r="O443" s="2"/>
      <c r="P443" s="2"/>
      <c r="Q443" s="2"/>
      <c r="R443" s="8"/>
    </row>
    <row r="444" spans="14:18" x14ac:dyDescent="0.2">
      <c r="N444" s="6"/>
      <c r="O444" s="2"/>
      <c r="P444" s="2"/>
      <c r="Q444" s="2"/>
      <c r="R444" s="8"/>
    </row>
    <row r="445" spans="14:18" x14ac:dyDescent="0.2">
      <c r="N445" s="6"/>
      <c r="O445" s="2"/>
      <c r="P445" s="2"/>
      <c r="Q445" s="2"/>
      <c r="R445" s="8"/>
    </row>
    <row r="446" spans="14:18" x14ac:dyDescent="0.2">
      <c r="N446" s="6"/>
      <c r="O446" s="2"/>
      <c r="P446" s="2"/>
      <c r="Q446" s="2"/>
      <c r="R446" s="8"/>
    </row>
    <row r="447" spans="14:18" x14ac:dyDescent="0.2">
      <c r="N447" s="6"/>
      <c r="O447" s="2"/>
      <c r="P447" s="2"/>
      <c r="Q447" s="2"/>
      <c r="R447" s="8"/>
    </row>
    <row r="448" spans="14:18" x14ac:dyDescent="0.2">
      <c r="N448" s="6"/>
      <c r="O448" s="2"/>
      <c r="P448" s="2"/>
      <c r="Q448" s="2"/>
      <c r="R448" s="8"/>
    </row>
    <row r="449" spans="14:18" x14ac:dyDescent="0.2">
      <c r="N449" s="6"/>
      <c r="O449" s="2"/>
      <c r="P449" s="2"/>
      <c r="Q449" s="2"/>
      <c r="R449" s="8"/>
    </row>
    <row r="450" spans="14:18" x14ac:dyDescent="0.2">
      <c r="N450" s="6"/>
      <c r="O450" s="2"/>
      <c r="P450" s="2"/>
      <c r="Q450" s="2"/>
      <c r="R450" s="8"/>
    </row>
    <row r="451" spans="14:18" x14ac:dyDescent="0.2">
      <c r="N451" s="6"/>
      <c r="O451" s="2"/>
      <c r="P451" s="2"/>
      <c r="Q451" s="2"/>
      <c r="R451" s="8"/>
    </row>
    <row r="452" spans="14:18" x14ac:dyDescent="0.2">
      <c r="N452" s="6"/>
      <c r="O452" s="2"/>
      <c r="P452" s="2"/>
      <c r="Q452" s="2"/>
      <c r="R452" s="8"/>
    </row>
    <row r="453" spans="14:18" x14ac:dyDescent="0.2">
      <c r="N453" s="6"/>
      <c r="O453" s="2"/>
      <c r="P453" s="2"/>
      <c r="Q453" s="2"/>
      <c r="R453" s="8"/>
    </row>
    <row r="454" spans="14:18" x14ac:dyDescent="0.2">
      <c r="N454" s="6"/>
      <c r="O454" s="2"/>
      <c r="P454" s="2"/>
      <c r="Q454" s="2"/>
      <c r="R454" s="8"/>
    </row>
    <row r="455" spans="14:18" x14ac:dyDescent="0.2">
      <c r="N455" s="6"/>
      <c r="O455" s="2"/>
      <c r="P455" s="2"/>
      <c r="Q455" s="2"/>
      <c r="R455" s="8"/>
    </row>
    <row r="456" spans="14:18" x14ac:dyDescent="0.2">
      <c r="N456" s="6"/>
      <c r="O456" s="2"/>
      <c r="P456" s="2"/>
      <c r="Q456" s="2"/>
      <c r="R456" s="8"/>
    </row>
    <row r="457" spans="14:18" x14ac:dyDescent="0.2">
      <c r="N457" s="6"/>
      <c r="O457" s="2"/>
      <c r="P457" s="2"/>
      <c r="Q457" s="2"/>
      <c r="R457" s="8"/>
    </row>
    <row r="458" spans="14:18" x14ac:dyDescent="0.2">
      <c r="N458" s="6"/>
      <c r="O458" s="2"/>
      <c r="P458" s="2"/>
      <c r="Q458" s="2"/>
      <c r="R458" s="8"/>
    </row>
    <row r="459" spans="14:18" x14ac:dyDescent="0.2">
      <c r="N459" s="6"/>
      <c r="O459" s="2"/>
      <c r="P459" s="2"/>
      <c r="Q459" s="2"/>
      <c r="R459" s="8"/>
    </row>
    <row r="460" spans="14:18" x14ac:dyDescent="0.2">
      <c r="N460" s="6"/>
      <c r="O460" s="2"/>
      <c r="P460" s="2"/>
      <c r="Q460" s="2"/>
      <c r="R460" s="8"/>
    </row>
    <row r="461" spans="14:18" x14ac:dyDescent="0.2">
      <c r="N461" s="6"/>
      <c r="O461" s="2"/>
      <c r="P461" s="2"/>
      <c r="Q461" s="2"/>
      <c r="R461" s="8"/>
    </row>
    <row r="462" spans="14:18" x14ac:dyDescent="0.2">
      <c r="N462" s="6"/>
      <c r="O462" s="2"/>
      <c r="P462" s="2"/>
      <c r="Q462" s="2"/>
      <c r="R462" s="8"/>
    </row>
    <row r="463" spans="14:18" x14ac:dyDescent="0.2">
      <c r="N463" s="6"/>
      <c r="O463" s="2"/>
      <c r="P463" s="2"/>
      <c r="Q463" s="2"/>
      <c r="R463" s="8"/>
    </row>
    <row r="464" spans="14:18" x14ac:dyDescent="0.2">
      <c r="N464" s="6"/>
      <c r="O464" s="2"/>
      <c r="P464" s="2"/>
      <c r="Q464" s="2"/>
      <c r="R464" s="8"/>
    </row>
    <row r="465" spans="14:18" x14ac:dyDescent="0.2">
      <c r="N465" s="6"/>
      <c r="O465" s="2"/>
      <c r="P465" s="2"/>
      <c r="Q465" s="2"/>
      <c r="R465" s="8"/>
    </row>
    <row r="466" spans="14:18" x14ac:dyDescent="0.2">
      <c r="N466" s="6"/>
      <c r="O466" s="2"/>
      <c r="P466" s="2"/>
      <c r="Q466" s="2"/>
      <c r="R466" s="8"/>
    </row>
    <row r="467" spans="14:18" x14ac:dyDescent="0.2">
      <c r="N467" s="6"/>
      <c r="O467" s="2"/>
      <c r="P467" s="2"/>
      <c r="Q467" s="2"/>
      <c r="R467" s="8"/>
    </row>
    <row r="468" spans="14:18" x14ac:dyDescent="0.2">
      <c r="N468" s="6"/>
      <c r="O468" s="2"/>
      <c r="P468" s="2"/>
      <c r="Q468" s="2"/>
      <c r="R468" s="8"/>
    </row>
    <row r="469" spans="14:18" x14ac:dyDescent="0.2">
      <c r="N469" s="6"/>
      <c r="O469" s="2"/>
      <c r="P469" s="2"/>
      <c r="Q469" s="2"/>
      <c r="R469" s="8"/>
    </row>
    <row r="470" spans="14:18" x14ac:dyDescent="0.2">
      <c r="N470" s="6"/>
      <c r="O470" s="2"/>
      <c r="P470" s="2"/>
      <c r="Q470" s="2"/>
      <c r="R470" s="8"/>
    </row>
    <row r="471" spans="14:18" x14ac:dyDescent="0.2">
      <c r="N471" s="6"/>
      <c r="O471" s="2"/>
      <c r="P471" s="2"/>
      <c r="Q471" s="2"/>
      <c r="R471" s="8"/>
    </row>
    <row r="472" spans="14:18" x14ac:dyDescent="0.2">
      <c r="N472" s="6"/>
      <c r="O472" s="2"/>
      <c r="P472" s="2"/>
      <c r="Q472" s="2"/>
      <c r="R472" s="8"/>
    </row>
    <row r="473" spans="14:18" x14ac:dyDescent="0.2">
      <c r="N473" s="6"/>
      <c r="O473" s="2"/>
      <c r="P473" s="2"/>
      <c r="Q473" s="2"/>
      <c r="R473" s="8"/>
    </row>
    <row r="474" spans="14:18" x14ac:dyDescent="0.2">
      <c r="N474" s="6"/>
      <c r="O474" s="2"/>
      <c r="P474" s="2"/>
      <c r="Q474" s="2"/>
      <c r="R474" s="8"/>
    </row>
    <row r="475" spans="14:18" x14ac:dyDescent="0.2">
      <c r="N475" s="6"/>
      <c r="O475" s="2"/>
      <c r="P475" s="2"/>
      <c r="Q475" s="2"/>
      <c r="R475" s="8"/>
    </row>
    <row r="476" spans="14:18" x14ac:dyDescent="0.2">
      <c r="N476" s="6"/>
      <c r="O476" s="2"/>
      <c r="P476" s="2"/>
      <c r="Q476" s="2"/>
      <c r="R476" s="8"/>
    </row>
    <row r="477" spans="14:18" x14ac:dyDescent="0.2">
      <c r="N477" s="6"/>
      <c r="O477" s="2"/>
      <c r="P477" s="2"/>
      <c r="Q477" s="2"/>
      <c r="R477" s="8"/>
    </row>
    <row r="478" spans="14:18" x14ac:dyDescent="0.2">
      <c r="N478" s="6"/>
      <c r="O478" s="2"/>
      <c r="P478" s="2"/>
      <c r="Q478" s="2"/>
      <c r="R478" s="8"/>
    </row>
    <row r="479" spans="14:18" x14ac:dyDescent="0.2">
      <c r="N479" s="6"/>
      <c r="O479" s="2"/>
      <c r="P479" s="2"/>
      <c r="Q479" s="2"/>
      <c r="R479" s="8"/>
    </row>
    <row r="480" spans="14:18" x14ac:dyDescent="0.2">
      <c r="N480" s="6"/>
      <c r="O480" s="2"/>
      <c r="P480" s="2"/>
      <c r="Q480" s="2"/>
      <c r="R480" s="8"/>
    </row>
    <row r="481" spans="14:18" x14ac:dyDescent="0.2">
      <c r="N481" s="6"/>
      <c r="O481" s="2"/>
      <c r="P481" s="2"/>
      <c r="Q481" s="2"/>
      <c r="R481" s="8"/>
    </row>
    <row r="482" spans="14:18" x14ac:dyDescent="0.2">
      <c r="N482" s="6"/>
      <c r="O482" s="2"/>
      <c r="P482" s="2"/>
      <c r="Q482" s="2"/>
      <c r="R482" s="8"/>
    </row>
    <row r="483" spans="14:18" x14ac:dyDescent="0.2">
      <c r="N483" s="6"/>
      <c r="O483" s="2"/>
      <c r="P483" s="2"/>
      <c r="Q483" s="2"/>
      <c r="R483" s="8"/>
    </row>
    <row r="484" spans="14:18" x14ac:dyDescent="0.2">
      <c r="N484" s="6"/>
      <c r="O484" s="2"/>
      <c r="P484" s="2"/>
      <c r="Q484" s="2"/>
      <c r="R484" s="8"/>
    </row>
    <row r="485" spans="14:18" x14ac:dyDescent="0.2">
      <c r="N485" s="6"/>
      <c r="O485" s="2"/>
      <c r="P485" s="2"/>
      <c r="Q485" s="2"/>
      <c r="R485" s="8"/>
    </row>
    <row r="486" spans="14:18" x14ac:dyDescent="0.2">
      <c r="N486" s="6"/>
      <c r="O486" s="2"/>
      <c r="P486" s="2"/>
      <c r="Q486" s="2"/>
      <c r="R486" s="8"/>
    </row>
    <row r="487" spans="14:18" x14ac:dyDescent="0.2">
      <c r="N487" s="6"/>
      <c r="O487" s="2"/>
      <c r="P487" s="2"/>
      <c r="Q487" s="2"/>
      <c r="R487" s="8"/>
    </row>
    <row r="488" spans="14:18" x14ac:dyDescent="0.2">
      <c r="N488" s="6"/>
      <c r="O488" s="2"/>
      <c r="P488" s="2"/>
      <c r="Q488" s="2"/>
      <c r="R488" s="8"/>
    </row>
    <row r="489" spans="14:18" x14ac:dyDescent="0.2">
      <c r="N489" s="6"/>
      <c r="O489" s="2"/>
      <c r="P489" s="2"/>
      <c r="Q489" s="2"/>
      <c r="R489" s="8"/>
    </row>
    <row r="490" spans="14:18" x14ac:dyDescent="0.2">
      <c r="N490" s="6"/>
      <c r="O490" s="2"/>
      <c r="P490" s="2"/>
      <c r="Q490" s="2"/>
      <c r="R490" s="8"/>
    </row>
    <row r="491" spans="14:18" x14ac:dyDescent="0.2">
      <c r="N491" s="6"/>
      <c r="O491" s="2"/>
      <c r="P491" s="2"/>
      <c r="Q491" s="2"/>
      <c r="R491" s="8"/>
    </row>
    <row r="492" spans="14:18" x14ac:dyDescent="0.2">
      <c r="N492" s="6"/>
      <c r="O492" s="2"/>
      <c r="P492" s="2"/>
      <c r="Q492" s="2"/>
      <c r="R492" s="8"/>
    </row>
    <row r="493" spans="14:18" x14ac:dyDescent="0.2">
      <c r="N493" s="6"/>
      <c r="O493" s="2"/>
      <c r="P493" s="2"/>
      <c r="Q493" s="2"/>
      <c r="R493" s="8"/>
    </row>
    <row r="494" spans="14:18" x14ac:dyDescent="0.2">
      <c r="N494" s="6"/>
      <c r="O494" s="2"/>
      <c r="P494" s="2"/>
      <c r="Q494" s="2"/>
      <c r="R494" s="8"/>
    </row>
    <row r="495" spans="14:18" x14ac:dyDescent="0.2">
      <c r="N495" s="6"/>
      <c r="O495" s="2"/>
      <c r="P495" s="2"/>
      <c r="Q495" s="2"/>
      <c r="R495" s="8"/>
    </row>
    <row r="496" spans="14:18" x14ac:dyDescent="0.2">
      <c r="N496" s="6"/>
      <c r="O496" s="2"/>
      <c r="P496" s="2"/>
      <c r="Q496" s="2"/>
      <c r="R496" s="8"/>
    </row>
    <row r="497" spans="14:18" x14ac:dyDescent="0.2">
      <c r="N497" s="6"/>
      <c r="O497" s="2"/>
      <c r="P497" s="2"/>
      <c r="Q497" s="2"/>
      <c r="R497" s="8"/>
    </row>
    <row r="498" spans="14:18" x14ac:dyDescent="0.2">
      <c r="N498" s="6"/>
      <c r="O498" s="2"/>
      <c r="P498" s="2"/>
      <c r="Q498" s="2"/>
      <c r="R498" s="8"/>
    </row>
    <row r="499" spans="14:18" x14ac:dyDescent="0.2">
      <c r="N499" s="6"/>
      <c r="O499" s="2"/>
      <c r="P499" s="2"/>
      <c r="Q499" s="2"/>
      <c r="R499" s="8"/>
    </row>
    <row r="500" spans="14:18" x14ac:dyDescent="0.2">
      <c r="N500" s="6"/>
      <c r="O500" s="2"/>
      <c r="P500" s="2"/>
      <c r="Q500" s="2"/>
      <c r="R500" s="8"/>
    </row>
    <row r="501" spans="14:18" x14ac:dyDescent="0.2">
      <c r="N501" s="6"/>
      <c r="O501" s="2"/>
      <c r="P501" s="2"/>
      <c r="Q501" s="2"/>
      <c r="R501" s="8"/>
    </row>
    <row r="502" spans="14:18" x14ac:dyDescent="0.2">
      <c r="N502" s="6"/>
      <c r="O502" s="2"/>
      <c r="P502" s="2"/>
      <c r="Q502" s="2"/>
      <c r="R502" s="8"/>
    </row>
    <row r="503" spans="14:18" x14ac:dyDescent="0.2">
      <c r="N503" s="6"/>
      <c r="O503" s="2"/>
      <c r="P503" s="2"/>
      <c r="Q503" s="2"/>
      <c r="R503" s="8"/>
    </row>
    <row r="504" spans="14:18" x14ac:dyDescent="0.2">
      <c r="N504" s="6"/>
      <c r="O504" s="2"/>
      <c r="P504" s="2"/>
      <c r="Q504" s="2"/>
      <c r="R504" s="8"/>
    </row>
    <row r="505" spans="14:18" x14ac:dyDescent="0.2">
      <c r="N505" s="6"/>
      <c r="O505" s="2"/>
      <c r="P505" s="2"/>
      <c r="Q505" s="2"/>
      <c r="R505" s="8"/>
    </row>
    <row r="506" spans="14:18" x14ac:dyDescent="0.2">
      <c r="N506" s="6"/>
      <c r="O506" s="2"/>
      <c r="P506" s="2"/>
      <c r="Q506" s="2"/>
      <c r="R506" s="8"/>
    </row>
    <row r="507" spans="14:18" x14ac:dyDescent="0.2">
      <c r="N507" s="6"/>
      <c r="O507" s="2"/>
      <c r="P507" s="2"/>
      <c r="Q507" s="2"/>
      <c r="R507" s="8"/>
    </row>
    <row r="508" spans="14:18" x14ac:dyDescent="0.2">
      <c r="N508" s="6"/>
      <c r="O508" s="2"/>
      <c r="P508" s="2"/>
      <c r="Q508" s="2"/>
      <c r="R508" s="8"/>
    </row>
    <row r="509" spans="14:18" x14ac:dyDescent="0.2">
      <c r="N509" s="6"/>
      <c r="O509" s="2"/>
      <c r="P509" s="2"/>
      <c r="Q509" s="2"/>
      <c r="R509" s="8"/>
    </row>
    <row r="510" spans="14:18" x14ac:dyDescent="0.2">
      <c r="N510" s="6"/>
      <c r="O510" s="2"/>
      <c r="P510" s="2"/>
      <c r="Q510" s="2"/>
      <c r="R510" s="8"/>
    </row>
    <row r="511" spans="14:18" x14ac:dyDescent="0.2">
      <c r="N511" s="6"/>
      <c r="O511" s="2"/>
      <c r="P511" s="2"/>
      <c r="Q511" s="2"/>
      <c r="R511" s="8"/>
    </row>
    <row r="512" spans="14:18" x14ac:dyDescent="0.2">
      <c r="N512" s="6"/>
      <c r="O512" s="2"/>
      <c r="P512" s="2"/>
      <c r="Q512" s="2"/>
      <c r="R512" s="8"/>
    </row>
    <row r="513" spans="14:18" x14ac:dyDescent="0.2">
      <c r="N513" s="6"/>
      <c r="O513" s="2"/>
      <c r="P513" s="2"/>
      <c r="Q513" s="2"/>
      <c r="R513" s="8"/>
    </row>
    <row r="514" spans="14:18" x14ac:dyDescent="0.2">
      <c r="N514" s="6"/>
      <c r="O514" s="2"/>
      <c r="P514" s="2"/>
      <c r="Q514" s="2"/>
      <c r="R514" s="8"/>
    </row>
    <row r="515" spans="14:18" x14ac:dyDescent="0.2">
      <c r="N515" s="6"/>
      <c r="O515" s="2"/>
      <c r="P515" s="2"/>
      <c r="Q515" s="2"/>
      <c r="R515" s="8"/>
    </row>
    <row r="516" spans="14:18" x14ac:dyDescent="0.2">
      <c r="N516" s="6"/>
      <c r="O516" s="2"/>
      <c r="P516" s="2"/>
      <c r="Q516" s="2"/>
      <c r="R516" s="8"/>
    </row>
    <row r="517" spans="14:18" x14ac:dyDescent="0.2">
      <c r="N517" s="6"/>
      <c r="O517" s="2"/>
      <c r="P517" s="2"/>
      <c r="Q517" s="2"/>
      <c r="R517" s="8"/>
    </row>
    <row r="518" spans="14:18" x14ac:dyDescent="0.2">
      <c r="N518" s="6"/>
      <c r="O518" s="2"/>
      <c r="P518" s="2"/>
      <c r="Q518" s="2"/>
      <c r="R518" s="8"/>
    </row>
    <row r="519" spans="14:18" x14ac:dyDescent="0.2">
      <c r="N519" s="6"/>
      <c r="O519" s="2"/>
      <c r="P519" s="2"/>
      <c r="Q519" s="2"/>
      <c r="R519" s="8"/>
    </row>
    <row r="520" spans="14:18" x14ac:dyDescent="0.2">
      <c r="N520" s="6"/>
      <c r="O520" s="2"/>
      <c r="P520" s="2"/>
      <c r="Q520" s="2"/>
      <c r="R520" s="8"/>
    </row>
    <row r="521" spans="14:18" x14ac:dyDescent="0.2">
      <c r="N521" s="6"/>
      <c r="O521" s="2"/>
      <c r="P521" s="2"/>
      <c r="Q521" s="2"/>
      <c r="R521" s="8"/>
    </row>
    <row r="522" spans="14:18" x14ac:dyDescent="0.2">
      <c r="N522" s="6"/>
      <c r="O522" s="2"/>
      <c r="P522" s="2"/>
      <c r="Q522" s="2"/>
      <c r="R522" s="8"/>
    </row>
    <row r="523" spans="14:18" x14ac:dyDescent="0.2">
      <c r="N523" s="6"/>
      <c r="O523" s="2"/>
      <c r="P523" s="2"/>
      <c r="Q523" s="2"/>
      <c r="R523" s="8"/>
    </row>
    <row r="524" spans="14:18" x14ac:dyDescent="0.2">
      <c r="N524" s="6"/>
      <c r="O524" s="2"/>
      <c r="P524" s="2"/>
      <c r="Q524" s="2"/>
      <c r="R524" s="8"/>
    </row>
    <row r="525" spans="14:18" x14ac:dyDescent="0.2">
      <c r="N525" s="6"/>
      <c r="O525" s="2"/>
      <c r="P525" s="2"/>
      <c r="Q525" s="2"/>
      <c r="R525" s="8"/>
    </row>
    <row r="526" spans="14:18" x14ac:dyDescent="0.2">
      <c r="N526" s="6"/>
      <c r="O526" s="2"/>
      <c r="P526" s="2"/>
      <c r="Q526" s="2"/>
      <c r="R526" s="8"/>
    </row>
    <row r="527" spans="14:18" x14ac:dyDescent="0.2">
      <c r="N527" s="6"/>
      <c r="O527" s="2"/>
      <c r="P527" s="2"/>
      <c r="Q527" s="2"/>
      <c r="R527" s="8"/>
    </row>
    <row r="528" spans="14:18" x14ac:dyDescent="0.2">
      <c r="N528" s="6"/>
      <c r="O528" s="2"/>
      <c r="P528" s="2"/>
      <c r="Q528" s="2"/>
      <c r="R528" s="8"/>
    </row>
    <row r="529" spans="14:18" x14ac:dyDescent="0.2">
      <c r="N529" s="6"/>
      <c r="O529" s="2"/>
      <c r="P529" s="2"/>
      <c r="Q529" s="2"/>
      <c r="R529" s="8"/>
    </row>
    <row r="530" spans="14:18" x14ac:dyDescent="0.2">
      <c r="N530" s="6"/>
      <c r="O530" s="2"/>
      <c r="P530" s="2"/>
      <c r="Q530" s="2"/>
      <c r="R530" s="8"/>
    </row>
    <row r="531" spans="14:18" x14ac:dyDescent="0.2">
      <c r="N531" s="6"/>
      <c r="O531" s="2"/>
      <c r="P531" s="2"/>
      <c r="Q531" s="2"/>
      <c r="R531" s="8"/>
    </row>
    <row r="532" spans="14:18" x14ac:dyDescent="0.2">
      <c r="N532" s="6"/>
      <c r="O532" s="2"/>
      <c r="P532" s="2"/>
      <c r="Q532" s="2"/>
      <c r="R532" s="8"/>
    </row>
    <row r="533" spans="14:18" x14ac:dyDescent="0.2">
      <c r="N533" s="6"/>
      <c r="O533" s="2"/>
      <c r="P533" s="2"/>
      <c r="Q533" s="2"/>
      <c r="R533" s="8"/>
    </row>
    <row r="534" spans="14:18" x14ac:dyDescent="0.2">
      <c r="N534" s="6"/>
      <c r="O534" s="2"/>
      <c r="P534" s="2"/>
      <c r="Q534" s="2"/>
      <c r="R534" s="8"/>
    </row>
    <row r="535" spans="14:18" x14ac:dyDescent="0.2">
      <c r="N535" s="6"/>
      <c r="O535" s="2"/>
      <c r="P535" s="2"/>
      <c r="Q535" s="2"/>
      <c r="R535" s="8"/>
    </row>
    <row r="536" spans="14:18" x14ac:dyDescent="0.2">
      <c r="N536" s="6"/>
      <c r="O536" s="2"/>
      <c r="P536" s="2"/>
      <c r="Q536" s="2"/>
      <c r="R536" s="8"/>
    </row>
    <row r="537" spans="14:18" x14ac:dyDescent="0.2">
      <c r="N537" s="6"/>
      <c r="O537" s="2"/>
      <c r="P537" s="2"/>
      <c r="Q537" s="2"/>
      <c r="R537" s="8"/>
    </row>
    <row r="538" spans="14:18" x14ac:dyDescent="0.2">
      <c r="N538" s="6"/>
      <c r="O538" s="2"/>
      <c r="P538" s="2"/>
      <c r="Q538" s="2"/>
      <c r="R538" s="8"/>
    </row>
    <row r="539" spans="14:18" x14ac:dyDescent="0.2">
      <c r="N539" s="6"/>
      <c r="O539" s="2"/>
      <c r="P539" s="2"/>
      <c r="Q539" s="2"/>
      <c r="R539" s="8"/>
    </row>
    <row r="540" spans="14:18" x14ac:dyDescent="0.2">
      <c r="N540" s="6"/>
      <c r="O540" s="2"/>
      <c r="P540" s="2"/>
      <c r="Q540" s="2"/>
      <c r="R540" s="8"/>
    </row>
    <row r="541" spans="14:18" x14ac:dyDescent="0.2">
      <c r="N541" s="6"/>
      <c r="O541" s="2"/>
      <c r="P541" s="2"/>
      <c r="Q541" s="2"/>
      <c r="R541" s="8"/>
    </row>
    <row r="542" spans="14:18" x14ac:dyDescent="0.2">
      <c r="N542" s="6"/>
      <c r="O542" s="2"/>
      <c r="P542" s="2"/>
      <c r="Q542" s="2"/>
      <c r="R542" s="8"/>
    </row>
    <row r="543" spans="14:18" x14ac:dyDescent="0.2">
      <c r="N543" s="6"/>
      <c r="O543" s="2"/>
      <c r="P543" s="2"/>
      <c r="Q543" s="2"/>
      <c r="R543" s="8"/>
    </row>
    <row r="544" spans="14:18" x14ac:dyDescent="0.2">
      <c r="N544" s="6"/>
      <c r="O544" s="2"/>
      <c r="P544" s="2"/>
      <c r="Q544" s="2"/>
      <c r="R544" s="8"/>
    </row>
    <row r="545" spans="14:18" x14ac:dyDescent="0.2">
      <c r="N545" s="6"/>
      <c r="O545" s="2"/>
      <c r="P545" s="2"/>
      <c r="Q545" s="2"/>
      <c r="R545" s="8"/>
    </row>
    <row r="546" spans="14:18" x14ac:dyDescent="0.2">
      <c r="N546" s="6"/>
      <c r="O546" s="2"/>
      <c r="P546" s="2"/>
      <c r="Q546" s="2"/>
      <c r="R546" s="8"/>
    </row>
    <row r="547" spans="14:18" x14ac:dyDescent="0.2">
      <c r="N547" s="6"/>
      <c r="O547" s="2"/>
      <c r="P547" s="2"/>
      <c r="Q547" s="2"/>
      <c r="R547" s="8"/>
    </row>
    <row r="548" spans="14:18" x14ac:dyDescent="0.2">
      <c r="N548" s="6"/>
      <c r="O548" s="2"/>
      <c r="P548" s="2"/>
      <c r="Q548" s="2"/>
      <c r="R548" s="8"/>
    </row>
    <row r="549" spans="14:18" x14ac:dyDescent="0.2">
      <c r="N549" s="6"/>
      <c r="O549" s="2"/>
      <c r="P549" s="2"/>
      <c r="Q549" s="2"/>
      <c r="R549" s="8"/>
    </row>
    <row r="550" spans="14:18" x14ac:dyDescent="0.2">
      <c r="N550" s="6"/>
      <c r="O550" s="2"/>
      <c r="P550" s="2"/>
      <c r="Q550" s="2"/>
      <c r="R550" s="8"/>
    </row>
    <row r="551" spans="14:18" x14ac:dyDescent="0.2">
      <c r="N551" s="6"/>
      <c r="O551" s="2"/>
      <c r="P551" s="2"/>
      <c r="Q551" s="2"/>
      <c r="R551" s="8"/>
    </row>
    <row r="552" spans="14:18" x14ac:dyDescent="0.2">
      <c r="N552" s="6"/>
      <c r="O552" s="2"/>
      <c r="P552" s="2"/>
      <c r="Q552" s="2"/>
      <c r="R552" s="8"/>
    </row>
    <row r="553" spans="14:18" x14ac:dyDescent="0.2">
      <c r="N553" s="6"/>
      <c r="O553" s="2"/>
      <c r="P553" s="2"/>
      <c r="Q553" s="2"/>
      <c r="R553" s="8"/>
    </row>
    <row r="554" spans="14:18" x14ac:dyDescent="0.2">
      <c r="N554" s="6"/>
      <c r="O554" s="2"/>
      <c r="P554" s="2"/>
      <c r="Q554" s="2"/>
      <c r="R554" s="8"/>
    </row>
    <row r="555" spans="14:18" x14ac:dyDescent="0.2">
      <c r="N555" s="6"/>
      <c r="O555" s="2"/>
      <c r="P555" s="2"/>
      <c r="Q555" s="2"/>
      <c r="R555" s="8"/>
    </row>
    <row r="556" spans="14:18" x14ac:dyDescent="0.2">
      <c r="N556" s="6"/>
      <c r="O556" s="2"/>
      <c r="P556" s="2"/>
      <c r="Q556" s="2"/>
      <c r="R556" s="8"/>
    </row>
    <row r="557" spans="14:18" x14ac:dyDescent="0.2">
      <c r="N557" s="6"/>
      <c r="O557" s="2"/>
      <c r="P557" s="2"/>
      <c r="Q557" s="2"/>
      <c r="R557" s="8"/>
    </row>
    <row r="558" spans="14:18" x14ac:dyDescent="0.2">
      <c r="N558" s="6"/>
      <c r="O558" s="2"/>
      <c r="P558" s="2"/>
      <c r="Q558" s="2"/>
      <c r="R558" s="8"/>
    </row>
    <row r="559" spans="14:18" x14ac:dyDescent="0.2">
      <c r="N559" s="6"/>
      <c r="O559" s="2"/>
      <c r="P559" s="2"/>
      <c r="Q559" s="2"/>
      <c r="R559" s="8"/>
    </row>
    <row r="560" spans="14:18" x14ac:dyDescent="0.2">
      <c r="N560" s="6"/>
      <c r="O560" s="2"/>
      <c r="P560" s="2"/>
      <c r="Q560" s="2"/>
      <c r="R560" s="8"/>
    </row>
    <row r="561" spans="14:18" x14ac:dyDescent="0.2">
      <c r="N561" s="6"/>
      <c r="O561" s="2"/>
      <c r="P561" s="2"/>
      <c r="Q561" s="2"/>
      <c r="R561" s="8"/>
    </row>
    <row r="562" spans="14:18" x14ac:dyDescent="0.2">
      <c r="N562" s="6"/>
      <c r="O562" s="2"/>
      <c r="P562" s="2"/>
      <c r="Q562" s="2"/>
      <c r="R562" s="8"/>
    </row>
    <row r="563" spans="14:18" x14ac:dyDescent="0.2">
      <c r="N563" s="6"/>
      <c r="O563" s="2"/>
      <c r="P563" s="2"/>
      <c r="Q563" s="2"/>
      <c r="R563" s="8"/>
    </row>
    <row r="564" spans="14:18" x14ac:dyDescent="0.2">
      <c r="N564" s="6"/>
      <c r="O564" s="2"/>
      <c r="P564" s="2"/>
      <c r="Q564" s="2"/>
      <c r="R564" s="8"/>
    </row>
    <row r="565" spans="14:18" x14ac:dyDescent="0.2">
      <c r="N565" s="6"/>
      <c r="O565" s="2"/>
      <c r="P565" s="2"/>
      <c r="Q565" s="2"/>
      <c r="R565" s="8"/>
    </row>
    <row r="566" spans="14:18" x14ac:dyDescent="0.2">
      <c r="N566" s="6"/>
      <c r="O566" s="2"/>
      <c r="P566" s="2"/>
      <c r="Q566" s="2"/>
      <c r="R566" s="8"/>
    </row>
    <row r="567" spans="14:18" x14ac:dyDescent="0.2">
      <c r="N567" s="6"/>
      <c r="O567" s="2"/>
      <c r="P567" s="2"/>
      <c r="Q567" s="2"/>
      <c r="R567" s="8"/>
    </row>
    <row r="568" spans="14:18" x14ac:dyDescent="0.2">
      <c r="N568" s="6"/>
      <c r="O568" s="2"/>
      <c r="P568" s="2"/>
      <c r="Q568" s="2"/>
      <c r="R568" s="8"/>
    </row>
    <row r="569" spans="14:18" x14ac:dyDescent="0.2">
      <c r="N569" s="6"/>
      <c r="O569" s="2"/>
      <c r="P569" s="2"/>
      <c r="Q569" s="2"/>
      <c r="R569" s="8"/>
    </row>
    <row r="570" spans="14:18" x14ac:dyDescent="0.2">
      <c r="N570" s="6"/>
      <c r="O570" s="2"/>
      <c r="P570" s="2"/>
      <c r="Q570" s="2"/>
      <c r="R570" s="8"/>
    </row>
    <row r="571" spans="14:18" x14ac:dyDescent="0.2">
      <c r="N571" s="6"/>
      <c r="O571" s="2"/>
      <c r="P571" s="2"/>
      <c r="Q571" s="2"/>
      <c r="R571" s="8"/>
    </row>
    <row r="572" spans="14:18" x14ac:dyDescent="0.2">
      <c r="N572" s="6"/>
      <c r="O572" s="2"/>
      <c r="P572" s="2"/>
      <c r="Q572" s="2"/>
      <c r="R572" s="8"/>
    </row>
    <row r="573" spans="14:18" x14ac:dyDescent="0.2">
      <c r="N573" s="6"/>
      <c r="O573" s="2"/>
      <c r="P573" s="2"/>
      <c r="Q573" s="2"/>
      <c r="R573" s="8"/>
    </row>
    <row r="574" spans="14:18" x14ac:dyDescent="0.2">
      <c r="N574" s="6"/>
      <c r="O574" s="2"/>
      <c r="P574" s="2"/>
      <c r="Q574" s="2"/>
      <c r="R574" s="8"/>
    </row>
    <row r="575" spans="14:18" x14ac:dyDescent="0.2">
      <c r="N575" s="6"/>
      <c r="O575" s="2"/>
      <c r="P575" s="2"/>
      <c r="Q575" s="2"/>
      <c r="R575" s="8"/>
    </row>
    <row r="576" spans="14:18" x14ac:dyDescent="0.2">
      <c r="N576" s="6"/>
      <c r="O576" s="2"/>
      <c r="P576" s="2"/>
      <c r="Q576" s="2"/>
      <c r="R576" s="8"/>
    </row>
    <row r="577" spans="14:18" x14ac:dyDescent="0.2">
      <c r="N577" s="6"/>
      <c r="O577" s="2"/>
      <c r="P577" s="2"/>
      <c r="Q577" s="2"/>
      <c r="R577" s="8"/>
    </row>
    <row r="578" spans="14:18" x14ac:dyDescent="0.2">
      <c r="N578" s="6"/>
      <c r="O578" s="2"/>
      <c r="P578" s="2"/>
      <c r="Q578" s="2"/>
      <c r="R578" s="8"/>
    </row>
    <row r="579" spans="14:18" x14ac:dyDescent="0.2">
      <c r="N579" s="6"/>
      <c r="O579" s="2"/>
      <c r="P579" s="2"/>
      <c r="Q579" s="2"/>
      <c r="R579" s="8"/>
    </row>
    <row r="580" spans="14:18" x14ac:dyDescent="0.2">
      <c r="N580" s="6"/>
      <c r="O580" s="2"/>
      <c r="P580" s="2"/>
      <c r="Q580" s="2"/>
      <c r="R580" s="8"/>
    </row>
    <row r="581" spans="14:18" x14ac:dyDescent="0.2">
      <c r="N581" s="6"/>
      <c r="O581" s="2"/>
      <c r="P581" s="2"/>
      <c r="Q581" s="2"/>
      <c r="R581" s="8"/>
    </row>
    <row r="582" spans="14:18" x14ac:dyDescent="0.2">
      <c r="N582" s="6"/>
      <c r="O582" s="2"/>
      <c r="P582" s="2"/>
      <c r="Q582" s="2"/>
      <c r="R582" s="8"/>
    </row>
    <row r="583" spans="14:18" x14ac:dyDescent="0.2">
      <c r="N583" s="6"/>
      <c r="O583" s="2"/>
      <c r="P583" s="2"/>
      <c r="Q583" s="2"/>
      <c r="R583" s="8"/>
    </row>
    <row r="584" spans="14:18" x14ac:dyDescent="0.2">
      <c r="N584" s="6"/>
      <c r="O584" s="2"/>
      <c r="P584" s="2"/>
      <c r="Q584" s="2"/>
      <c r="R584" s="8"/>
    </row>
    <row r="585" spans="14:18" x14ac:dyDescent="0.2">
      <c r="N585" s="6"/>
      <c r="O585" s="2"/>
      <c r="P585" s="2"/>
      <c r="Q585" s="2"/>
      <c r="R585" s="8"/>
    </row>
    <row r="586" spans="14:18" x14ac:dyDescent="0.2">
      <c r="N586" s="6"/>
      <c r="O586" s="2"/>
      <c r="P586" s="2"/>
      <c r="Q586" s="2"/>
      <c r="R586" s="8"/>
    </row>
    <row r="587" spans="14:18" x14ac:dyDescent="0.2">
      <c r="N587" s="6"/>
      <c r="O587" s="2"/>
      <c r="P587" s="2"/>
      <c r="Q587" s="2"/>
      <c r="R587" s="8"/>
    </row>
    <row r="588" spans="14:18" x14ac:dyDescent="0.2">
      <c r="N588" s="6"/>
      <c r="O588" s="2"/>
      <c r="P588" s="2"/>
      <c r="Q588" s="2"/>
      <c r="R588" s="8"/>
    </row>
    <row r="589" spans="14:18" x14ac:dyDescent="0.2">
      <c r="N589" s="6"/>
      <c r="O589" s="2"/>
      <c r="P589" s="2"/>
      <c r="Q589" s="2"/>
      <c r="R589" s="8"/>
    </row>
    <row r="590" spans="14:18" x14ac:dyDescent="0.2">
      <c r="N590" s="6"/>
      <c r="O590" s="2"/>
      <c r="P590" s="2"/>
      <c r="Q590" s="2"/>
      <c r="R590" s="8"/>
    </row>
    <row r="591" spans="14:18" x14ac:dyDescent="0.2">
      <c r="N591" s="6"/>
      <c r="O591" s="2"/>
      <c r="P591" s="2"/>
      <c r="Q591" s="2"/>
      <c r="R591" s="8"/>
    </row>
    <row r="592" spans="14:18" x14ac:dyDescent="0.2">
      <c r="N592" s="6"/>
      <c r="O592" s="2"/>
      <c r="P592" s="2"/>
      <c r="Q592" s="2"/>
      <c r="R592" s="8"/>
    </row>
    <row r="593" spans="14:18" x14ac:dyDescent="0.2">
      <c r="N593" s="6"/>
      <c r="O593" s="2"/>
      <c r="P593" s="2"/>
      <c r="Q593" s="2"/>
      <c r="R593" s="8"/>
    </row>
    <row r="594" spans="14:18" x14ac:dyDescent="0.2">
      <c r="N594" s="6"/>
      <c r="O594" s="2"/>
      <c r="P594" s="2"/>
      <c r="Q594" s="2"/>
      <c r="R594" s="8"/>
    </row>
    <row r="595" spans="14:18" x14ac:dyDescent="0.2">
      <c r="N595" s="6"/>
      <c r="O595" s="2"/>
      <c r="P595" s="2"/>
      <c r="Q595" s="2"/>
      <c r="R595" s="8"/>
    </row>
    <row r="596" spans="14:18" x14ac:dyDescent="0.2">
      <c r="N596" s="6"/>
      <c r="O596" s="2"/>
      <c r="P596" s="2"/>
      <c r="Q596" s="2"/>
      <c r="R596" s="8"/>
    </row>
    <row r="597" spans="14:18" x14ac:dyDescent="0.2">
      <c r="N597" s="6"/>
      <c r="O597" s="2"/>
      <c r="P597" s="2"/>
      <c r="Q597" s="2"/>
      <c r="R597" s="8"/>
    </row>
    <row r="598" spans="14:18" x14ac:dyDescent="0.2">
      <c r="N598" s="6"/>
      <c r="O598" s="2"/>
      <c r="P598" s="2"/>
      <c r="Q598" s="2"/>
      <c r="R598" s="8"/>
    </row>
    <row r="599" spans="14:18" x14ac:dyDescent="0.2">
      <c r="N599" s="6"/>
      <c r="O599" s="2"/>
      <c r="P599" s="2"/>
      <c r="Q599" s="2"/>
      <c r="R599" s="8"/>
    </row>
    <row r="600" spans="14:18" x14ac:dyDescent="0.2">
      <c r="N600" s="6"/>
      <c r="O600" s="2"/>
      <c r="P600" s="2"/>
      <c r="Q600" s="2"/>
      <c r="R600" s="8"/>
    </row>
    <row r="601" spans="14:18" x14ac:dyDescent="0.2">
      <c r="N601" s="6"/>
      <c r="O601" s="2"/>
      <c r="P601" s="2"/>
      <c r="Q601" s="2"/>
      <c r="R601" s="8"/>
    </row>
    <row r="602" spans="14:18" x14ac:dyDescent="0.2">
      <c r="N602" s="6"/>
      <c r="O602" s="2"/>
      <c r="P602" s="2"/>
      <c r="Q602" s="2"/>
      <c r="R602" s="8"/>
    </row>
    <row r="603" spans="14:18" x14ac:dyDescent="0.2">
      <c r="N603" s="6"/>
      <c r="O603" s="2"/>
      <c r="P603" s="2"/>
      <c r="Q603" s="2"/>
      <c r="R603" s="8"/>
    </row>
    <row r="604" spans="14:18" x14ac:dyDescent="0.2">
      <c r="N604" s="6"/>
      <c r="O604" s="2"/>
      <c r="P604" s="2"/>
      <c r="Q604" s="2"/>
      <c r="R604" s="8"/>
    </row>
    <row r="605" spans="14:18" x14ac:dyDescent="0.2">
      <c r="N605" s="6"/>
      <c r="O605" s="2"/>
      <c r="P605" s="2"/>
      <c r="Q605" s="2"/>
      <c r="R605" s="8"/>
    </row>
    <row r="606" spans="14:18" x14ac:dyDescent="0.2">
      <c r="N606" s="6"/>
      <c r="O606" s="2"/>
      <c r="P606" s="2"/>
      <c r="Q606" s="2"/>
      <c r="R606" s="8"/>
    </row>
    <row r="607" spans="14:18" x14ac:dyDescent="0.2">
      <c r="N607" s="6"/>
      <c r="O607" s="2"/>
      <c r="P607" s="2"/>
      <c r="Q607" s="2"/>
      <c r="R607" s="8"/>
    </row>
    <row r="608" spans="14:18" x14ac:dyDescent="0.2">
      <c r="N608" s="6"/>
      <c r="O608" s="2"/>
      <c r="P608" s="2"/>
      <c r="Q608" s="2"/>
      <c r="R608" s="8"/>
    </row>
    <row r="609" spans="14:18" x14ac:dyDescent="0.2">
      <c r="N609" s="6"/>
      <c r="O609" s="2"/>
      <c r="P609" s="2"/>
      <c r="Q609" s="2"/>
      <c r="R609" s="8"/>
    </row>
    <row r="610" spans="14:18" x14ac:dyDescent="0.2">
      <c r="N610" s="6"/>
      <c r="O610" s="2"/>
      <c r="P610" s="2"/>
      <c r="Q610" s="2"/>
      <c r="R610" s="8"/>
    </row>
    <row r="611" spans="14:18" x14ac:dyDescent="0.2">
      <c r="N611" s="6"/>
      <c r="O611" s="2"/>
      <c r="P611" s="2"/>
      <c r="Q611" s="2"/>
      <c r="R611" s="8"/>
    </row>
    <row r="612" spans="14:18" x14ac:dyDescent="0.2">
      <c r="N612" s="6"/>
      <c r="O612" s="2"/>
      <c r="P612" s="2"/>
      <c r="Q612" s="2"/>
      <c r="R612" s="8"/>
    </row>
    <row r="613" spans="14:18" x14ac:dyDescent="0.2">
      <c r="N613" s="6"/>
      <c r="O613" s="2"/>
      <c r="P613" s="2"/>
      <c r="Q613" s="2"/>
      <c r="R613" s="8"/>
    </row>
    <row r="614" spans="14:18" x14ac:dyDescent="0.2">
      <c r="N614" s="6"/>
      <c r="O614" s="2"/>
      <c r="P614" s="2"/>
      <c r="Q614" s="2"/>
      <c r="R614" s="8"/>
    </row>
    <row r="615" spans="14:18" x14ac:dyDescent="0.2">
      <c r="N615" s="6"/>
      <c r="O615" s="2"/>
      <c r="P615" s="2"/>
      <c r="Q615" s="2"/>
      <c r="R615" s="8"/>
    </row>
    <row r="616" spans="14:18" x14ac:dyDescent="0.2">
      <c r="N616" s="6"/>
      <c r="O616" s="2"/>
      <c r="P616" s="2"/>
      <c r="Q616" s="2"/>
      <c r="R616" s="8"/>
    </row>
    <row r="617" spans="14:18" x14ac:dyDescent="0.2">
      <c r="N617" s="6"/>
      <c r="O617" s="2"/>
      <c r="P617" s="2"/>
      <c r="Q617" s="2"/>
      <c r="R617" s="8"/>
    </row>
    <row r="618" spans="14:18" x14ac:dyDescent="0.2">
      <c r="N618" s="6"/>
      <c r="O618" s="2"/>
      <c r="P618" s="2"/>
      <c r="Q618" s="2"/>
      <c r="R618" s="8"/>
    </row>
    <row r="619" spans="14:18" x14ac:dyDescent="0.2">
      <c r="N619" s="6"/>
      <c r="O619" s="2"/>
      <c r="P619" s="2"/>
      <c r="Q619" s="2"/>
      <c r="R619" s="8"/>
    </row>
    <row r="620" spans="14:18" x14ac:dyDescent="0.2">
      <c r="N620" s="6"/>
      <c r="O620" s="2"/>
      <c r="P620" s="2"/>
      <c r="Q620" s="2"/>
      <c r="R620" s="8"/>
    </row>
    <row r="621" spans="14:18" x14ac:dyDescent="0.2">
      <c r="N621" s="6"/>
      <c r="O621" s="2"/>
      <c r="P621" s="2"/>
      <c r="Q621" s="2"/>
      <c r="R621" s="8"/>
    </row>
    <row r="622" spans="14:18" x14ac:dyDescent="0.2">
      <c r="N622" s="6"/>
      <c r="O622" s="2"/>
      <c r="P622" s="2"/>
      <c r="Q622" s="2"/>
      <c r="R622" s="8"/>
    </row>
    <row r="623" spans="14:18" x14ac:dyDescent="0.2">
      <c r="N623" s="6"/>
      <c r="O623" s="2"/>
      <c r="P623" s="2"/>
      <c r="Q623" s="2"/>
      <c r="R623" s="8"/>
    </row>
    <row r="624" spans="14:18" x14ac:dyDescent="0.2">
      <c r="N624" s="6"/>
      <c r="O624" s="2"/>
      <c r="P624" s="2"/>
      <c r="Q624" s="2"/>
      <c r="R624" s="8"/>
    </row>
    <row r="625" spans="14:18" x14ac:dyDescent="0.2">
      <c r="N625" s="6"/>
      <c r="O625" s="2"/>
      <c r="P625" s="2"/>
      <c r="Q625" s="2"/>
      <c r="R625" s="8"/>
    </row>
    <row r="626" spans="14:18" x14ac:dyDescent="0.2">
      <c r="N626" s="6"/>
      <c r="O626" s="2"/>
      <c r="P626" s="2"/>
      <c r="Q626" s="2"/>
      <c r="R626" s="8"/>
    </row>
    <row r="627" spans="14:18" x14ac:dyDescent="0.2">
      <c r="N627" s="6"/>
      <c r="O627" s="2"/>
      <c r="P627" s="2"/>
      <c r="Q627" s="2"/>
      <c r="R627" s="8"/>
    </row>
    <row r="628" spans="14:18" x14ac:dyDescent="0.2">
      <c r="N628" s="6"/>
      <c r="O628" s="2"/>
      <c r="P628" s="2"/>
      <c r="Q628" s="2"/>
      <c r="R628" s="8"/>
    </row>
    <row r="629" spans="14:18" x14ac:dyDescent="0.2">
      <c r="N629" s="6"/>
      <c r="O629" s="2"/>
      <c r="P629" s="2"/>
      <c r="Q629" s="2"/>
      <c r="R629" s="8"/>
    </row>
    <row r="630" spans="14:18" x14ac:dyDescent="0.2">
      <c r="N630" s="6"/>
      <c r="O630" s="2"/>
      <c r="P630" s="2"/>
      <c r="Q630" s="2"/>
      <c r="R630" s="8"/>
    </row>
    <row r="631" spans="14:18" x14ac:dyDescent="0.2">
      <c r="N631" s="6"/>
      <c r="O631" s="2"/>
      <c r="P631" s="2"/>
      <c r="Q631" s="2"/>
      <c r="R631" s="8"/>
    </row>
    <row r="632" spans="14:18" x14ac:dyDescent="0.2">
      <c r="N632" s="6"/>
      <c r="O632" s="2"/>
      <c r="P632" s="2"/>
      <c r="Q632" s="2"/>
      <c r="R632" s="8"/>
    </row>
    <row r="633" spans="14:18" x14ac:dyDescent="0.2">
      <c r="N633" s="6"/>
      <c r="O633" s="2"/>
      <c r="P633" s="2"/>
      <c r="Q633" s="2"/>
      <c r="R633" s="8"/>
    </row>
    <row r="634" spans="14:18" x14ac:dyDescent="0.2">
      <c r="N634" s="6"/>
      <c r="O634" s="2"/>
      <c r="P634" s="2"/>
      <c r="Q634" s="2"/>
      <c r="R634" s="8"/>
    </row>
    <row r="635" spans="14:18" x14ac:dyDescent="0.2">
      <c r="N635" s="6"/>
      <c r="O635" s="2"/>
      <c r="P635" s="2"/>
      <c r="Q635" s="2"/>
      <c r="R635" s="8"/>
    </row>
    <row r="636" spans="14:18" x14ac:dyDescent="0.2">
      <c r="N636" s="6"/>
      <c r="O636" s="2"/>
      <c r="P636" s="2"/>
      <c r="Q636" s="2"/>
      <c r="R636" s="8"/>
    </row>
    <row r="637" spans="14:18" x14ac:dyDescent="0.2">
      <c r="N637" s="6"/>
      <c r="O637" s="2"/>
      <c r="P637" s="2"/>
      <c r="Q637" s="2"/>
      <c r="R637" s="8"/>
    </row>
    <row r="638" spans="14:18" x14ac:dyDescent="0.2">
      <c r="N638" s="6"/>
      <c r="O638" s="2"/>
      <c r="P638" s="2"/>
      <c r="Q638" s="2"/>
      <c r="R638" s="8"/>
    </row>
    <row r="639" spans="14:18" x14ac:dyDescent="0.2">
      <c r="N639" s="6"/>
      <c r="O639" s="2"/>
      <c r="P639" s="2"/>
      <c r="Q639" s="2"/>
      <c r="R639" s="8"/>
    </row>
    <row r="640" spans="14:18" x14ac:dyDescent="0.2">
      <c r="N640" s="6"/>
      <c r="O640" s="2"/>
      <c r="P640" s="2"/>
      <c r="Q640" s="2"/>
      <c r="R640" s="8"/>
    </row>
    <row r="641" spans="14:18" x14ac:dyDescent="0.2">
      <c r="N641" s="6"/>
      <c r="O641" s="2"/>
      <c r="P641" s="2"/>
      <c r="Q641" s="2"/>
      <c r="R641" s="8"/>
    </row>
    <row r="642" spans="14:18" x14ac:dyDescent="0.2">
      <c r="N642" s="6"/>
      <c r="O642" s="2"/>
      <c r="P642" s="2"/>
      <c r="Q642" s="2"/>
      <c r="R642" s="8"/>
    </row>
    <row r="643" spans="14:18" x14ac:dyDescent="0.2">
      <c r="N643" s="6"/>
      <c r="O643" s="2"/>
      <c r="P643" s="2"/>
      <c r="Q643" s="2"/>
      <c r="R643" s="8"/>
    </row>
    <row r="644" spans="14:18" x14ac:dyDescent="0.2">
      <c r="N644" s="6"/>
      <c r="O644" s="2"/>
      <c r="P644" s="2"/>
      <c r="Q644" s="2"/>
      <c r="R644" s="8"/>
    </row>
    <row r="645" spans="14:18" x14ac:dyDescent="0.2">
      <c r="N645" s="6"/>
      <c r="O645" s="2"/>
      <c r="P645" s="2"/>
      <c r="Q645" s="2"/>
      <c r="R645" s="8"/>
    </row>
    <row r="646" spans="14:18" x14ac:dyDescent="0.2">
      <c r="N646" s="6"/>
      <c r="O646" s="2"/>
      <c r="P646" s="2"/>
      <c r="Q646" s="2"/>
      <c r="R646" s="8"/>
    </row>
    <row r="647" spans="14:18" x14ac:dyDescent="0.2">
      <c r="N647" s="6"/>
      <c r="O647" s="2"/>
      <c r="P647" s="2"/>
      <c r="Q647" s="2"/>
      <c r="R647" s="8"/>
    </row>
    <row r="648" spans="14:18" x14ac:dyDescent="0.2">
      <c r="N648" s="6"/>
      <c r="O648" s="2"/>
      <c r="P648" s="2"/>
      <c r="Q648" s="2"/>
      <c r="R648" s="8"/>
    </row>
    <row r="649" spans="14:18" x14ac:dyDescent="0.2">
      <c r="N649" s="6"/>
      <c r="O649" s="2"/>
      <c r="P649" s="2"/>
      <c r="Q649" s="2"/>
      <c r="R649" s="8"/>
    </row>
    <row r="650" spans="14:18" x14ac:dyDescent="0.2">
      <c r="N650" s="6"/>
      <c r="O650" s="2"/>
      <c r="P650" s="2"/>
      <c r="Q650" s="2"/>
      <c r="R650" s="8"/>
    </row>
    <row r="651" spans="14:18" x14ac:dyDescent="0.2">
      <c r="N651" s="6"/>
      <c r="O651" s="2"/>
      <c r="P651" s="2"/>
      <c r="Q651" s="2"/>
      <c r="R651" s="8"/>
    </row>
    <row r="652" spans="14:18" x14ac:dyDescent="0.2">
      <c r="N652" s="6"/>
      <c r="O652" s="2"/>
      <c r="P652" s="2"/>
      <c r="Q652" s="2"/>
      <c r="R652" s="8"/>
    </row>
    <row r="653" spans="14:18" x14ac:dyDescent="0.2">
      <c r="N653" s="6"/>
      <c r="O653" s="2"/>
      <c r="P653" s="2"/>
      <c r="Q653" s="2"/>
      <c r="R653" s="8"/>
    </row>
    <row r="654" spans="14:18" x14ac:dyDescent="0.2">
      <c r="N654" s="6"/>
      <c r="O654" s="2"/>
      <c r="P654" s="2"/>
      <c r="Q654" s="2"/>
      <c r="R654" s="8"/>
    </row>
    <row r="655" spans="14:18" x14ac:dyDescent="0.2">
      <c r="N655" s="6"/>
      <c r="O655" s="2"/>
      <c r="P655" s="2"/>
      <c r="Q655" s="2"/>
      <c r="R655" s="8"/>
    </row>
    <row r="656" spans="14:18" x14ac:dyDescent="0.2">
      <c r="N656" s="6"/>
      <c r="O656" s="2"/>
      <c r="P656" s="2"/>
      <c r="Q656" s="2"/>
      <c r="R656" s="8"/>
    </row>
    <row r="657" spans="14:18" x14ac:dyDescent="0.2">
      <c r="N657" s="6"/>
      <c r="O657" s="2"/>
      <c r="P657" s="2"/>
      <c r="Q657" s="2"/>
      <c r="R657" s="8"/>
    </row>
    <row r="658" spans="14:18" x14ac:dyDescent="0.2">
      <c r="N658" s="6"/>
      <c r="O658" s="2"/>
      <c r="P658" s="2"/>
      <c r="Q658" s="2"/>
      <c r="R658" s="8"/>
    </row>
    <row r="659" spans="14:18" x14ac:dyDescent="0.2">
      <c r="N659" s="6"/>
      <c r="O659" s="2"/>
      <c r="P659" s="2"/>
      <c r="Q659" s="2"/>
      <c r="R659" s="8"/>
    </row>
    <row r="660" spans="14:18" x14ac:dyDescent="0.2">
      <c r="N660" s="6"/>
      <c r="O660" s="2"/>
      <c r="P660" s="2"/>
      <c r="Q660" s="2"/>
      <c r="R660" s="8"/>
    </row>
    <row r="661" spans="14:18" x14ac:dyDescent="0.2">
      <c r="N661" s="6"/>
      <c r="O661" s="2"/>
      <c r="P661" s="2"/>
      <c r="Q661" s="2"/>
      <c r="R661" s="8"/>
    </row>
    <row r="662" spans="14:18" x14ac:dyDescent="0.2">
      <c r="N662" s="6"/>
      <c r="O662" s="2"/>
      <c r="P662" s="2"/>
      <c r="Q662" s="2"/>
      <c r="R662" s="8"/>
    </row>
    <row r="663" spans="14:18" x14ac:dyDescent="0.2">
      <c r="N663" s="6"/>
      <c r="O663" s="2"/>
      <c r="P663" s="2"/>
      <c r="Q663" s="2"/>
      <c r="R663" s="8"/>
    </row>
    <row r="664" spans="14:18" x14ac:dyDescent="0.2">
      <c r="N664" s="6"/>
      <c r="O664" s="2"/>
      <c r="P664" s="2"/>
      <c r="Q664" s="2"/>
      <c r="R664" s="8"/>
    </row>
    <row r="665" spans="14:18" x14ac:dyDescent="0.2">
      <c r="N665" s="6"/>
      <c r="O665" s="2"/>
      <c r="P665" s="2"/>
      <c r="Q665" s="2"/>
      <c r="R665" s="8"/>
    </row>
    <row r="666" spans="14:18" x14ac:dyDescent="0.2">
      <c r="N666" s="6"/>
      <c r="O666" s="2"/>
      <c r="P666" s="2"/>
      <c r="Q666" s="2"/>
      <c r="R666" s="8"/>
    </row>
    <row r="667" spans="14:18" x14ac:dyDescent="0.2">
      <c r="N667" s="6"/>
      <c r="O667" s="2"/>
      <c r="P667" s="2"/>
      <c r="Q667" s="2"/>
      <c r="R667" s="8"/>
    </row>
    <row r="668" spans="14:18" x14ac:dyDescent="0.2">
      <c r="N668" s="6"/>
      <c r="O668" s="2"/>
      <c r="P668" s="2"/>
      <c r="Q668" s="2"/>
      <c r="R668" s="8"/>
    </row>
    <row r="669" spans="14:18" x14ac:dyDescent="0.2">
      <c r="N669" s="6"/>
      <c r="O669" s="2"/>
      <c r="P669" s="2"/>
      <c r="Q669" s="2"/>
      <c r="R669" s="8"/>
    </row>
    <row r="670" spans="14:18" x14ac:dyDescent="0.2">
      <c r="N670" s="6"/>
      <c r="O670" s="2"/>
      <c r="P670" s="2"/>
      <c r="Q670" s="2"/>
      <c r="R670" s="8"/>
    </row>
    <row r="671" spans="14:18" x14ac:dyDescent="0.2">
      <c r="N671" s="6"/>
      <c r="O671" s="2"/>
      <c r="P671" s="2"/>
      <c r="Q671" s="2"/>
      <c r="R671" s="8"/>
    </row>
    <row r="672" spans="14:18" x14ac:dyDescent="0.2">
      <c r="N672" s="6"/>
      <c r="O672" s="2"/>
      <c r="P672" s="2"/>
      <c r="Q672" s="2"/>
      <c r="R672" s="8"/>
    </row>
    <row r="673" spans="14:18" x14ac:dyDescent="0.2">
      <c r="N673" s="6"/>
      <c r="O673" s="2"/>
      <c r="P673" s="2"/>
      <c r="Q673" s="2"/>
      <c r="R673" s="8"/>
    </row>
    <row r="674" spans="14:18" x14ac:dyDescent="0.2">
      <c r="N674" s="6"/>
      <c r="O674" s="2"/>
      <c r="P674" s="2"/>
      <c r="Q674" s="2"/>
      <c r="R674" s="8"/>
    </row>
    <row r="675" spans="14:18" x14ac:dyDescent="0.2">
      <c r="N675" s="6"/>
      <c r="O675" s="2"/>
      <c r="P675" s="2"/>
      <c r="Q675" s="2"/>
      <c r="R675" s="8"/>
    </row>
    <row r="676" spans="14:18" x14ac:dyDescent="0.2">
      <c r="N676" s="6"/>
      <c r="O676" s="2"/>
      <c r="P676" s="2"/>
      <c r="Q676" s="2"/>
      <c r="R676" s="8"/>
    </row>
    <row r="677" spans="14:18" x14ac:dyDescent="0.2">
      <c r="N677" s="6"/>
      <c r="O677" s="2"/>
      <c r="P677" s="2"/>
      <c r="Q677" s="2"/>
      <c r="R677" s="8"/>
    </row>
    <row r="678" spans="14:18" x14ac:dyDescent="0.2">
      <c r="N678" s="6"/>
      <c r="O678" s="2"/>
      <c r="P678" s="2"/>
      <c r="Q678" s="2"/>
      <c r="R678" s="8"/>
    </row>
    <row r="679" spans="14:18" x14ac:dyDescent="0.2">
      <c r="N679" s="6"/>
      <c r="O679" s="2"/>
      <c r="P679" s="2"/>
      <c r="Q679" s="2"/>
      <c r="R679" s="8"/>
    </row>
    <row r="680" spans="14:18" x14ac:dyDescent="0.2">
      <c r="N680" s="6"/>
      <c r="O680" s="2"/>
      <c r="P680" s="2"/>
      <c r="Q680" s="2"/>
      <c r="R680" s="8"/>
    </row>
    <row r="681" spans="14:18" x14ac:dyDescent="0.2">
      <c r="N681" s="6"/>
      <c r="O681" s="2"/>
      <c r="P681" s="2"/>
      <c r="Q681" s="2"/>
      <c r="R681" s="8"/>
    </row>
    <row r="682" spans="14:18" x14ac:dyDescent="0.2">
      <c r="N682" s="6"/>
      <c r="O682" s="2"/>
      <c r="P682" s="2"/>
      <c r="Q682" s="2"/>
      <c r="R682" s="8"/>
    </row>
    <row r="683" spans="14:18" x14ac:dyDescent="0.2">
      <c r="N683" s="6"/>
      <c r="O683" s="2" t="e">
        <f>financials345[[#This Row],[Total Cost]]/financials345[[#This Row],[Right of Way Area]]</f>
        <v>#VALUE!</v>
      </c>
      <c r="P683" s="2"/>
      <c r="Q683" s="2"/>
      <c r="R683" s="8"/>
    </row>
    <row r="684" spans="14:18" x14ac:dyDescent="0.2">
      <c r="N684" s="6"/>
      <c r="O684" s="2" t="e">
        <f>financials345[[#This Row],[Total Cost]]/financials345[[#This Row],[Right of Way Area]]</f>
        <v>#VALUE!</v>
      </c>
      <c r="P684" s="2"/>
      <c r="Q684" s="2"/>
      <c r="R684" s="8"/>
    </row>
    <row r="685" spans="14:18" x14ac:dyDescent="0.2">
      <c r="N685" s="6"/>
      <c r="O685" s="2" t="e">
        <f>financials345[[#This Row],[Total Cost]]/financials345[[#This Row],[Right of Way Area]]</f>
        <v>#VALUE!</v>
      </c>
      <c r="P685" s="2"/>
      <c r="Q685" s="2"/>
      <c r="R685" s="8"/>
    </row>
    <row r="686" spans="14:18" x14ac:dyDescent="0.2">
      <c r="N686" s="6"/>
      <c r="O686" s="2" t="e">
        <f>financials345[[#This Row],[Total Cost]]/financials345[[#This Row],[Right of Way Area]]</f>
        <v>#VALUE!</v>
      </c>
      <c r="P686" s="2"/>
      <c r="Q686" s="2"/>
      <c r="R686" s="8"/>
    </row>
    <row r="687" spans="14:18" x14ac:dyDescent="0.2">
      <c r="N687" s="6"/>
      <c r="O687" s="2" t="e">
        <f>financials345[[#This Row],[Total Cost]]/financials345[[#This Row],[Right of Way Area]]</f>
        <v>#VALUE!</v>
      </c>
      <c r="P687" s="2"/>
      <c r="Q687" s="2"/>
      <c r="R687" s="8"/>
    </row>
    <row r="688" spans="14:18" x14ac:dyDescent="0.2">
      <c r="N688" s="6"/>
      <c r="O688" s="2" t="e">
        <f>financials345[[#This Row],[Total Cost]]/financials345[[#This Row],[Right of Way Area]]</f>
        <v>#VALUE!</v>
      </c>
      <c r="P688" s="2"/>
      <c r="Q688" s="2"/>
      <c r="R688" s="8"/>
    </row>
    <row r="689" spans="14:18" x14ac:dyDescent="0.2">
      <c r="N689" s="6"/>
      <c r="O689" s="2" t="e">
        <f>financials345[[#This Row],[Total Cost]]/financials345[[#This Row],[Right of Way Area]]</f>
        <v>#VALUE!</v>
      </c>
      <c r="P689" s="2"/>
      <c r="Q689" s="2"/>
      <c r="R689" s="8"/>
    </row>
    <row r="690" spans="14:18" x14ac:dyDescent="0.2">
      <c r="N690" s="6"/>
      <c r="O690" s="2" t="e">
        <f>financials345[[#This Row],[Total Cost]]/financials345[[#This Row],[Right of Way Area]]</f>
        <v>#VALUE!</v>
      </c>
      <c r="P690" s="2"/>
      <c r="Q690" s="2"/>
      <c r="R690" s="8"/>
    </row>
    <row r="691" spans="14:18" x14ac:dyDescent="0.2">
      <c r="N691" s="6"/>
      <c r="O691" s="2" t="e">
        <f>financials345[[#This Row],[Total Cost]]/financials345[[#This Row],[Right of Way Area]]</f>
        <v>#VALUE!</v>
      </c>
      <c r="P691" s="2"/>
      <c r="Q691" s="2"/>
      <c r="R691" s="8"/>
    </row>
    <row r="692" spans="14:18" x14ac:dyDescent="0.2">
      <c r="N692" s="6"/>
      <c r="O692" s="2" t="e">
        <f>financials345[[#This Row],[Total Cost]]/financials345[[#This Row],[Right of Way Area]]</f>
        <v>#VALUE!</v>
      </c>
      <c r="P692" s="2"/>
      <c r="Q692" s="2"/>
      <c r="R692" s="8"/>
    </row>
    <row r="693" spans="14:18" x14ac:dyDescent="0.2">
      <c r="N693" s="6"/>
      <c r="O693" s="2" t="e">
        <f>financials345[[#This Row],[Total Cost]]/financials345[[#This Row],[Right of Way Area]]</f>
        <v>#VALUE!</v>
      </c>
      <c r="P693" s="2"/>
      <c r="Q693" s="2"/>
      <c r="R693" s="8"/>
    </row>
    <row r="694" spans="14:18" x14ac:dyDescent="0.2">
      <c r="N694" s="6"/>
      <c r="O694" s="2" t="e">
        <f>financials345[[#This Row],[Total Cost]]/financials345[[#This Row],[Right of Way Area]]</f>
        <v>#VALUE!</v>
      </c>
      <c r="P694" s="2"/>
      <c r="Q694" s="2"/>
      <c r="R694" s="8"/>
    </row>
    <row r="695" spans="14:18" x14ac:dyDescent="0.2">
      <c r="N695" s="6"/>
      <c r="O695" s="2" t="e">
        <f>financials345[[#This Row],[Total Cost]]/financials345[[#This Row],[Right of Way Area]]</f>
        <v>#VALUE!</v>
      </c>
      <c r="P695" s="2"/>
      <c r="Q695" s="2"/>
      <c r="R695" s="8"/>
    </row>
    <row r="696" spans="14:18" x14ac:dyDescent="0.2">
      <c r="N696" s="6"/>
      <c r="O696" s="2" t="e">
        <f>financials345[[#This Row],[Total Cost]]/financials345[[#This Row],[Right of Way Area]]</f>
        <v>#VALUE!</v>
      </c>
      <c r="P696" s="2"/>
      <c r="Q696" s="2"/>
      <c r="R696" s="8"/>
    </row>
    <row r="697" spans="14:18" x14ac:dyDescent="0.2">
      <c r="N697" s="6"/>
      <c r="O697" s="2" t="e">
        <f>financials345[[#This Row],[Total Cost]]/financials345[[#This Row],[Right of Way Area]]</f>
        <v>#VALUE!</v>
      </c>
      <c r="P697" s="2"/>
      <c r="Q697" s="2"/>
      <c r="R697" s="8"/>
    </row>
    <row r="698" spans="14:18" x14ac:dyDescent="0.2">
      <c r="N698" s="6"/>
      <c r="O698" s="2" t="e">
        <f>financials345[[#This Row],[Total Cost]]/financials345[[#This Row],[Right of Way Area]]</f>
        <v>#VALUE!</v>
      </c>
      <c r="P698" s="2"/>
      <c r="Q698" s="2"/>
      <c r="R698" s="8"/>
    </row>
    <row r="699" spans="14:18" x14ac:dyDescent="0.2">
      <c r="N699" s="6"/>
      <c r="O699" s="2" t="e">
        <f>financials345[[#This Row],[Total Cost]]/financials345[[#This Row],[Right of Way Area]]</f>
        <v>#VALUE!</v>
      </c>
      <c r="P699" s="2"/>
      <c r="Q699" s="2"/>
      <c r="R699" s="8"/>
    </row>
    <row r="700" spans="14:18" x14ac:dyDescent="0.2">
      <c r="N700" s="6"/>
      <c r="O700" s="2" t="e">
        <f>financials345[[#This Row],[Total Cost]]/financials345[[#This Row],[Right of Way Area]]</f>
        <v>#VALUE!</v>
      </c>
      <c r="P700" s="2"/>
      <c r="Q700" s="2"/>
      <c r="R700" s="8"/>
    </row>
    <row r="701" spans="14:18" x14ac:dyDescent="0.2">
      <c r="N701" s="6"/>
      <c r="O701" s="2" t="e">
        <f>financials345[[#This Row],[Total Cost]]/financials345[[#This Row],[Right of Way Area]]</f>
        <v>#VALUE!</v>
      </c>
      <c r="P701" s="2"/>
      <c r="Q701" s="2"/>
      <c r="R701" s="8"/>
    </row>
    <row r="702" spans="14:18" x14ac:dyDescent="0.2">
      <c r="N702" s="6"/>
      <c r="O702" s="2" t="e">
        <f>financials345[[#This Row],[Total Cost]]/financials345[[#This Row],[Right of Way Area]]</f>
        <v>#VALUE!</v>
      </c>
      <c r="P702" s="2"/>
      <c r="Q702" s="2"/>
      <c r="R702" s="8"/>
    </row>
    <row r="703" spans="14:18" x14ac:dyDescent="0.2">
      <c r="N703" s="6"/>
      <c r="O703" s="2" t="e">
        <f>financials345[[#This Row],[Total Cost]]/financials345[[#This Row],[Right of Way Area]]</f>
        <v>#VALUE!</v>
      </c>
      <c r="P703" s="2"/>
      <c r="Q703" s="2"/>
      <c r="R703" s="8"/>
    </row>
    <row r="704" spans="14:18" x14ac:dyDescent="0.2">
      <c r="N704" s="6"/>
      <c r="O704" s="2" t="e">
        <f>financials345[[#This Row],[Total Cost]]/financials345[[#This Row],[Right of Way Area]]</f>
        <v>#VALUE!</v>
      </c>
      <c r="P704" s="2"/>
      <c r="Q704" s="2"/>
      <c r="R704" s="8"/>
    </row>
    <row r="705" spans="14:18" x14ac:dyDescent="0.2">
      <c r="N705" s="6"/>
      <c r="O705" s="2" t="e">
        <f>financials345[[#This Row],[Total Cost]]/financials345[[#This Row],[Right of Way Area]]</f>
        <v>#VALUE!</v>
      </c>
      <c r="P705" s="2"/>
      <c r="Q705" s="2"/>
      <c r="R705" s="8"/>
    </row>
    <row r="706" spans="14:18" x14ac:dyDescent="0.2">
      <c r="N706" s="6"/>
      <c r="O706" s="2" t="e">
        <f>financials345[[#This Row],[Total Cost]]/financials345[[#This Row],[Right of Way Area]]</f>
        <v>#VALUE!</v>
      </c>
      <c r="P706" s="2"/>
      <c r="Q706" s="2"/>
      <c r="R706" s="8"/>
    </row>
    <row r="707" spans="14:18" x14ac:dyDescent="0.2">
      <c r="N707" s="6"/>
      <c r="O707" s="2" t="e">
        <f>financials345[[#This Row],[Total Cost]]/financials345[[#This Row],[Right of Way Area]]</f>
        <v>#VALUE!</v>
      </c>
      <c r="P707" s="2"/>
      <c r="Q707" s="2"/>
      <c r="R707" s="8"/>
    </row>
    <row r="708" spans="14:18" x14ac:dyDescent="0.2">
      <c r="N708" s="6"/>
      <c r="O708" s="2" t="e">
        <f>financials345[[#This Row],[Total Cost]]/financials345[[#This Row],[Right of Way Area]]</f>
        <v>#VALUE!</v>
      </c>
      <c r="P708" s="2"/>
      <c r="Q708" s="2"/>
      <c r="R708" s="8"/>
    </row>
    <row r="709" spans="14:18" x14ac:dyDescent="0.2">
      <c r="N709" s="6"/>
      <c r="O709" s="2" t="e">
        <f>financials345[[#This Row],[Total Cost]]/financials345[[#This Row],[Right of Way Area]]</f>
        <v>#VALUE!</v>
      </c>
      <c r="P709" s="2"/>
      <c r="Q709" s="2"/>
      <c r="R709" s="8"/>
    </row>
    <row r="710" spans="14:18" x14ac:dyDescent="0.2">
      <c r="N710" s="6"/>
      <c r="O710" s="2" t="e">
        <f>financials345[[#This Row],[Total Cost]]/financials345[[#This Row],[Right of Way Area]]</f>
        <v>#VALUE!</v>
      </c>
      <c r="P710" s="2"/>
      <c r="Q710" s="2"/>
      <c r="R710" s="8"/>
    </row>
    <row r="711" spans="14:18" x14ac:dyDescent="0.2">
      <c r="N711" s="6"/>
      <c r="O711" s="2" t="e">
        <f>financials345[[#This Row],[Total Cost]]/financials345[[#This Row],[Right of Way Area]]</f>
        <v>#VALUE!</v>
      </c>
      <c r="P711" s="2"/>
      <c r="Q711" s="2"/>
      <c r="R711" s="8"/>
    </row>
    <row r="712" spans="14:18" x14ac:dyDescent="0.2">
      <c r="N712" s="6"/>
      <c r="O712" s="2" t="e">
        <f>financials345[[#This Row],[Total Cost]]/financials345[[#This Row],[Right of Way Area]]</f>
        <v>#VALUE!</v>
      </c>
      <c r="P712" s="2"/>
      <c r="Q712" s="2"/>
      <c r="R712" s="8"/>
    </row>
    <row r="713" spans="14:18" x14ac:dyDescent="0.2">
      <c r="N713" s="6"/>
      <c r="O713" s="2" t="e">
        <f>financials345[[#This Row],[Total Cost]]/financials345[[#This Row],[Right of Way Area]]</f>
        <v>#VALUE!</v>
      </c>
      <c r="P713" s="2"/>
      <c r="Q713" s="2"/>
      <c r="R713" s="8"/>
    </row>
    <row r="714" spans="14:18" x14ac:dyDescent="0.2">
      <c r="N714" s="6"/>
      <c r="O714" s="2" t="e">
        <f>financials345[[#This Row],[Total Cost]]/financials345[[#This Row],[Right of Way Area]]</f>
        <v>#VALUE!</v>
      </c>
      <c r="P714" s="2"/>
      <c r="Q714" s="2"/>
      <c r="R714" s="8"/>
    </row>
    <row r="715" spans="14:18" x14ac:dyDescent="0.2">
      <c r="N715" s="6"/>
      <c r="O715" s="2" t="e">
        <f>financials345[[#This Row],[Total Cost]]/financials345[[#This Row],[Right of Way Area]]</f>
        <v>#VALUE!</v>
      </c>
      <c r="P715" s="2"/>
      <c r="Q715" s="2"/>
      <c r="R715" s="8"/>
    </row>
    <row r="716" spans="14:18" x14ac:dyDescent="0.2">
      <c r="N716" s="6"/>
      <c r="O716" s="2" t="e">
        <f>financials345[[#This Row],[Total Cost]]/financials345[[#This Row],[Right of Way Area]]</f>
        <v>#VALUE!</v>
      </c>
      <c r="P716" s="2"/>
      <c r="Q716" s="2"/>
      <c r="R716" s="8"/>
    </row>
    <row r="717" spans="14:18" x14ac:dyDescent="0.2">
      <c r="N717" s="6"/>
      <c r="O717" s="2" t="e">
        <f>financials345[[#This Row],[Total Cost]]/financials345[[#This Row],[Right of Way Area]]</f>
        <v>#VALUE!</v>
      </c>
      <c r="P717" s="2"/>
      <c r="Q717" s="2"/>
      <c r="R717" s="8"/>
    </row>
    <row r="718" spans="14:18" x14ac:dyDescent="0.2">
      <c r="N718" s="6"/>
      <c r="O718" s="2" t="e">
        <f>financials345[[#This Row],[Total Cost]]/financials345[[#This Row],[Right of Way Area]]</f>
        <v>#VALUE!</v>
      </c>
      <c r="P718" s="2"/>
      <c r="Q718" s="2"/>
      <c r="R718" s="8"/>
    </row>
    <row r="719" spans="14:18" x14ac:dyDescent="0.2">
      <c r="N719" s="6"/>
      <c r="O719" s="2" t="e">
        <f>financials345[[#This Row],[Total Cost]]/financials345[[#This Row],[Right of Way Area]]</f>
        <v>#VALUE!</v>
      </c>
      <c r="P719" s="2"/>
      <c r="Q719" s="2"/>
      <c r="R719" s="8"/>
    </row>
    <row r="720" spans="14:18" x14ac:dyDescent="0.2">
      <c r="N720" s="6"/>
      <c r="O720" s="2" t="e">
        <f>financials345[[#This Row],[Total Cost]]/financials345[[#This Row],[Right of Way Area]]</f>
        <v>#VALUE!</v>
      </c>
      <c r="P720" s="2"/>
      <c r="Q720" s="2"/>
      <c r="R720" s="8"/>
    </row>
    <row r="721" spans="14:18" x14ac:dyDescent="0.2">
      <c r="N721" s="6"/>
      <c r="O721" s="2" t="e">
        <f>financials345[[#This Row],[Total Cost]]/financials345[[#This Row],[Right of Way Area]]</f>
        <v>#VALUE!</v>
      </c>
      <c r="P721" s="2"/>
      <c r="Q721" s="2"/>
      <c r="R721" s="8"/>
    </row>
    <row r="722" spans="14:18" x14ac:dyDescent="0.2">
      <c r="N722" s="6"/>
      <c r="O722" s="2" t="e">
        <f>financials345[[#This Row],[Total Cost]]/financials345[[#This Row],[Right of Way Area]]</f>
        <v>#VALUE!</v>
      </c>
      <c r="P722" s="2"/>
      <c r="Q722" s="2"/>
      <c r="R722" s="8"/>
    </row>
    <row r="723" spans="14:18" x14ac:dyDescent="0.2">
      <c r="N723" s="6"/>
      <c r="O723" s="2" t="e">
        <f>financials345[[#This Row],[Total Cost]]/financials345[[#This Row],[Right of Way Area]]</f>
        <v>#VALUE!</v>
      </c>
      <c r="P723" s="2"/>
      <c r="Q723" s="2"/>
      <c r="R723" s="8"/>
    </row>
    <row r="724" spans="14:18" x14ac:dyDescent="0.2">
      <c r="N724" s="6"/>
      <c r="O724" s="2" t="e">
        <f>financials345[[#This Row],[Total Cost]]/financials345[[#This Row],[Right of Way Area]]</f>
        <v>#VALUE!</v>
      </c>
      <c r="P724" s="2"/>
      <c r="Q724" s="2"/>
      <c r="R724" s="8"/>
    </row>
    <row r="725" spans="14:18" x14ac:dyDescent="0.2">
      <c r="N725" s="6"/>
      <c r="O725" s="2" t="e">
        <f>financials345[[#This Row],[Total Cost]]/financials345[[#This Row],[Right of Way Area]]</f>
        <v>#VALUE!</v>
      </c>
      <c r="P725" s="2"/>
      <c r="Q725" s="2"/>
      <c r="R725" s="8"/>
    </row>
    <row r="726" spans="14:18" x14ac:dyDescent="0.2">
      <c r="N726" s="6"/>
      <c r="O726" s="2" t="e">
        <f>financials345[[#This Row],[Total Cost]]/financials345[[#This Row],[Right of Way Area]]</f>
        <v>#VALUE!</v>
      </c>
      <c r="P726" s="2"/>
      <c r="Q726" s="2"/>
      <c r="R726" s="8"/>
    </row>
    <row r="727" spans="14:18" x14ac:dyDescent="0.2">
      <c r="N727" s="6"/>
      <c r="O727" s="2" t="e">
        <f>financials345[[#This Row],[Total Cost]]/financials345[[#This Row],[Right of Way Area]]</f>
        <v>#VALUE!</v>
      </c>
      <c r="P727" s="2"/>
      <c r="Q727" s="2"/>
      <c r="R727" s="8"/>
    </row>
    <row r="728" spans="14:18" x14ac:dyDescent="0.2">
      <c r="N728" s="6"/>
      <c r="O728" s="2" t="e">
        <f>financials345[[#This Row],[Total Cost]]/financials345[[#This Row],[Right of Way Area]]</f>
        <v>#VALUE!</v>
      </c>
      <c r="P728" s="2"/>
      <c r="Q728" s="2"/>
      <c r="R728" s="8"/>
    </row>
    <row r="729" spans="14:18" x14ac:dyDescent="0.2">
      <c r="N729" s="6"/>
      <c r="O729" s="2" t="e">
        <f>financials345[[#This Row],[Total Cost]]/financials345[[#This Row],[Right of Way Area]]</f>
        <v>#VALUE!</v>
      </c>
      <c r="P729" s="2"/>
      <c r="Q729" s="2"/>
      <c r="R729" s="8"/>
    </row>
    <row r="730" spans="14:18" x14ac:dyDescent="0.2">
      <c r="N730" s="6"/>
      <c r="O730" s="2" t="e">
        <f>financials345[[#This Row],[Total Cost]]/financials345[[#This Row],[Right of Way Area]]</f>
        <v>#VALUE!</v>
      </c>
      <c r="P730" s="2"/>
      <c r="Q730" s="2"/>
      <c r="R730" s="8"/>
    </row>
    <row r="731" spans="14:18" x14ac:dyDescent="0.2">
      <c r="N731" s="6"/>
      <c r="O731" s="2" t="e">
        <f>financials345[[#This Row],[Total Cost]]/financials345[[#This Row],[Right of Way Area]]</f>
        <v>#VALUE!</v>
      </c>
      <c r="P731" s="2"/>
      <c r="Q731" s="2"/>
      <c r="R731" s="8"/>
    </row>
    <row r="732" spans="14:18" x14ac:dyDescent="0.2">
      <c r="N732" s="6"/>
      <c r="O732" s="2" t="e">
        <f>financials345[[#This Row],[Total Cost]]/financials345[[#This Row],[Right of Way Area]]</f>
        <v>#VALUE!</v>
      </c>
      <c r="P732" s="2"/>
      <c r="Q732" s="2"/>
      <c r="R732" s="8"/>
    </row>
    <row r="733" spans="14:18" x14ac:dyDescent="0.2">
      <c r="N733" s="6"/>
      <c r="O733" s="2" t="e">
        <f>financials345[[#This Row],[Total Cost]]/financials345[[#This Row],[Right of Way Area]]</f>
        <v>#VALUE!</v>
      </c>
      <c r="P733" s="2"/>
      <c r="Q733" s="2"/>
      <c r="R733" s="8"/>
    </row>
    <row r="734" spans="14:18" x14ac:dyDescent="0.2">
      <c r="N734" s="6"/>
      <c r="O734" s="2" t="e">
        <f>financials345[[#This Row],[Total Cost]]/financials345[[#This Row],[Right of Way Area]]</f>
        <v>#VALUE!</v>
      </c>
      <c r="P734" s="2"/>
      <c r="Q734" s="2"/>
      <c r="R734" s="8"/>
    </row>
    <row r="735" spans="14:18" x14ac:dyDescent="0.2">
      <c r="N735" s="6"/>
      <c r="O735" s="2" t="e">
        <f>financials345[[#This Row],[Total Cost]]/financials345[[#This Row],[Right of Way Area]]</f>
        <v>#VALUE!</v>
      </c>
      <c r="P735" s="2"/>
      <c r="Q735" s="2"/>
      <c r="R735" s="8"/>
    </row>
    <row r="736" spans="14:18" x14ac:dyDescent="0.2">
      <c r="N736" s="6"/>
      <c r="O736" s="2" t="e">
        <f>financials345[[#This Row],[Total Cost]]/financials345[[#This Row],[Right of Way Area]]</f>
        <v>#VALUE!</v>
      </c>
      <c r="P736" s="2"/>
      <c r="Q736" s="2"/>
      <c r="R736" s="8"/>
    </row>
    <row r="737" spans="14:18" x14ac:dyDescent="0.2">
      <c r="N737" s="6"/>
      <c r="O737" s="2" t="e">
        <f>financials345[[#This Row],[Total Cost]]/financials345[[#This Row],[Right of Way Area]]</f>
        <v>#VALUE!</v>
      </c>
      <c r="P737" s="2"/>
      <c r="Q737" s="2"/>
      <c r="R737" s="8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83F4-6F09-43B9-89D9-219E390E5C4F}">
  <dimension ref="A1:BS736"/>
  <sheetViews>
    <sheetView topLeftCell="V1" zoomScale="85" zoomScaleNormal="85" workbookViewId="0">
      <selection activeCell="C40" sqref="C4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13.83203125" style="1" customWidth="1"/>
    <col min="7" max="7" width="15" style="1" customWidth="1"/>
    <col min="8" max="8" width="18.6640625" style="4" customWidth="1"/>
    <col min="9" max="9" width="29.83203125" style="4" customWidth="1"/>
    <col min="10" max="10" width="28.1640625" style="4" customWidth="1"/>
    <col min="11" max="11" width="17.5" style="7" bestFit="1" customWidth="1"/>
    <col min="12" max="12" width="12.83203125" style="4" customWidth="1"/>
  </cols>
  <sheetData>
    <row r="1" spans="1:71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4" t="s">
        <v>9</v>
      </c>
      <c r="K1" s="5" t="s">
        <v>21</v>
      </c>
      <c r="L1" s="9" t="s">
        <v>0</v>
      </c>
    </row>
    <row r="2" spans="1:71" x14ac:dyDescent="0.2">
      <c r="A2" t="s">
        <v>79</v>
      </c>
      <c r="B2" t="s">
        <v>2</v>
      </c>
      <c r="C2" t="s">
        <v>39</v>
      </c>
      <c r="D2" t="s">
        <v>82</v>
      </c>
      <c r="E2" t="s">
        <v>83</v>
      </c>
      <c r="F2" s="1" t="s">
        <v>42</v>
      </c>
      <c r="G2" s="1" t="s">
        <v>84</v>
      </c>
      <c r="H2" s="4" t="s">
        <v>16</v>
      </c>
      <c r="I2" s="4" t="s">
        <v>85</v>
      </c>
      <c r="J2" s="4" t="s">
        <v>86</v>
      </c>
      <c r="K2" s="10">
        <v>59378010</v>
      </c>
      <c r="L2" s="16">
        <v>2010</v>
      </c>
      <c r="M2" s="2"/>
      <c r="N2" s="1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x14ac:dyDescent="0.2">
      <c r="A3" t="s">
        <v>79</v>
      </c>
      <c r="B3" t="s">
        <v>2</v>
      </c>
      <c r="C3" t="s">
        <v>39</v>
      </c>
      <c r="D3" t="s">
        <v>82</v>
      </c>
      <c r="E3" t="s">
        <v>83</v>
      </c>
      <c r="F3" s="1" t="s">
        <v>42</v>
      </c>
      <c r="G3" s="1" t="s">
        <v>84</v>
      </c>
      <c r="H3" s="4" t="s">
        <v>16</v>
      </c>
      <c r="I3" s="4" t="s">
        <v>85</v>
      </c>
      <c r="J3" s="4" t="s">
        <v>86</v>
      </c>
      <c r="K3" s="10">
        <v>62663785</v>
      </c>
      <c r="L3" s="16">
        <v>2010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x14ac:dyDescent="0.2">
      <c r="A4" t="s">
        <v>79</v>
      </c>
      <c r="B4" t="s">
        <v>2</v>
      </c>
      <c r="C4" t="s">
        <v>39</v>
      </c>
      <c r="D4" t="s">
        <v>82</v>
      </c>
      <c r="E4" t="s">
        <v>83</v>
      </c>
      <c r="F4" s="1" t="s">
        <v>42</v>
      </c>
      <c r="G4" s="1" t="s">
        <v>87</v>
      </c>
      <c r="H4" s="4" t="s">
        <v>16</v>
      </c>
      <c r="I4" s="4" t="s">
        <v>85</v>
      </c>
      <c r="J4" s="4" t="s">
        <v>86</v>
      </c>
      <c r="K4" s="10">
        <v>68921078</v>
      </c>
      <c r="L4" s="16">
        <v>2015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1:71" x14ac:dyDescent="0.2">
      <c r="A5" t="s">
        <v>79</v>
      </c>
      <c r="B5" t="s">
        <v>2</v>
      </c>
      <c r="C5" t="s">
        <v>39</v>
      </c>
      <c r="D5" t="s">
        <v>82</v>
      </c>
      <c r="E5" t="s">
        <v>83</v>
      </c>
      <c r="F5" s="1" t="s">
        <v>42</v>
      </c>
      <c r="G5" s="1" t="s">
        <v>87</v>
      </c>
      <c r="H5" s="4" t="s">
        <v>16</v>
      </c>
      <c r="I5" s="4" t="s">
        <v>85</v>
      </c>
      <c r="J5" s="4" t="s">
        <v>86</v>
      </c>
      <c r="K5" s="10">
        <v>81678186</v>
      </c>
      <c r="L5" s="16">
        <v>2015</v>
      </c>
    </row>
    <row r="6" spans="1:71" x14ac:dyDescent="0.2">
      <c r="A6" t="s">
        <v>79</v>
      </c>
      <c r="B6" t="s">
        <v>2</v>
      </c>
      <c r="C6" t="s">
        <v>39</v>
      </c>
      <c r="D6" t="s">
        <v>82</v>
      </c>
      <c r="E6" t="s">
        <v>83</v>
      </c>
      <c r="F6" s="1" t="s">
        <v>42</v>
      </c>
      <c r="G6" s="1" t="s">
        <v>87</v>
      </c>
      <c r="H6" s="4" t="s">
        <v>16</v>
      </c>
      <c r="I6" s="4" t="s">
        <v>85</v>
      </c>
      <c r="J6" s="4" t="s">
        <v>86</v>
      </c>
      <c r="K6" s="10">
        <v>86456551</v>
      </c>
      <c r="L6" s="16">
        <v>2017</v>
      </c>
    </row>
    <row r="7" spans="1:71" x14ac:dyDescent="0.2">
      <c r="A7" t="s">
        <v>79</v>
      </c>
      <c r="B7" t="s">
        <v>2</v>
      </c>
      <c r="C7" t="s">
        <v>39</v>
      </c>
      <c r="D7" t="s">
        <v>82</v>
      </c>
      <c r="E7" t="s">
        <v>83</v>
      </c>
      <c r="F7" s="1" t="s">
        <v>42</v>
      </c>
      <c r="G7" s="1" t="s">
        <v>87</v>
      </c>
      <c r="H7" s="4" t="s">
        <v>16</v>
      </c>
      <c r="I7" s="4" t="s">
        <v>85</v>
      </c>
      <c r="J7" s="4" t="s">
        <v>86</v>
      </c>
      <c r="K7" s="10">
        <v>89400000</v>
      </c>
      <c r="L7" s="16">
        <v>2017</v>
      </c>
    </row>
    <row r="8" spans="1:71" x14ac:dyDescent="0.2">
      <c r="A8" t="s">
        <v>79</v>
      </c>
      <c r="B8" t="s">
        <v>2</v>
      </c>
      <c r="C8" t="s">
        <v>39</v>
      </c>
      <c r="D8" t="s">
        <v>82</v>
      </c>
      <c r="E8" t="s">
        <v>83</v>
      </c>
      <c r="F8" s="1" t="s">
        <v>42</v>
      </c>
      <c r="G8" s="1" t="s">
        <v>87</v>
      </c>
      <c r="H8" s="4" t="s">
        <v>16</v>
      </c>
      <c r="I8" s="4" t="s">
        <v>85</v>
      </c>
      <c r="J8" s="4" t="s">
        <v>86</v>
      </c>
      <c r="K8" s="10">
        <v>84663449</v>
      </c>
      <c r="L8" s="16">
        <v>2017</v>
      </c>
    </row>
    <row r="9" spans="1:71" x14ac:dyDescent="0.2">
      <c r="A9" t="s">
        <v>79</v>
      </c>
      <c r="B9" t="s">
        <v>2</v>
      </c>
      <c r="C9" t="s">
        <v>39</v>
      </c>
      <c r="D9" t="s">
        <v>82</v>
      </c>
      <c r="E9" t="s">
        <v>83</v>
      </c>
      <c r="F9" s="1" t="s">
        <v>42</v>
      </c>
      <c r="G9" s="1" t="s">
        <v>88</v>
      </c>
      <c r="H9" s="4" t="s">
        <v>16</v>
      </c>
      <c r="I9" s="4" t="s">
        <v>85</v>
      </c>
      <c r="J9" s="4" t="s">
        <v>89</v>
      </c>
      <c r="K9" s="7">
        <v>3639419</v>
      </c>
      <c r="L9" s="16">
        <v>2012</v>
      </c>
      <c r="M9" s="16">
        <v>2017</v>
      </c>
    </row>
    <row r="10" spans="1:71" x14ac:dyDescent="0.2">
      <c r="A10" t="s">
        <v>79</v>
      </c>
      <c r="B10" t="s">
        <v>2</v>
      </c>
      <c r="C10" t="s">
        <v>39</v>
      </c>
      <c r="D10" t="s">
        <v>82</v>
      </c>
      <c r="E10" t="s">
        <v>83</v>
      </c>
      <c r="F10" s="1" t="s">
        <v>42</v>
      </c>
      <c r="G10" s="1" t="s">
        <v>88</v>
      </c>
      <c r="H10" s="4" t="s">
        <v>16</v>
      </c>
      <c r="I10" s="4" t="s">
        <v>85</v>
      </c>
      <c r="J10" s="4" t="s">
        <v>90</v>
      </c>
      <c r="K10" s="7">
        <v>16291812</v>
      </c>
      <c r="L10" s="16">
        <v>2012</v>
      </c>
    </row>
    <row r="11" spans="1:71" x14ac:dyDescent="0.2">
      <c r="A11" t="s">
        <v>79</v>
      </c>
      <c r="B11" t="s">
        <v>2</v>
      </c>
      <c r="C11" t="s">
        <v>39</v>
      </c>
      <c r="D11" t="s">
        <v>82</v>
      </c>
      <c r="E11" t="s">
        <v>83</v>
      </c>
      <c r="F11" s="1" t="s">
        <v>42</v>
      </c>
      <c r="G11" s="1" t="s">
        <v>88</v>
      </c>
      <c r="H11" s="4" t="s">
        <v>16</v>
      </c>
      <c r="I11" s="4" t="s">
        <v>85</v>
      </c>
      <c r="J11" s="4" t="s">
        <v>91</v>
      </c>
      <c r="K11" s="10">
        <v>2741713</v>
      </c>
      <c r="L11" s="16">
        <v>2009</v>
      </c>
    </row>
    <row r="12" spans="1:71" x14ac:dyDescent="0.2">
      <c r="A12" t="s">
        <v>79</v>
      </c>
      <c r="B12" t="s">
        <v>2</v>
      </c>
      <c r="C12" t="s">
        <v>39</v>
      </c>
      <c r="D12" t="s">
        <v>82</v>
      </c>
      <c r="E12" t="s">
        <v>83</v>
      </c>
      <c r="F12" s="1" t="s">
        <v>42</v>
      </c>
      <c r="G12" s="1" t="s">
        <v>88</v>
      </c>
      <c r="H12" s="4" t="s">
        <v>16</v>
      </c>
      <c r="I12" s="4" t="s">
        <v>85</v>
      </c>
      <c r="J12" s="4" t="s">
        <v>91</v>
      </c>
      <c r="K12" s="10">
        <v>1515730</v>
      </c>
      <c r="L12" s="16">
        <v>2009</v>
      </c>
    </row>
    <row r="13" spans="1:71" x14ac:dyDescent="0.2">
      <c r="A13" t="s">
        <v>79</v>
      </c>
      <c r="B13" t="s">
        <v>2</v>
      </c>
      <c r="C13" t="s">
        <v>39</v>
      </c>
      <c r="D13" t="s">
        <v>82</v>
      </c>
      <c r="E13" t="s">
        <v>83</v>
      </c>
      <c r="F13" s="1" t="s">
        <v>42</v>
      </c>
      <c r="G13" s="1" t="s">
        <v>88</v>
      </c>
      <c r="H13" s="4" t="s">
        <v>16</v>
      </c>
      <c r="I13" s="4" t="s">
        <v>85</v>
      </c>
      <c r="J13" s="4" t="s">
        <v>91</v>
      </c>
      <c r="K13" s="10">
        <v>1515731</v>
      </c>
      <c r="L13" s="16">
        <v>2010</v>
      </c>
    </row>
    <row r="14" spans="1:71" x14ac:dyDescent="0.2">
      <c r="A14" t="s">
        <v>79</v>
      </c>
      <c r="B14" t="s">
        <v>2</v>
      </c>
      <c r="C14" t="s">
        <v>39</v>
      </c>
      <c r="D14" t="s">
        <v>82</v>
      </c>
      <c r="E14" t="s">
        <v>83</v>
      </c>
      <c r="F14" s="1" t="s">
        <v>42</v>
      </c>
      <c r="G14" s="1" t="s">
        <v>88</v>
      </c>
      <c r="H14" s="4" t="s">
        <v>16</v>
      </c>
      <c r="I14" s="4" t="s">
        <v>85</v>
      </c>
      <c r="J14" s="4" t="s">
        <v>51</v>
      </c>
      <c r="K14" s="10">
        <v>9097011</v>
      </c>
      <c r="L14" s="16">
        <v>2011</v>
      </c>
    </row>
    <row r="15" spans="1:71" x14ac:dyDescent="0.2">
      <c r="L15" s="2"/>
    </row>
    <row r="16" spans="1:71" x14ac:dyDescent="0.2">
      <c r="K16" s="15"/>
      <c r="L16" s="2"/>
    </row>
    <row r="17" spans="11:12" x14ac:dyDescent="0.2">
      <c r="K17" s="15"/>
      <c r="L17" s="2"/>
    </row>
    <row r="18" spans="11:12" x14ac:dyDescent="0.2">
      <c r="L18" s="2"/>
    </row>
    <row r="19" spans="11:12" x14ac:dyDescent="0.2">
      <c r="L19" s="2"/>
    </row>
    <row r="20" spans="11:12" x14ac:dyDescent="0.2">
      <c r="L20" s="2"/>
    </row>
    <row r="21" spans="11:12" x14ac:dyDescent="0.2">
      <c r="L21" s="2"/>
    </row>
    <row r="22" spans="11:12" x14ac:dyDescent="0.2">
      <c r="K22" s="15"/>
      <c r="L22" s="2"/>
    </row>
    <row r="23" spans="11:12" x14ac:dyDescent="0.2">
      <c r="L23" s="2"/>
    </row>
    <row r="24" spans="11:12" x14ac:dyDescent="0.2">
      <c r="K24" s="10"/>
      <c r="L24" s="2"/>
    </row>
    <row r="25" spans="11:12" x14ac:dyDescent="0.2">
      <c r="K25" s="15"/>
      <c r="L25" s="2"/>
    </row>
    <row r="26" spans="11:12" x14ac:dyDescent="0.2">
      <c r="K26" s="15"/>
      <c r="L26" s="2"/>
    </row>
    <row r="27" spans="11:12" x14ac:dyDescent="0.2">
      <c r="K27" s="15"/>
      <c r="L27" s="2"/>
    </row>
    <row r="28" spans="11:12" x14ac:dyDescent="0.2">
      <c r="L28" s="2"/>
    </row>
    <row r="29" spans="11:12" x14ac:dyDescent="0.2">
      <c r="L29" s="2"/>
    </row>
    <row r="34" spans="11:12" x14ac:dyDescent="0.2">
      <c r="K34" s="10"/>
      <c r="L34" s="9"/>
    </row>
    <row r="35" spans="11:12" x14ac:dyDescent="0.2">
      <c r="K35" s="10"/>
      <c r="L35" s="9"/>
    </row>
    <row r="36" spans="11:12" x14ac:dyDescent="0.2">
      <c r="K36" s="10"/>
      <c r="L36" s="9"/>
    </row>
    <row r="37" spans="11:12" x14ac:dyDescent="0.2">
      <c r="K37" s="10"/>
      <c r="L37" s="9"/>
    </row>
    <row r="38" spans="11:12" x14ac:dyDescent="0.2">
      <c r="K38" s="10"/>
      <c r="L38" s="9"/>
    </row>
    <row r="39" spans="11:12" x14ac:dyDescent="0.2">
      <c r="K39" s="10"/>
      <c r="L39" s="9"/>
    </row>
    <row r="40" spans="11:12" x14ac:dyDescent="0.2">
      <c r="K40" s="10"/>
      <c r="L40" s="9"/>
    </row>
    <row r="41" spans="11:12" x14ac:dyDescent="0.2">
      <c r="K41" s="10"/>
      <c r="L41" s="9"/>
    </row>
    <row r="42" spans="11:12" x14ac:dyDescent="0.2">
      <c r="K42" s="10"/>
      <c r="L42" s="9"/>
    </row>
    <row r="43" spans="11:12" x14ac:dyDescent="0.2">
      <c r="K43" s="10"/>
      <c r="L43" s="9"/>
    </row>
    <row r="44" spans="11:12" x14ac:dyDescent="0.2">
      <c r="K44" s="10"/>
      <c r="L44" s="9"/>
    </row>
    <row r="45" spans="11:12" x14ac:dyDescent="0.2">
      <c r="K45" s="10"/>
      <c r="L45" s="9"/>
    </row>
    <row r="46" spans="11:12" x14ac:dyDescent="0.2">
      <c r="K46" s="11"/>
      <c r="L46" s="12"/>
    </row>
    <row r="47" spans="11:12" x14ac:dyDescent="0.2">
      <c r="K47" s="11"/>
      <c r="L47" s="12"/>
    </row>
    <row r="48" spans="11:12" x14ac:dyDescent="0.2">
      <c r="K48" s="11"/>
      <c r="L48" s="12"/>
    </row>
    <row r="49" spans="11:12" x14ac:dyDescent="0.2">
      <c r="K49" s="11"/>
      <c r="L49" s="12"/>
    </row>
    <row r="50" spans="11:12" x14ac:dyDescent="0.2">
      <c r="K50" s="11"/>
      <c r="L50" s="12"/>
    </row>
    <row r="51" spans="11:12" x14ac:dyDescent="0.2">
      <c r="K51" s="11"/>
      <c r="L51" s="12"/>
    </row>
    <row r="52" spans="11:12" x14ac:dyDescent="0.2">
      <c r="K52" s="11"/>
      <c r="L52" s="12"/>
    </row>
    <row r="53" spans="11:12" x14ac:dyDescent="0.2">
      <c r="K53" s="11"/>
      <c r="L53" s="12"/>
    </row>
    <row r="54" spans="11:12" x14ac:dyDescent="0.2">
      <c r="K54" s="11"/>
      <c r="L54" s="12"/>
    </row>
    <row r="55" spans="11:12" x14ac:dyDescent="0.2">
      <c r="K55" s="11"/>
      <c r="L55" s="12"/>
    </row>
    <row r="56" spans="11:12" x14ac:dyDescent="0.2">
      <c r="K56" s="11"/>
      <c r="L56" s="12"/>
    </row>
    <row r="57" spans="11:12" x14ac:dyDescent="0.2">
      <c r="K57" s="11"/>
      <c r="L57" s="12"/>
    </row>
    <row r="58" spans="11:12" x14ac:dyDescent="0.2">
      <c r="K58" s="10"/>
      <c r="L58" s="9"/>
    </row>
    <row r="59" spans="11:12" x14ac:dyDescent="0.2">
      <c r="K59" s="10"/>
      <c r="L59" s="9"/>
    </row>
    <row r="60" spans="11:12" x14ac:dyDescent="0.2">
      <c r="K60" s="10"/>
      <c r="L60" s="9"/>
    </row>
    <row r="61" spans="11:12" x14ac:dyDescent="0.2">
      <c r="K61" s="10"/>
      <c r="L61" s="9"/>
    </row>
    <row r="62" spans="11:12" x14ac:dyDescent="0.2">
      <c r="K62" s="10"/>
      <c r="L62" s="9"/>
    </row>
    <row r="63" spans="11:12" x14ac:dyDescent="0.2">
      <c r="K63" s="10"/>
      <c r="L63" s="9"/>
    </row>
    <row r="64" spans="11:12" x14ac:dyDescent="0.2">
      <c r="K64" s="10"/>
      <c r="L64" s="9"/>
    </row>
    <row r="65" spans="11:12" x14ac:dyDescent="0.2">
      <c r="K65" s="10"/>
      <c r="L65" s="9"/>
    </row>
    <row r="66" spans="11:12" x14ac:dyDescent="0.2">
      <c r="K66" s="10"/>
      <c r="L66" s="9"/>
    </row>
    <row r="67" spans="11:12" x14ac:dyDescent="0.2">
      <c r="K67" s="10"/>
      <c r="L67" s="9"/>
    </row>
    <row r="68" spans="11:12" x14ac:dyDescent="0.2">
      <c r="K68" s="10"/>
      <c r="L68" s="9"/>
    </row>
    <row r="69" spans="11:12" x14ac:dyDescent="0.2">
      <c r="K69" s="10"/>
      <c r="L69" s="9"/>
    </row>
    <row r="70" spans="11:12" x14ac:dyDescent="0.2">
      <c r="K70" s="10"/>
      <c r="L70" s="9"/>
    </row>
    <row r="71" spans="11:12" x14ac:dyDescent="0.2">
      <c r="K71" s="10"/>
      <c r="L71" s="9"/>
    </row>
    <row r="72" spans="11:12" x14ac:dyDescent="0.2">
      <c r="K72" s="10"/>
      <c r="L72" s="9"/>
    </row>
    <row r="73" spans="11:12" x14ac:dyDescent="0.2">
      <c r="K73" s="10"/>
      <c r="L73" s="9"/>
    </row>
    <row r="74" spans="11:12" x14ac:dyDescent="0.2">
      <c r="K74" s="10"/>
      <c r="L74" s="9"/>
    </row>
    <row r="75" spans="11:12" x14ac:dyDescent="0.2">
      <c r="K75" s="10"/>
      <c r="L75" s="9"/>
    </row>
    <row r="76" spans="11:12" x14ac:dyDescent="0.2">
      <c r="K76" s="10"/>
      <c r="L76" s="9"/>
    </row>
    <row r="77" spans="11:12" x14ac:dyDescent="0.2">
      <c r="K77" s="10"/>
      <c r="L77" s="9"/>
    </row>
    <row r="78" spans="11:12" x14ac:dyDescent="0.2">
      <c r="K78" s="10"/>
      <c r="L78" s="9"/>
    </row>
    <row r="79" spans="11:12" x14ac:dyDescent="0.2">
      <c r="K79" s="10"/>
      <c r="L79" s="9"/>
    </row>
    <row r="80" spans="11:12" x14ac:dyDescent="0.2">
      <c r="K80" s="10"/>
      <c r="L80" s="9"/>
    </row>
    <row r="81" spans="11:12" x14ac:dyDescent="0.2">
      <c r="K81" s="10"/>
      <c r="L81" s="9"/>
    </row>
    <row r="82" spans="11:12" x14ac:dyDescent="0.2">
      <c r="K82" s="10"/>
      <c r="L82" s="9"/>
    </row>
    <row r="83" spans="11:12" x14ac:dyDescent="0.2">
      <c r="K83" s="10"/>
      <c r="L83" s="9"/>
    </row>
    <row r="84" spans="11:12" x14ac:dyDescent="0.2">
      <c r="K84" s="10"/>
      <c r="L84" s="9"/>
    </row>
    <row r="85" spans="11:12" x14ac:dyDescent="0.2">
      <c r="K85" s="10"/>
      <c r="L85" s="9"/>
    </row>
    <row r="86" spans="11:12" x14ac:dyDescent="0.2">
      <c r="K86" s="10"/>
      <c r="L86" s="9"/>
    </row>
    <row r="87" spans="11:12" x14ac:dyDescent="0.2">
      <c r="K87" s="10"/>
      <c r="L87" s="9"/>
    </row>
    <row r="88" spans="11:12" x14ac:dyDescent="0.2">
      <c r="K88" s="10"/>
      <c r="L88" s="9"/>
    </row>
    <row r="89" spans="11:12" x14ac:dyDescent="0.2">
      <c r="K89" s="10"/>
      <c r="L89" s="9"/>
    </row>
    <row r="90" spans="11:12" x14ac:dyDescent="0.2">
      <c r="K90" s="10"/>
      <c r="L90" s="9"/>
    </row>
    <row r="91" spans="11:12" x14ac:dyDescent="0.2">
      <c r="K91" s="10"/>
      <c r="L91" s="9"/>
    </row>
    <row r="92" spans="11:12" x14ac:dyDescent="0.2">
      <c r="K92" s="10"/>
      <c r="L92" s="9"/>
    </row>
    <row r="93" spans="11:12" x14ac:dyDescent="0.2">
      <c r="K93" s="10"/>
      <c r="L93" s="9"/>
    </row>
    <row r="94" spans="11:12" x14ac:dyDescent="0.2">
      <c r="K94" s="10"/>
      <c r="L94" s="9"/>
    </row>
    <row r="95" spans="11:12" x14ac:dyDescent="0.2">
      <c r="K95" s="10"/>
      <c r="L95" s="9"/>
    </row>
    <row r="96" spans="11:12" x14ac:dyDescent="0.2">
      <c r="K96" s="10"/>
      <c r="L96" s="9"/>
    </row>
    <row r="97" spans="11:12" x14ac:dyDescent="0.2">
      <c r="K97" s="6"/>
      <c r="L97" s="9"/>
    </row>
    <row r="98" spans="11:12" x14ac:dyDescent="0.2">
      <c r="K98" s="6"/>
      <c r="L98" s="9"/>
    </row>
    <row r="99" spans="11:12" x14ac:dyDescent="0.2">
      <c r="K99" s="6"/>
      <c r="L99" s="9"/>
    </row>
    <row r="100" spans="11:12" x14ac:dyDescent="0.2">
      <c r="K100" s="6"/>
      <c r="L100" s="9"/>
    </row>
    <row r="101" spans="11:12" x14ac:dyDescent="0.2">
      <c r="K101" s="6"/>
      <c r="L101" s="9"/>
    </row>
    <row r="102" spans="11:12" x14ac:dyDescent="0.2">
      <c r="K102" s="6"/>
      <c r="L102" s="9"/>
    </row>
    <row r="103" spans="11:12" x14ac:dyDescent="0.2">
      <c r="K103" s="6"/>
      <c r="L103" s="9"/>
    </row>
    <row r="104" spans="11:12" x14ac:dyDescent="0.2">
      <c r="K104" s="6"/>
      <c r="L104" s="9"/>
    </row>
    <row r="105" spans="11:12" x14ac:dyDescent="0.2">
      <c r="K105" s="6"/>
      <c r="L105" s="9"/>
    </row>
    <row r="106" spans="11:12" x14ac:dyDescent="0.2">
      <c r="K106" s="6"/>
      <c r="L106" s="9"/>
    </row>
    <row r="107" spans="11:12" x14ac:dyDescent="0.2">
      <c r="K107" s="6"/>
      <c r="L107" s="9"/>
    </row>
    <row r="108" spans="11:12" x14ac:dyDescent="0.2">
      <c r="K108" s="6"/>
      <c r="L108" s="9"/>
    </row>
    <row r="109" spans="11:12" x14ac:dyDescent="0.2">
      <c r="K109" s="6"/>
      <c r="L109" s="9"/>
    </row>
    <row r="110" spans="11:12" x14ac:dyDescent="0.2">
      <c r="K110" s="6"/>
      <c r="L110" s="9"/>
    </row>
    <row r="111" spans="11:12" x14ac:dyDescent="0.2">
      <c r="K111" s="6"/>
      <c r="L111" s="9"/>
    </row>
    <row r="112" spans="11:12" x14ac:dyDescent="0.2">
      <c r="K112" s="6"/>
      <c r="L112" s="9"/>
    </row>
    <row r="113" spans="11:12" x14ac:dyDescent="0.2">
      <c r="K113" s="6"/>
      <c r="L113" s="9"/>
    </row>
    <row r="114" spans="11:12" x14ac:dyDescent="0.2">
      <c r="K114" s="6"/>
      <c r="L114" s="9"/>
    </row>
    <row r="115" spans="11:12" x14ac:dyDescent="0.2">
      <c r="K115" s="6"/>
      <c r="L115" s="9"/>
    </row>
    <row r="116" spans="11:12" x14ac:dyDescent="0.2">
      <c r="K116" s="6"/>
      <c r="L116" s="9"/>
    </row>
    <row r="117" spans="11:12" x14ac:dyDescent="0.2">
      <c r="K117" s="6"/>
      <c r="L117" s="9"/>
    </row>
    <row r="118" spans="11:12" x14ac:dyDescent="0.2">
      <c r="K118" s="6"/>
      <c r="L118" s="9"/>
    </row>
    <row r="119" spans="11:12" x14ac:dyDescent="0.2">
      <c r="K119" s="6"/>
      <c r="L119" s="9"/>
    </row>
    <row r="120" spans="11:12" x14ac:dyDescent="0.2">
      <c r="K120" s="6"/>
      <c r="L120" s="9"/>
    </row>
    <row r="121" spans="11:12" x14ac:dyDescent="0.2">
      <c r="K121" s="6"/>
      <c r="L121" s="9"/>
    </row>
    <row r="122" spans="11:12" x14ac:dyDescent="0.2">
      <c r="K122" s="6"/>
      <c r="L122" s="9"/>
    </row>
    <row r="123" spans="11:12" x14ac:dyDescent="0.2">
      <c r="K123" s="6"/>
      <c r="L123" s="9"/>
    </row>
    <row r="124" spans="11:12" x14ac:dyDescent="0.2">
      <c r="K124" s="6"/>
      <c r="L124" s="9"/>
    </row>
    <row r="125" spans="11:12" x14ac:dyDescent="0.2">
      <c r="K125" s="6"/>
      <c r="L125" s="9"/>
    </row>
    <row r="126" spans="11:12" x14ac:dyDescent="0.2">
      <c r="K126" s="6"/>
      <c r="L126" s="9"/>
    </row>
    <row r="127" spans="11:12" x14ac:dyDescent="0.2">
      <c r="K127" s="6"/>
      <c r="L127" s="9"/>
    </row>
    <row r="128" spans="11:12" x14ac:dyDescent="0.2">
      <c r="K128" s="6"/>
      <c r="L128" s="9"/>
    </row>
    <row r="129" spans="11:12" x14ac:dyDescent="0.2">
      <c r="K129" s="6"/>
      <c r="L129" s="9"/>
    </row>
    <row r="130" spans="11:12" x14ac:dyDescent="0.2">
      <c r="K130" s="6"/>
      <c r="L130" s="9"/>
    </row>
    <row r="131" spans="11:12" x14ac:dyDescent="0.2">
      <c r="K131" s="6"/>
      <c r="L131" s="9"/>
    </row>
    <row r="132" spans="11:12" x14ac:dyDescent="0.2">
      <c r="K132" s="6"/>
      <c r="L132" s="9"/>
    </row>
    <row r="133" spans="11:12" x14ac:dyDescent="0.2">
      <c r="K133" s="6"/>
      <c r="L133" s="9"/>
    </row>
    <row r="134" spans="11:12" x14ac:dyDescent="0.2">
      <c r="K134" s="6"/>
      <c r="L134" s="9"/>
    </row>
    <row r="135" spans="11:12" x14ac:dyDescent="0.2">
      <c r="K135" s="6"/>
      <c r="L135" s="9"/>
    </row>
    <row r="136" spans="11:12" x14ac:dyDescent="0.2">
      <c r="K136" s="6"/>
      <c r="L136" s="9"/>
    </row>
    <row r="137" spans="11:12" x14ac:dyDescent="0.2">
      <c r="K137" s="6"/>
      <c r="L137" s="9"/>
    </row>
    <row r="138" spans="11:12" x14ac:dyDescent="0.2">
      <c r="K138" s="6"/>
      <c r="L138" s="9"/>
    </row>
    <row r="139" spans="11:12" x14ac:dyDescent="0.2">
      <c r="K139" s="6"/>
      <c r="L139" s="9"/>
    </row>
    <row r="140" spans="11:12" x14ac:dyDescent="0.2">
      <c r="K140" s="6"/>
      <c r="L140" s="9"/>
    </row>
    <row r="141" spans="11:12" x14ac:dyDescent="0.2">
      <c r="K141" s="6"/>
      <c r="L141" s="9"/>
    </row>
    <row r="142" spans="11:12" x14ac:dyDescent="0.2">
      <c r="K142" s="6"/>
      <c r="L142" s="9"/>
    </row>
    <row r="143" spans="11:12" x14ac:dyDescent="0.2">
      <c r="K143" s="6"/>
      <c r="L143" s="9"/>
    </row>
    <row r="144" spans="11:12" x14ac:dyDescent="0.2">
      <c r="K144" s="6"/>
      <c r="L144" s="9"/>
    </row>
    <row r="145" spans="11:12" x14ac:dyDescent="0.2">
      <c r="K145" s="6"/>
      <c r="L145" s="9"/>
    </row>
    <row r="146" spans="11:12" x14ac:dyDescent="0.2">
      <c r="K146" s="6"/>
      <c r="L146" s="9"/>
    </row>
    <row r="147" spans="11:12" x14ac:dyDescent="0.2">
      <c r="K147" s="6"/>
      <c r="L147" s="9"/>
    </row>
    <row r="148" spans="11:12" x14ac:dyDescent="0.2">
      <c r="K148" s="6"/>
      <c r="L148" s="9"/>
    </row>
    <row r="149" spans="11:12" x14ac:dyDescent="0.2">
      <c r="K149" s="6"/>
      <c r="L149" s="9"/>
    </row>
    <row r="150" spans="11:12" x14ac:dyDescent="0.2">
      <c r="K150" s="6"/>
      <c r="L150" s="9"/>
    </row>
    <row r="151" spans="11:12" x14ac:dyDescent="0.2">
      <c r="K151" s="6"/>
      <c r="L151" s="9"/>
    </row>
    <row r="152" spans="11:12" x14ac:dyDescent="0.2">
      <c r="K152" s="6"/>
      <c r="L152" s="9"/>
    </row>
    <row r="153" spans="11:12" x14ac:dyDescent="0.2">
      <c r="K153" s="6"/>
      <c r="L153" s="9"/>
    </row>
    <row r="154" spans="11:12" x14ac:dyDescent="0.2">
      <c r="K154" s="6"/>
      <c r="L154" s="9"/>
    </row>
    <row r="155" spans="11:12" x14ac:dyDescent="0.2">
      <c r="K155" s="6"/>
      <c r="L155" s="9"/>
    </row>
    <row r="156" spans="11:12" x14ac:dyDescent="0.2">
      <c r="K156" s="6"/>
      <c r="L156" s="9"/>
    </row>
    <row r="157" spans="11:12" x14ac:dyDescent="0.2">
      <c r="K157" s="6"/>
      <c r="L157" s="9"/>
    </row>
    <row r="158" spans="11:12" x14ac:dyDescent="0.2">
      <c r="K158" s="6"/>
      <c r="L158" s="9"/>
    </row>
    <row r="159" spans="11:12" x14ac:dyDescent="0.2">
      <c r="K159" s="6"/>
      <c r="L159" s="9"/>
    </row>
    <row r="160" spans="11:12" x14ac:dyDescent="0.2">
      <c r="K160" s="6"/>
      <c r="L160" s="9"/>
    </row>
    <row r="161" spans="11:12" x14ac:dyDescent="0.2">
      <c r="K161" s="6"/>
      <c r="L161" s="9"/>
    </row>
    <row r="162" spans="11:12" x14ac:dyDescent="0.2">
      <c r="K162" s="6"/>
      <c r="L162" s="9"/>
    </row>
    <row r="163" spans="11:12" x14ac:dyDescent="0.2">
      <c r="K163" s="6"/>
      <c r="L163" s="9"/>
    </row>
    <row r="164" spans="11:12" x14ac:dyDescent="0.2">
      <c r="K164" s="6"/>
      <c r="L164" s="9"/>
    </row>
    <row r="165" spans="11:12" x14ac:dyDescent="0.2">
      <c r="K165" s="6"/>
      <c r="L165" s="9"/>
    </row>
    <row r="166" spans="11:12" x14ac:dyDescent="0.2">
      <c r="K166" s="6"/>
      <c r="L166" s="9"/>
    </row>
    <row r="167" spans="11:12" x14ac:dyDescent="0.2">
      <c r="K167" s="6"/>
      <c r="L167" s="9"/>
    </row>
    <row r="168" spans="11:12" x14ac:dyDescent="0.2">
      <c r="K168" s="6"/>
      <c r="L168" s="9"/>
    </row>
    <row r="169" spans="11:12" x14ac:dyDescent="0.2">
      <c r="K169" s="6"/>
      <c r="L169" s="9"/>
    </row>
    <row r="170" spans="11:12" x14ac:dyDescent="0.2">
      <c r="K170" s="6"/>
      <c r="L170" s="9"/>
    </row>
    <row r="171" spans="11:12" x14ac:dyDescent="0.2">
      <c r="K171" s="6"/>
      <c r="L171" s="9"/>
    </row>
    <row r="172" spans="11:12" x14ac:dyDescent="0.2">
      <c r="K172" s="6"/>
      <c r="L172" s="9"/>
    </row>
    <row r="173" spans="11:12" x14ac:dyDescent="0.2">
      <c r="K173" s="6"/>
      <c r="L173" s="9"/>
    </row>
    <row r="174" spans="11:12" x14ac:dyDescent="0.2">
      <c r="K174" s="6"/>
      <c r="L174" s="9"/>
    </row>
    <row r="175" spans="11:12" x14ac:dyDescent="0.2">
      <c r="K175" s="6"/>
      <c r="L175" s="9"/>
    </row>
    <row r="176" spans="11:12" x14ac:dyDescent="0.2">
      <c r="K176" s="6"/>
      <c r="L176" s="9"/>
    </row>
    <row r="177" spans="11:12" x14ac:dyDescent="0.2">
      <c r="K177" s="6"/>
      <c r="L177" s="9"/>
    </row>
    <row r="178" spans="11:12" x14ac:dyDescent="0.2">
      <c r="K178" s="6"/>
      <c r="L178" s="9"/>
    </row>
    <row r="179" spans="11:12" x14ac:dyDescent="0.2">
      <c r="K179" s="6"/>
      <c r="L179" s="9"/>
    </row>
    <row r="180" spans="11:12" x14ac:dyDescent="0.2">
      <c r="K180" s="6"/>
      <c r="L180" s="9"/>
    </row>
    <row r="181" spans="11:12" x14ac:dyDescent="0.2">
      <c r="K181" s="6"/>
      <c r="L181" s="9"/>
    </row>
    <row r="182" spans="11:12" x14ac:dyDescent="0.2">
      <c r="K182" s="6"/>
      <c r="L182" s="9"/>
    </row>
    <row r="183" spans="11:12" x14ac:dyDescent="0.2">
      <c r="K183" s="6"/>
      <c r="L183" s="9"/>
    </row>
    <row r="184" spans="11:12" x14ac:dyDescent="0.2">
      <c r="K184" s="6"/>
      <c r="L184" s="9"/>
    </row>
    <row r="185" spans="11:12" x14ac:dyDescent="0.2">
      <c r="K185" s="6"/>
      <c r="L185" s="9"/>
    </row>
    <row r="186" spans="11:12" x14ac:dyDescent="0.2">
      <c r="K186" s="6"/>
      <c r="L186" s="9"/>
    </row>
    <row r="187" spans="11:12" x14ac:dyDescent="0.2">
      <c r="K187" s="6"/>
      <c r="L187" s="9"/>
    </row>
    <row r="188" spans="11:12" x14ac:dyDescent="0.2">
      <c r="K188" s="6"/>
      <c r="L188" s="9"/>
    </row>
    <row r="189" spans="11:12" x14ac:dyDescent="0.2">
      <c r="K189" s="6"/>
      <c r="L189" s="9"/>
    </row>
    <row r="190" spans="11:12" x14ac:dyDescent="0.2">
      <c r="K190" s="6"/>
      <c r="L190" s="9"/>
    </row>
    <row r="191" spans="11:12" x14ac:dyDescent="0.2">
      <c r="K191" s="6"/>
      <c r="L191" s="9"/>
    </row>
    <row r="192" spans="11:12" x14ac:dyDescent="0.2">
      <c r="K192" s="6"/>
      <c r="L192" s="9"/>
    </row>
    <row r="193" spans="11:12" x14ac:dyDescent="0.2">
      <c r="K193" s="6"/>
      <c r="L193" s="9"/>
    </row>
    <row r="194" spans="11:12" x14ac:dyDescent="0.2">
      <c r="K194" s="6"/>
      <c r="L194" s="9"/>
    </row>
    <row r="195" spans="11:12" x14ac:dyDescent="0.2">
      <c r="K195" s="6"/>
      <c r="L195" s="9"/>
    </row>
    <row r="196" spans="11:12" x14ac:dyDescent="0.2">
      <c r="K196" s="6"/>
      <c r="L196" s="9"/>
    </row>
    <row r="197" spans="11:12" x14ac:dyDescent="0.2">
      <c r="K197" s="6"/>
      <c r="L197" s="9"/>
    </row>
    <row r="198" spans="11:12" x14ac:dyDescent="0.2">
      <c r="K198" s="6"/>
      <c r="L198" s="9"/>
    </row>
    <row r="199" spans="11:12" x14ac:dyDescent="0.2">
      <c r="K199" s="6"/>
      <c r="L199" s="9"/>
    </row>
    <row r="200" spans="11:12" x14ac:dyDescent="0.2">
      <c r="K200" s="6"/>
      <c r="L200" s="8"/>
    </row>
    <row r="201" spans="11:12" x14ac:dyDescent="0.2">
      <c r="K201" s="6"/>
      <c r="L201" s="8"/>
    </row>
    <row r="202" spans="11:12" x14ac:dyDescent="0.2">
      <c r="K202" s="6"/>
      <c r="L202" s="8"/>
    </row>
    <row r="203" spans="11:12" x14ac:dyDescent="0.2">
      <c r="K203" s="6"/>
      <c r="L203" s="8"/>
    </row>
    <row r="204" spans="11:12" x14ac:dyDescent="0.2">
      <c r="K204" s="6"/>
      <c r="L204" s="8"/>
    </row>
    <row r="205" spans="11:12" x14ac:dyDescent="0.2">
      <c r="K205" s="6"/>
      <c r="L205" s="8"/>
    </row>
    <row r="206" spans="11:12" x14ac:dyDescent="0.2">
      <c r="K206" s="6"/>
      <c r="L206" s="8"/>
    </row>
    <row r="207" spans="11:12" x14ac:dyDescent="0.2">
      <c r="K207" s="6"/>
      <c r="L207" s="8"/>
    </row>
    <row r="208" spans="11:12" x14ac:dyDescent="0.2">
      <c r="K208" s="6"/>
      <c r="L208" s="8"/>
    </row>
    <row r="209" spans="11:12" x14ac:dyDescent="0.2">
      <c r="K209" s="6"/>
      <c r="L209" s="8"/>
    </row>
    <row r="210" spans="11:12" x14ac:dyDescent="0.2">
      <c r="K210" s="6"/>
      <c r="L210" s="8"/>
    </row>
    <row r="211" spans="11:12" x14ac:dyDescent="0.2">
      <c r="K211" s="6"/>
      <c r="L211" s="8"/>
    </row>
    <row r="212" spans="11:12" x14ac:dyDescent="0.2">
      <c r="K212" s="6"/>
      <c r="L212" s="8"/>
    </row>
    <row r="213" spans="11:12" x14ac:dyDescent="0.2">
      <c r="K213" s="6"/>
      <c r="L213" s="8"/>
    </row>
    <row r="214" spans="11:12" x14ac:dyDescent="0.2">
      <c r="K214" s="6"/>
      <c r="L214" s="8"/>
    </row>
    <row r="215" spans="11:12" x14ac:dyDescent="0.2">
      <c r="K215" s="6"/>
      <c r="L215" s="8"/>
    </row>
    <row r="216" spans="11:12" x14ac:dyDescent="0.2">
      <c r="K216" s="6"/>
      <c r="L216" s="8"/>
    </row>
    <row r="217" spans="11:12" x14ac:dyDescent="0.2">
      <c r="K217" s="6"/>
      <c r="L217" s="8"/>
    </row>
    <row r="218" spans="11:12" x14ac:dyDescent="0.2">
      <c r="K218" s="6"/>
      <c r="L218" s="8"/>
    </row>
    <row r="219" spans="11:12" x14ac:dyDescent="0.2">
      <c r="K219" s="6"/>
      <c r="L219" s="8"/>
    </row>
    <row r="220" spans="11:12" x14ac:dyDescent="0.2">
      <c r="K220" s="6"/>
      <c r="L220" s="8"/>
    </row>
    <row r="221" spans="11:12" x14ac:dyDescent="0.2">
      <c r="K221" s="6"/>
      <c r="L221" s="8"/>
    </row>
    <row r="222" spans="11:12" x14ac:dyDescent="0.2">
      <c r="K222" s="6"/>
      <c r="L222" s="8"/>
    </row>
    <row r="223" spans="11:12" x14ac:dyDescent="0.2">
      <c r="K223" s="6"/>
      <c r="L223" s="8"/>
    </row>
    <row r="224" spans="11:12" x14ac:dyDescent="0.2">
      <c r="K224" s="6"/>
      <c r="L224" s="8"/>
    </row>
    <row r="225" spans="11:12" x14ac:dyDescent="0.2">
      <c r="K225" s="6"/>
      <c r="L225" s="8"/>
    </row>
    <row r="226" spans="11:12" x14ac:dyDescent="0.2">
      <c r="K226" s="6"/>
      <c r="L226" s="8"/>
    </row>
    <row r="227" spans="11:12" x14ac:dyDescent="0.2">
      <c r="K227" s="6"/>
      <c r="L227" s="8"/>
    </row>
    <row r="228" spans="11:12" x14ac:dyDescent="0.2">
      <c r="K228" s="6"/>
      <c r="L228" s="8"/>
    </row>
    <row r="229" spans="11:12" x14ac:dyDescent="0.2">
      <c r="K229" s="6"/>
      <c r="L229" s="8"/>
    </row>
    <row r="230" spans="11:12" x14ac:dyDescent="0.2">
      <c r="K230" s="6"/>
      <c r="L230" s="8"/>
    </row>
    <row r="231" spans="11:12" x14ac:dyDescent="0.2">
      <c r="K231" s="6"/>
      <c r="L231" s="8"/>
    </row>
    <row r="232" spans="11:12" x14ac:dyDescent="0.2">
      <c r="K232" s="6"/>
      <c r="L232" s="8"/>
    </row>
    <row r="233" spans="11:12" x14ac:dyDescent="0.2">
      <c r="K233" s="6"/>
      <c r="L233" s="8"/>
    </row>
    <row r="234" spans="11:12" x14ac:dyDescent="0.2">
      <c r="K234" s="6"/>
      <c r="L234" s="8"/>
    </row>
    <row r="235" spans="11:12" x14ac:dyDescent="0.2">
      <c r="K235" s="6"/>
      <c r="L235" s="8"/>
    </row>
    <row r="236" spans="11:12" x14ac:dyDescent="0.2">
      <c r="K236" s="6"/>
      <c r="L236" s="8"/>
    </row>
    <row r="237" spans="11:12" x14ac:dyDescent="0.2">
      <c r="K237" s="6"/>
      <c r="L237" s="8"/>
    </row>
    <row r="238" spans="11:12" x14ac:dyDescent="0.2">
      <c r="K238" s="6"/>
      <c r="L238" s="8"/>
    </row>
    <row r="239" spans="11:12" x14ac:dyDescent="0.2">
      <c r="K239" s="6"/>
      <c r="L239" s="8"/>
    </row>
    <row r="240" spans="11:12" x14ac:dyDescent="0.2">
      <c r="K240" s="6"/>
      <c r="L240" s="8"/>
    </row>
    <row r="241" spans="11:12" x14ac:dyDescent="0.2">
      <c r="K241" s="6"/>
      <c r="L241" s="8"/>
    </row>
    <row r="242" spans="11:12" x14ac:dyDescent="0.2">
      <c r="K242" s="6"/>
      <c r="L242" s="8"/>
    </row>
    <row r="243" spans="11:12" x14ac:dyDescent="0.2">
      <c r="K243" s="6"/>
      <c r="L243" s="8"/>
    </row>
    <row r="244" spans="11:12" x14ac:dyDescent="0.2">
      <c r="K244" s="6"/>
      <c r="L244" s="8"/>
    </row>
    <row r="245" spans="11:12" x14ac:dyDescent="0.2">
      <c r="K245" s="6"/>
      <c r="L245" s="8"/>
    </row>
    <row r="246" spans="11:12" x14ac:dyDescent="0.2">
      <c r="K246" s="6"/>
      <c r="L246" s="8"/>
    </row>
    <row r="247" spans="11:12" x14ac:dyDescent="0.2">
      <c r="K247" s="6"/>
      <c r="L247" s="8"/>
    </row>
    <row r="248" spans="11:12" x14ac:dyDescent="0.2">
      <c r="K248" s="6"/>
      <c r="L248" s="8"/>
    </row>
    <row r="249" spans="11:12" x14ac:dyDescent="0.2">
      <c r="K249" s="6"/>
      <c r="L249" s="8"/>
    </row>
    <row r="250" spans="11:12" x14ac:dyDescent="0.2">
      <c r="K250" s="6"/>
      <c r="L250" s="8"/>
    </row>
    <row r="251" spans="11:12" x14ac:dyDescent="0.2">
      <c r="K251" s="6"/>
      <c r="L251" s="8"/>
    </row>
    <row r="252" spans="11:12" x14ac:dyDescent="0.2">
      <c r="K252" s="6"/>
      <c r="L252" s="8"/>
    </row>
    <row r="253" spans="11:12" x14ac:dyDescent="0.2">
      <c r="K253" s="6"/>
      <c r="L253" s="8"/>
    </row>
    <row r="254" spans="11:12" x14ac:dyDescent="0.2">
      <c r="K254" s="6"/>
      <c r="L254" s="8"/>
    </row>
    <row r="255" spans="11:12" x14ac:dyDescent="0.2">
      <c r="K255" s="6"/>
      <c r="L255" s="8"/>
    </row>
    <row r="256" spans="11:12" x14ac:dyDescent="0.2">
      <c r="K256" s="6"/>
      <c r="L256" s="8"/>
    </row>
    <row r="257" spans="11:12" x14ac:dyDescent="0.2">
      <c r="K257" s="6"/>
      <c r="L257" s="8"/>
    </row>
    <row r="258" spans="11:12" x14ac:dyDescent="0.2">
      <c r="K258" s="6"/>
      <c r="L258" s="8"/>
    </row>
    <row r="259" spans="11:12" x14ac:dyDescent="0.2">
      <c r="K259" s="6"/>
      <c r="L259" s="8"/>
    </row>
    <row r="260" spans="11:12" x14ac:dyDescent="0.2">
      <c r="K260" s="6"/>
      <c r="L260" s="8"/>
    </row>
    <row r="261" spans="11:12" x14ac:dyDescent="0.2">
      <c r="K261" s="6"/>
      <c r="L261" s="8"/>
    </row>
    <row r="262" spans="11:12" x14ac:dyDescent="0.2">
      <c r="K262" s="6"/>
      <c r="L262" s="8"/>
    </row>
    <row r="263" spans="11:12" x14ac:dyDescent="0.2">
      <c r="K263" s="6"/>
      <c r="L263" s="8"/>
    </row>
    <row r="264" spans="11:12" x14ac:dyDescent="0.2">
      <c r="K264" s="6"/>
      <c r="L264" s="8"/>
    </row>
    <row r="265" spans="11:12" x14ac:dyDescent="0.2">
      <c r="K265" s="6"/>
      <c r="L265" s="8"/>
    </row>
    <row r="266" spans="11:12" x14ac:dyDescent="0.2">
      <c r="K266" s="6"/>
      <c r="L266" s="8"/>
    </row>
    <row r="267" spans="11:12" x14ac:dyDescent="0.2">
      <c r="K267" s="6"/>
      <c r="L267" s="8"/>
    </row>
    <row r="268" spans="11:12" x14ac:dyDescent="0.2">
      <c r="K268" s="6"/>
      <c r="L268" s="8"/>
    </row>
    <row r="269" spans="11:12" x14ac:dyDescent="0.2">
      <c r="K269" s="6"/>
      <c r="L269" s="8"/>
    </row>
    <row r="270" spans="11:12" x14ac:dyDescent="0.2">
      <c r="K270" s="6"/>
      <c r="L270" s="8"/>
    </row>
    <row r="271" spans="11:12" x14ac:dyDescent="0.2">
      <c r="K271" s="6"/>
      <c r="L271" s="8"/>
    </row>
    <row r="272" spans="11:12" x14ac:dyDescent="0.2">
      <c r="K272" s="6"/>
      <c r="L272" s="8"/>
    </row>
    <row r="273" spans="11:12" x14ac:dyDescent="0.2">
      <c r="K273" s="6"/>
      <c r="L273" s="8"/>
    </row>
    <row r="274" spans="11:12" x14ac:dyDescent="0.2">
      <c r="K274" s="6"/>
      <c r="L274" s="8"/>
    </row>
    <row r="275" spans="11:12" x14ac:dyDescent="0.2">
      <c r="K275" s="6"/>
      <c r="L275" s="8"/>
    </row>
    <row r="276" spans="11:12" x14ac:dyDescent="0.2">
      <c r="K276" s="6"/>
      <c r="L276" s="8"/>
    </row>
    <row r="277" spans="11:12" x14ac:dyDescent="0.2">
      <c r="K277" s="6"/>
      <c r="L277" s="8"/>
    </row>
    <row r="278" spans="11:12" x14ac:dyDescent="0.2">
      <c r="K278" s="6"/>
      <c r="L278" s="8"/>
    </row>
    <row r="279" spans="11:12" x14ac:dyDescent="0.2">
      <c r="K279" s="6"/>
      <c r="L279" s="8"/>
    </row>
    <row r="280" spans="11:12" x14ac:dyDescent="0.2">
      <c r="K280" s="6"/>
      <c r="L280" s="8"/>
    </row>
    <row r="281" spans="11:12" x14ac:dyDescent="0.2">
      <c r="K281" s="6"/>
      <c r="L281" s="8"/>
    </row>
    <row r="282" spans="11:12" x14ac:dyDescent="0.2">
      <c r="K282" s="6"/>
      <c r="L282" s="8"/>
    </row>
    <row r="283" spans="11:12" x14ac:dyDescent="0.2">
      <c r="K283" s="6"/>
      <c r="L283" s="8"/>
    </row>
    <row r="284" spans="11:12" x14ac:dyDescent="0.2">
      <c r="K284" s="6"/>
      <c r="L284" s="8"/>
    </row>
    <row r="285" spans="11:12" x14ac:dyDescent="0.2">
      <c r="K285" s="6"/>
      <c r="L285" s="8"/>
    </row>
    <row r="286" spans="11:12" x14ac:dyDescent="0.2">
      <c r="K286" s="6"/>
      <c r="L286" s="8"/>
    </row>
    <row r="287" spans="11:12" x14ac:dyDescent="0.2">
      <c r="K287" s="6"/>
      <c r="L287" s="8"/>
    </row>
    <row r="288" spans="11:12" x14ac:dyDescent="0.2">
      <c r="K288" s="6"/>
      <c r="L288" s="8"/>
    </row>
    <row r="289" spans="11:12" x14ac:dyDescent="0.2">
      <c r="K289" s="6"/>
      <c r="L289" s="8"/>
    </row>
    <row r="290" spans="11:12" x14ac:dyDescent="0.2">
      <c r="K290" s="6"/>
      <c r="L290" s="8"/>
    </row>
    <row r="291" spans="11:12" x14ac:dyDescent="0.2">
      <c r="K291" s="6"/>
      <c r="L291" s="8"/>
    </row>
    <row r="292" spans="11:12" x14ac:dyDescent="0.2">
      <c r="K292" s="6"/>
      <c r="L292" s="8"/>
    </row>
    <row r="293" spans="11:12" x14ac:dyDescent="0.2">
      <c r="K293" s="6"/>
      <c r="L293" s="8"/>
    </row>
    <row r="294" spans="11:12" x14ac:dyDescent="0.2">
      <c r="K294" s="6"/>
      <c r="L294" s="8"/>
    </row>
    <row r="295" spans="11:12" x14ac:dyDescent="0.2">
      <c r="K295" s="6"/>
      <c r="L295" s="8"/>
    </row>
    <row r="296" spans="11:12" x14ac:dyDescent="0.2">
      <c r="K296" s="6"/>
      <c r="L296" s="8"/>
    </row>
    <row r="297" spans="11:12" x14ac:dyDescent="0.2">
      <c r="K297" s="6"/>
      <c r="L297" s="8"/>
    </row>
    <row r="298" spans="11:12" x14ac:dyDescent="0.2">
      <c r="K298" s="6"/>
      <c r="L298" s="8"/>
    </row>
    <row r="299" spans="11:12" x14ac:dyDescent="0.2">
      <c r="K299" s="6"/>
      <c r="L299" s="8"/>
    </row>
    <row r="300" spans="11:12" x14ac:dyDescent="0.2">
      <c r="K300" s="6"/>
      <c r="L300" s="8"/>
    </row>
    <row r="301" spans="11:12" x14ac:dyDescent="0.2">
      <c r="K301" s="6"/>
      <c r="L301" s="8"/>
    </row>
    <row r="302" spans="11:12" x14ac:dyDescent="0.2">
      <c r="K302" s="6"/>
      <c r="L302" s="8"/>
    </row>
    <row r="303" spans="11:12" x14ac:dyDescent="0.2">
      <c r="K303" s="6"/>
      <c r="L303" s="8"/>
    </row>
    <row r="304" spans="11:12" x14ac:dyDescent="0.2">
      <c r="K304" s="6"/>
      <c r="L304" s="8"/>
    </row>
    <row r="305" spans="11:12" x14ac:dyDescent="0.2">
      <c r="K305" s="6"/>
      <c r="L305" s="8"/>
    </row>
    <row r="306" spans="11:12" x14ac:dyDescent="0.2">
      <c r="K306" s="6"/>
      <c r="L306" s="8"/>
    </row>
    <row r="307" spans="11:12" x14ac:dyDescent="0.2">
      <c r="K307" s="6"/>
      <c r="L307" s="8"/>
    </row>
    <row r="308" spans="11:12" x14ac:dyDescent="0.2">
      <c r="K308" s="6"/>
      <c r="L308" s="8"/>
    </row>
    <row r="309" spans="11:12" x14ac:dyDescent="0.2">
      <c r="K309" s="6"/>
      <c r="L309" s="8"/>
    </row>
    <row r="310" spans="11:12" x14ac:dyDescent="0.2">
      <c r="K310" s="6"/>
      <c r="L310" s="8"/>
    </row>
    <row r="311" spans="11:12" x14ac:dyDescent="0.2">
      <c r="K311" s="6"/>
      <c r="L311" s="8"/>
    </row>
    <row r="312" spans="11:12" x14ac:dyDescent="0.2">
      <c r="K312" s="6"/>
      <c r="L312" s="8"/>
    </row>
    <row r="313" spans="11:12" x14ac:dyDescent="0.2">
      <c r="K313" s="6"/>
      <c r="L313" s="8"/>
    </row>
    <row r="314" spans="11:12" x14ac:dyDescent="0.2">
      <c r="K314" s="6"/>
      <c r="L314" s="8"/>
    </row>
    <row r="315" spans="11:12" x14ac:dyDescent="0.2">
      <c r="K315" s="6"/>
      <c r="L315" s="8"/>
    </row>
    <row r="316" spans="11:12" x14ac:dyDescent="0.2">
      <c r="K316" s="6"/>
      <c r="L316" s="8"/>
    </row>
    <row r="317" spans="11:12" x14ac:dyDescent="0.2">
      <c r="K317" s="6"/>
      <c r="L317" s="8"/>
    </row>
    <row r="318" spans="11:12" x14ac:dyDescent="0.2">
      <c r="K318" s="6"/>
      <c r="L318" s="8"/>
    </row>
    <row r="319" spans="11:12" x14ac:dyDescent="0.2">
      <c r="K319" s="6"/>
      <c r="L319" s="8"/>
    </row>
    <row r="320" spans="11:12" x14ac:dyDescent="0.2">
      <c r="K320" s="6"/>
      <c r="L320" s="8"/>
    </row>
    <row r="321" spans="11:12" x14ac:dyDescent="0.2">
      <c r="K321" s="6"/>
      <c r="L321" s="8"/>
    </row>
    <row r="322" spans="11:12" x14ac:dyDescent="0.2">
      <c r="K322" s="6"/>
      <c r="L322" s="8"/>
    </row>
    <row r="323" spans="11:12" x14ac:dyDescent="0.2">
      <c r="K323" s="6"/>
      <c r="L323" s="8"/>
    </row>
    <row r="324" spans="11:12" x14ac:dyDescent="0.2">
      <c r="K324" s="6"/>
      <c r="L324" s="8"/>
    </row>
    <row r="325" spans="11:12" x14ac:dyDescent="0.2">
      <c r="K325" s="6"/>
      <c r="L325" s="8"/>
    </row>
    <row r="326" spans="11:12" x14ac:dyDescent="0.2">
      <c r="K326" s="6"/>
      <c r="L326" s="8"/>
    </row>
    <row r="327" spans="11:12" x14ac:dyDescent="0.2">
      <c r="K327" s="6"/>
      <c r="L327" s="8"/>
    </row>
    <row r="328" spans="11:12" x14ac:dyDescent="0.2">
      <c r="K328" s="6"/>
      <c r="L328" s="8"/>
    </row>
    <row r="329" spans="11:12" x14ac:dyDescent="0.2">
      <c r="K329" s="6"/>
      <c r="L329" s="8"/>
    </row>
    <row r="330" spans="11:12" x14ac:dyDescent="0.2">
      <c r="K330" s="6"/>
      <c r="L330" s="8"/>
    </row>
    <row r="331" spans="11:12" x14ac:dyDescent="0.2">
      <c r="K331" s="6"/>
      <c r="L331" s="8"/>
    </row>
    <row r="332" spans="11:12" x14ac:dyDescent="0.2">
      <c r="K332" s="6"/>
      <c r="L332" s="8"/>
    </row>
    <row r="333" spans="11:12" x14ac:dyDescent="0.2">
      <c r="K333" s="6"/>
      <c r="L333" s="8"/>
    </row>
    <row r="334" spans="11:12" x14ac:dyDescent="0.2">
      <c r="K334" s="6"/>
      <c r="L334" s="8"/>
    </row>
    <row r="335" spans="11:12" x14ac:dyDescent="0.2">
      <c r="K335" s="6"/>
      <c r="L335" s="8"/>
    </row>
    <row r="336" spans="11:12" x14ac:dyDescent="0.2">
      <c r="K336" s="6"/>
      <c r="L336" s="8"/>
    </row>
    <row r="337" spans="11:12" x14ac:dyDescent="0.2">
      <c r="K337" s="6"/>
      <c r="L337" s="8"/>
    </row>
    <row r="338" spans="11:12" x14ac:dyDescent="0.2">
      <c r="K338" s="6"/>
      <c r="L338" s="8"/>
    </row>
    <row r="339" spans="11:12" x14ac:dyDescent="0.2">
      <c r="K339" s="6"/>
      <c r="L339" s="8"/>
    </row>
    <row r="340" spans="11:12" x14ac:dyDescent="0.2">
      <c r="K340" s="6"/>
      <c r="L340" s="8"/>
    </row>
    <row r="341" spans="11:12" x14ac:dyDescent="0.2">
      <c r="K341" s="6"/>
      <c r="L341" s="8"/>
    </row>
    <row r="342" spans="11:12" x14ac:dyDescent="0.2">
      <c r="K342" s="6"/>
      <c r="L342" s="8"/>
    </row>
    <row r="343" spans="11:12" x14ac:dyDescent="0.2">
      <c r="K343" s="6"/>
      <c r="L343" s="8"/>
    </row>
    <row r="344" spans="11:12" x14ac:dyDescent="0.2">
      <c r="K344" s="6"/>
      <c r="L344" s="8"/>
    </row>
    <row r="345" spans="11:12" x14ac:dyDescent="0.2">
      <c r="K345" s="6"/>
      <c r="L345" s="8"/>
    </row>
    <row r="346" spans="11:12" x14ac:dyDescent="0.2">
      <c r="K346" s="6"/>
      <c r="L346" s="8"/>
    </row>
    <row r="347" spans="11:12" x14ac:dyDescent="0.2">
      <c r="K347" s="6"/>
      <c r="L347" s="8"/>
    </row>
    <row r="348" spans="11:12" x14ac:dyDescent="0.2">
      <c r="K348" s="6"/>
      <c r="L348" s="8"/>
    </row>
    <row r="349" spans="11:12" x14ac:dyDescent="0.2">
      <c r="K349" s="6"/>
      <c r="L349" s="8"/>
    </row>
    <row r="350" spans="11:12" x14ac:dyDescent="0.2">
      <c r="K350" s="6"/>
      <c r="L350" s="8"/>
    </row>
    <row r="351" spans="11:12" x14ac:dyDescent="0.2">
      <c r="K351" s="6"/>
      <c r="L351" s="8"/>
    </row>
    <row r="352" spans="11:12" x14ac:dyDescent="0.2">
      <c r="K352" s="6"/>
      <c r="L352" s="8"/>
    </row>
    <row r="353" spans="11:12" x14ac:dyDescent="0.2">
      <c r="K353" s="6"/>
      <c r="L353" s="8"/>
    </row>
    <row r="354" spans="11:12" x14ac:dyDescent="0.2">
      <c r="K354" s="6"/>
      <c r="L354" s="8"/>
    </row>
    <row r="355" spans="11:12" x14ac:dyDescent="0.2">
      <c r="K355" s="6"/>
      <c r="L355" s="8"/>
    </row>
    <row r="356" spans="11:12" x14ac:dyDescent="0.2">
      <c r="K356" s="6"/>
      <c r="L356" s="8"/>
    </row>
    <row r="357" spans="11:12" x14ac:dyDescent="0.2">
      <c r="K357" s="6"/>
      <c r="L357" s="8"/>
    </row>
    <row r="358" spans="11:12" x14ac:dyDescent="0.2">
      <c r="K358" s="6"/>
      <c r="L358" s="8"/>
    </row>
    <row r="359" spans="11:12" x14ac:dyDescent="0.2">
      <c r="K359" s="6"/>
      <c r="L359" s="8"/>
    </row>
    <row r="360" spans="11:12" x14ac:dyDescent="0.2">
      <c r="K360" s="6"/>
      <c r="L360" s="8"/>
    </row>
    <row r="361" spans="11:12" x14ac:dyDescent="0.2">
      <c r="K361" s="6"/>
      <c r="L361" s="8"/>
    </row>
    <row r="362" spans="11:12" x14ac:dyDescent="0.2">
      <c r="K362" s="6"/>
      <c r="L362" s="8"/>
    </row>
    <row r="363" spans="11:12" x14ac:dyDescent="0.2">
      <c r="K363" s="6"/>
      <c r="L363" s="8"/>
    </row>
    <row r="364" spans="11:12" x14ac:dyDescent="0.2">
      <c r="K364" s="6"/>
      <c r="L364" s="8"/>
    </row>
    <row r="365" spans="11:12" x14ac:dyDescent="0.2">
      <c r="K365" s="6"/>
      <c r="L365" s="8"/>
    </row>
    <row r="366" spans="11:12" x14ac:dyDescent="0.2">
      <c r="K366" s="6"/>
      <c r="L366" s="8"/>
    </row>
    <row r="367" spans="11:12" x14ac:dyDescent="0.2">
      <c r="K367" s="6"/>
      <c r="L367" s="8"/>
    </row>
    <row r="368" spans="11:12" x14ac:dyDescent="0.2">
      <c r="K368" s="6"/>
      <c r="L368" s="8"/>
    </row>
    <row r="369" spans="11:12" x14ac:dyDescent="0.2">
      <c r="K369" s="6"/>
      <c r="L369" s="8"/>
    </row>
    <row r="370" spans="11:12" x14ac:dyDescent="0.2">
      <c r="K370" s="6"/>
      <c r="L370" s="8"/>
    </row>
    <row r="371" spans="11:12" x14ac:dyDescent="0.2">
      <c r="K371" s="6"/>
      <c r="L371" s="8"/>
    </row>
    <row r="372" spans="11:12" x14ac:dyDescent="0.2">
      <c r="K372" s="6"/>
      <c r="L372" s="8"/>
    </row>
    <row r="373" spans="11:12" x14ac:dyDescent="0.2">
      <c r="K373" s="6"/>
      <c r="L373" s="8"/>
    </row>
    <row r="374" spans="11:12" x14ac:dyDescent="0.2">
      <c r="K374" s="6"/>
      <c r="L374" s="8"/>
    </row>
    <row r="375" spans="11:12" x14ac:dyDescent="0.2">
      <c r="K375" s="6"/>
      <c r="L375" s="8"/>
    </row>
    <row r="376" spans="11:12" x14ac:dyDescent="0.2">
      <c r="K376" s="6"/>
      <c r="L376" s="8"/>
    </row>
    <row r="377" spans="11:12" x14ac:dyDescent="0.2">
      <c r="K377" s="6"/>
      <c r="L377" s="8"/>
    </row>
    <row r="378" spans="11:12" x14ac:dyDescent="0.2">
      <c r="K378" s="6"/>
      <c r="L378" s="8"/>
    </row>
    <row r="379" spans="11:12" x14ac:dyDescent="0.2">
      <c r="K379" s="6"/>
      <c r="L379" s="8"/>
    </row>
    <row r="380" spans="11:12" x14ac:dyDescent="0.2">
      <c r="K380" s="6"/>
      <c r="L380" s="8"/>
    </row>
    <row r="381" spans="11:12" x14ac:dyDescent="0.2">
      <c r="K381" s="6"/>
      <c r="L381" s="8"/>
    </row>
    <row r="382" spans="11:12" x14ac:dyDescent="0.2">
      <c r="K382" s="6"/>
      <c r="L382" s="8"/>
    </row>
    <row r="383" spans="11:12" x14ac:dyDescent="0.2">
      <c r="K383" s="6"/>
      <c r="L383" s="8"/>
    </row>
    <row r="384" spans="11:12" x14ac:dyDescent="0.2">
      <c r="K384" s="6"/>
      <c r="L384" s="8"/>
    </row>
    <row r="385" spans="11:12" x14ac:dyDescent="0.2">
      <c r="K385" s="6"/>
      <c r="L385" s="8"/>
    </row>
    <row r="386" spans="11:12" x14ac:dyDescent="0.2">
      <c r="K386" s="6"/>
      <c r="L386" s="8"/>
    </row>
    <row r="387" spans="11:12" x14ac:dyDescent="0.2">
      <c r="K387" s="6"/>
      <c r="L387" s="8"/>
    </row>
    <row r="388" spans="11:12" x14ac:dyDescent="0.2">
      <c r="K388" s="6"/>
      <c r="L388" s="8"/>
    </row>
    <row r="389" spans="11:12" x14ac:dyDescent="0.2">
      <c r="K389" s="6"/>
      <c r="L389" s="8"/>
    </row>
    <row r="390" spans="11:12" x14ac:dyDescent="0.2">
      <c r="K390" s="6"/>
      <c r="L390" s="8"/>
    </row>
    <row r="391" spans="11:12" x14ac:dyDescent="0.2">
      <c r="K391" s="6"/>
      <c r="L391" s="8"/>
    </row>
    <row r="392" spans="11:12" x14ac:dyDescent="0.2">
      <c r="K392" s="6"/>
      <c r="L392" s="8"/>
    </row>
    <row r="393" spans="11:12" x14ac:dyDescent="0.2">
      <c r="K393" s="6"/>
      <c r="L393" s="8"/>
    </row>
    <row r="394" spans="11:12" x14ac:dyDescent="0.2">
      <c r="K394" s="6"/>
      <c r="L394" s="8"/>
    </row>
    <row r="395" spans="11:12" x14ac:dyDescent="0.2">
      <c r="K395" s="6"/>
      <c r="L395" s="8"/>
    </row>
    <row r="396" spans="11:12" x14ac:dyDescent="0.2">
      <c r="K396" s="6"/>
      <c r="L396" s="8"/>
    </row>
    <row r="397" spans="11:12" x14ac:dyDescent="0.2">
      <c r="K397" s="6"/>
      <c r="L397" s="8"/>
    </row>
    <row r="398" spans="11:12" x14ac:dyDescent="0.2">
      <c r="K398" s="6"/>
      <c r="L398" s="8"/>
    </row>
    <row r="399" spans="11:12" x14ac:dyDescent="0.2">
      <c r="K399" s="6"/>
      <c r="L399" s="8"/>
    </row>
    <row r="400" spans="11:12" x14ac:dyDescent="0.2">
      <c r="K400" s="6"/>
      <c r="L400" s="8"/>
    </row>
    <row r="401" spans="11:12" x14ac:dyDescent="0.2">
      <c r="K401" s="6"/>
      <c r="L401" s="8"/>
    </row>
    <row r="402" spans="11:12" x14ac:dyDescent="0.2">
      <c r="K402" s="6"/>
      <c r="L402" s="8"/>
    </row>
    <row r="403" spans="11:12" x14ac:dyDescent="0.2">
      <c r="K403" s="6"/>
      <c r="L403" s="8"/>
    </row>
    <row r="404" spans="11:12" x14ac:dyDescent="0.2">
      <c r="K404" s="6"/>
      <c r="L404" s="8"/>
    </row>
    <row r="405" spans="11:12" x14ac:dyDescent="0.2">
      <c r="K405" s="6"/>
      <c r="L405" s="8"/>
    </row>
    <row r="406" spans="11:12" x14ac:dyDescent="0.2">
      <c r="K406" s="6"/>
      <c r="L406" s="8"/>
    </row>
    <row r="407" spans="11:12" x14ac:dyDescent="0.2">
      <c r="K407" s="6"/>
      <c r="L407" s="8"/>
    </row>
    <row r="408" spans="11:12" x14ac:dyDescent="0.2">
      <c r="K408" s="6"/>
      <c r="L408" s="8"/>
    </row>
    <row r="409" spans="11:12" x14ac:dyDescent="0.2">
      <c r="K409" s="6"/>
      <c r="L409" s="8"/>
    </row>
    <row r="410" spans="11:12" x14ac:dyDescent="0.2">
      <c r="K410" s="6"/>
      <c r="L410" s="8"/>
    </row>
    <row r="411" spans="11:12" x14ac:dyDescent="0.2">
      <c r="K411" s="6"/>
      <c r="L411" s="8"/>
    </row>
    <row r="412" spans="11:12" x14ac:dyDescent="0.2">
      <c r="K412" s="6"/>
      <c r="L412" s="8"/>
    </row>
    <row r="413" spans="11:12" x14ac:dyDescent="0.2">
      <c r="K413" s="6"/>
      <c r="L413" s="8"/>
    </row>
    <row r="414" spans="11:12" x14ac:dyDescent="0.2">
      <c r="K414" s="6"/>
      <c r="L414" s="8"/>
    </row>
    <row r="415" spans="11:12" x14ac:dyDescent="0.2">
      <c r="K415" s="6"/>
      <c r="L415" s="8"/>
    </row>
    <row r="416" spans="11:12" x14ac:dyDescent="0.2">
      <c r="K416" s="6"/>
      <c r="L416" s="8"/>
    </row>
    <row r="417" spans="11:12" x14ac:dyDescent="0.2">
      <c r="K417" s="6"/>
      <c r="L417" s="8"/>
    </row>
    <row r="418" spans="11:12" x14ac:dyDescent="0.2">
      <c r="K418" s="6"/>
      <c r="L418" s="8"/>
    </row>
    <row r="419" spans="11:12" x14ac:dyDescent="0.2">
      <c r="K419" s="6"/>
      <c r="L419" s="8"/>
    </row>
    <row r="420" spans="11:12" x14ac:dyDescent="0.2">
      <c r="K420" s="6"/>
      <c r="L420" s="8"/>
    </row>
    <row r="421" spans="11:12" x14ac:dyDescent="0.2">
      <c r="K421" s="6"/>
      <c r="L421" s="8"/>
    </row>
    <row r="422" spans="11:12" x14ac:dyDescent="0.2">
      <c r="K422" s="6"/>
      <c r="L422" s="8"/>
    </row>
    <row r="423" spans="11:12" x14ac:dyDescent="0.2">
      <c r="K423" s="6"/>
      <c r="L423" s="8"/>
    </row>
    <row r="424" spans="11:12" x14ac:dyDescent="0.2">
      <c r="K424" s="6"/>
      <c r="L424" s="8"/>
    </row>
    <row r="425" spans="11:12" x14ac:dyDescent="0.2">
      <c r="K425" s="6"/>
      <c r="L425" s="8"/>
    </row>
    <row r="426" spans="11:12" x14ac:dyDescent="0.2">
      <c r="K426" s="6"/>
      <c r="L426" s="8"/>
    </row>
    <row r="427" spans="11:12" x14ac:dyDescent="0.2">
      <c r="K427" s="6"/>
      <c r="L427" s="8"/>
    </row>
    <row r="428" spans="11:12" x14ac:dyDescent="0.2">
      <c r="K428" s="6"/>
      <c r="L428" s="8"/>
    </row>
    <row r="429" spans="11:12" x14ac:dyDescent="0.2">
      <c r="K429" s="6"/>
      <c r="L429" s="8"/>
    </row>
    <row r="430" spans="11:12" x14ac:dyDescent="0.2">
      <c r="K430" s="6"/>
      <c r="L430" s="8"/>
    </row>
    <row r="431" spans="11:12" x14ac:dyDescent="0.2">
      <c r="K431" s="6"/>
      <c r="L431" s="8"/>
    </row>
    <row r="432" spans="11:12" x14ac:dyDescent="0.2">
      <c r="K432" s="6"/>
      <c r="L432" s="8"/>
    </row>
    <row r="433" spans="11:12" x14ac:dyDescent="0.2">
      <c r="K433" s="6"/>
      <c r="L433" s="8"/>
    </row>
    <row r="434" spans="11:12" x14ac:dyDescent="0.2">
      <c r="K434" s="6"/>
      <c r="L434" s="8"/>
    </row>
    <row r="435" spans="11:12" x14ac:dyDescent="0.2">
      <c r="K435" s="6"/>
      <c r="L435" s="8"/>
    </row>
    <row r="436" spans="11:12" x14ac:dyDescent="0.2">
      <c r="K436" s="6"/>
      <c r="L436" s="8"/>
    </row>
    <row r="437" spans="11:12" x14ac:dyDescent="0.2">
      <c r="K437" s="6"/>
      <c r="L437" s="8"/>
    </row>
    <row r="438" spans="11:12" x14ac:dyDescent="0.2">
      <c r="K438" s="6"/>
      <c r="L438" s="8"/>
    </row>
    <row r="439" spans="11:12" x14ac:dyDescent="0.2">
      <c r="K439" s="6"/>
      <c r="L439" s="8"/>
    </row>
    <row r="440" spans="11:12" x14ac:dyDescent="0.2">
      <c r="K440" s="6"/>
      <c r="L440" s="8"/>
    </row>
    <row r="441" spans="11:12" x14ac:dyDescent="0.2">
      <c r="K441" s="6"/>
      <c r="L441" s="8"/>
    </row>
    <row r="442" spans="11:12" x14ac:dyDescent="0.2">
      <c r="K442" s="6"/>
      <c r="L442" s="8"/>
    </row>
    <row r="443" spans="11:12" x14ac:dyDescent="0.2">
      <c r="K443" s="6"/>
      <c r="L443" s="8"/>
    </row>
    <row r="444" spans="11:12" x14ac:dyDescent="0.2">
      <c r="K444" s="6"/>
      <c r="L444" s="8"/>
    </row>
    <row r="445" spans="11:12" x14ac:dyDescent="0.2">
      <c r="K445" s="6"/>
      <c r="L445" s="8"/>
    </row>
    <row r="446" spans="11:12" x14ac:dyDescent="0.2">
      <c r="K446" s="6"/>
      <c r="L446" s="8"/>
    </row>
    <row r="447" spans="11:12" x14ac:dyDescent="0.2">
      <c r="K447" s="6"/>
      <c r="L447" s="8"/>
    </row>
    <row r="448" spans="11:12" x14ac:dyDescent="0.2">
      <c r="K448" s="6"/>
      <c r="L448" s="8"/>
    </row>
    <row r="449" spans="11:12" x14ac:dyDescent="0.2">
      <c r="K449" s="6"/>
      <c r="L449" s="8"/>
    </row>
    <row r="450" spans="11:12" x14ac:dyDescent="0.2">
      <c r="K450" s="6"/>
      <c r="L450" s="8"/>
    </row>
    <row r="451" spans="11:12" x14ac:dyDescent="0.2">
      <c r="K451" s="6"/>
      <c r="L451" s="8"/>
    </row>
    <row r="452" spans="11:12" x14ac:dyDescent="0.2">
      <c r="K452" s="6"/>
      <c r="L452" s="8"/>
    </row>
    <row r="453" spans="11:12" x14ac:dyDescent="0.2">
      <c r="K453" s="6"/>
      <c r="L453" s="8"/>
    </row>
    <row r="454" spans="11:12" x14ac:dyDescent="0.2">
      <c r="K454" s="6"/>
      <c r="L454" s="8"/>
    </row>
    <row r="455" spans="11:12" x14ac:dyDescent="0.2">
      <c r="K455" s="6"/>
      <c r="L455" s="8"/>
    </row>
    <row r="456" spans="11:12" x14ac:dyDescent="0.2">
      <c r="K456" s="6"/>
      <c r="L456" s="8"/>
    </row>
    <row r="457" spans="11:12" x14ac:dyDescent="0.2">
      <c r="K457" s="6"/>
      <c r="L457" s="8"/>
    </row>
    <row r="458" spans="11:12" x14ac:dyDescent="0.2">
      <c r="K458" s="6"/>
      <c r="L458" s="8"/>
    </row>
    <row r="459" spans="11:12" x14ac:dyDescent="0.2">
      <c r="K459" s="6"/>
      <c r="L459" s="8"/>
    </row>
    <row r="460" spans="11:12" x14ac:dyDescent="0.2">
      <c r="K460" s="6"/>
      <c r="L460" s="8"/>
    </row>
    <row r="461" spans="11:12" x14ac:dyDescent="0.2">
      <c r="K461" s="6"/>
      <c r="L461" s="8"/>
    </row>
    <row r="462" spans="11:12" x14ac:dyDescent="0.2">
      <c r="K462" s="6"/>
      <c r="L462" s="8"/>
    </row>
    <row r="463" spans="11:12" x14ac:dyDescent="0.2">
      <c r="K463" s="6"/>
      <c r="L463" s="8"/>
    </row>
    <row r="464" spans="11:12" x14ac:dyDescent="0.2">
      <c r="K464" s="6"/>
      <c r="L464" s="8"/>
    </row>
    <row r="465" spans="11:12" x14ac:dyDescent="0.2">
      <c r="K465" s="6"/>
      <c r="L465" s="8"/>
    </row>
    <row r="466" spans="11:12" x14ac:dyDescent="0.2">
      <c r="K466" s="6"/>
      <c r="L466" s="8"/>
    </row>
    <row r="467" spans="11:12" x14ac:dyDescent="0.2">
      <c r="K467" s="6"/>
      <c r="L467" s="8"/>
    </row>
    <row r="468" spans="11:12" x14ac:dyDescent="0.2">
      <c r="K468" s="6"/>
      <c r="L468" s="8"/>
    </row>
    <row r="469" spans="11:12" x14ac:dyDescent="0.2">
      <c r="K469" s="6"/>
      <c r="L469" s="8"/>
    </row>
    <row r="470" spans="11:12" x14ac:dyDescent="0.2">
      <c r="K470" s="6"/>
      <c r="L470" s="8"/>
    </row>
    <row r="471" spans="11:12" x14ac:dyDescent="0.2">
      <c r="K471" s="6"/>
      <c r="L471" s="8"/>
    </row>
    <row r="472" spans="11:12" x14ac:dyDescent="0.2">
      <c r="K472" s="6"/>
      <c r="L472" s="8"/>
    </row>
    <row r="473" spans="11:12" x14ac:dyDescent="0.2">
      <c r="K473" s="6"/>
      <c r="L473" s="8"/>
    </row>
    <row r="474" spans="11:12" x14ac:dyDescent="0.2">
      <c r="K474" s="6"/>
      <c r="L474" s="8"/>
    </row>
    <row r="475" spans="11:12" x14ac:dyDescent="0.2">
      <c r="K475" s="6"/>
      <c r="L475" s="8"/>
    </row>
    <row r="476" spans="11:12" x14ac:dyDescent="0.2">
      <c r="K476" s="6"/>
      <c r="L476" s="8"/>
    </row>
    <row r="477" spans="11:12" x14ac:dyDescent="0.2">
      <c r="K477" s="6"/>
      <c r="L477" s="8"/>
    </row>
    <row r="478" spans="11:12" x14ac:dyDescent="0.2">
      <c r="K478" s="6"/>
      <c r="L478" s="8"/>
    </row>
    <row r="479" spans="11:12" x14ac:dyDescent="0.2">
      <c r="K479" s="6"/>
      <c r="L479" s="8"/>
    </row>
    <row r="480" spans="11:12" x14ac:dyDescent="0.2">
      <c r="K480" s="6"/>
      <c r="L480" s="8"/>
    </row>
    <row r="481" spans="11:12" x14ac:dyDescent="0.2">
      <c r="K481" s="6"/>
      <c r="L481" s="8"/>
    </row>
    <row r="482" spans="11:12" x14ac:dyDescent="0.2">
      <c r="K482" s="6"/>
      <c r="L482" s="8"/>
    </row>
    <row r="483" spans="11:12" x14ac:dyDescent="0.2">
      <c r="K483" s="6"/>
      <c r="L483" s="8"/>
    </row>
    <row r="484" spans="11:12" x14ac:dyDescent="0.2">
      <c r="K484" s="6"/>
      <c r="L484" s="8"/>
    </row>
    <row r="485" spans="11:12" x14ac:dyDescent="0.2">
      <c r="K485" s="6"/>
      <c r="L485" s="8"/>
    </row>
    <row r="486" spans="11:12" x14ac:dyDescent="0.2">
      <c r="K486" s="6"/>
      <c r="L486" s="8"/>
    </row>
    <row r="487" spans="11:12" x14ac:dyDescent="0.2">
      <c r="K487" s="6"/>
      <c r="L487" s="8"/>
    </row>
    <row r="488" spans="11:12" x14ac:dyDescent="0.2">
      <c r="K488" s="6"/>
      <c r="L488" s="8"/>
    </row>
    <row r="489" spans="11:12" x14ac:dyDescent="0.2">
      <c r="K489" s="6"/>
      <c r="L489" s="8"/>
    </row>
    <row r="490" spans="11:12" x14ac:dyDescent="0.2">
      <c r="K490" s="6"/>
      <c r="L490" s="8"/>
    </row>
    <row r="491" spans="11:12" x14ac:dyDescent="0.2">
      <c r="K491" s="6"/>
      <c r="L491" s="8"/>
    </row>
    <row r="492" spans="11:12" x14ac:dyDescent="0.2">
      <c r="K492" s="6"/>
      <c r="L492" s="8"/>
    </row>
    <row r="493" spans="11:12" x14ac:dyDescent="0.2">
      <c r="K493" s="6"/>
      <c r="L493" s="8"/>
    </row>
    <row r="494" spans="11:12" x14ac:dyDescent="0.2">
      <c r="K494" s="6"/>
      <c r="L494" s="8"/>
    </row>
    <row r="495" spans="11:12" x14ac:dyDescent="0.2">
      <c r="K495" s="6"/>
      <c r="L495" s="8"/>
    </row>
    <row r="496" spans="11:12" x14ac:dyDescent="0.2">
      <c r="K496" s="6"/>
      <c r="L496" s="8"/>
    </row>
    <row r="497" spans="11:12" x14ac:dyDescent="0.2">
      <c r="K497" s="6"/>
      <c r="L497" s="8"/>
    </row>
    <row r="498" spans="11:12" x14ac:dyDescent="0.2">
      <c r="K498" s="6"/>
      <c r="L498" s="8"/>
    </row>
    <row r="499" spans="11:12" x14ac:dyDescent="0.2">
      <c r="K499" s="6"/>
      <c r="L499" s="8"/>
    </row>
    <row r="500" spans="11:12" x14ac:dyDescent="0.2">
      <c r="K500" s="6"/>
      <c r="L500" s="8"/>
    </row>
    <row r="501" spans="11:12" x14ac:dyDescent="0.2">
      <c r="K501" s="6"/>
      <c r="L501" s="8"/>
    </row>
    <row r="502" spans="11:12" x14ac:dyDescent="0.2">
      <c r="K502" s="6"/>
      <c r="L502" s="8"/>
    </row>
    <row r="503" spans="11:12" x14ac:dyDescent="0.2">
      <c r="K503" s="6"/>
      <c r="L503" s="8"/>
    </row>
    <row r="504" spans="11:12" x14ac:dyDescent="0.2">
      <c r="K504" s="6"/>
      <c r="L504" s="8"/>
    </row>
    <row r="505" spans="11:12" x14ac:dyDescent="0.2">
      <c r="K505" s="6"/>
      <c r="L505" s="8"/>
    </row>
    <row r="506" spans="11:12" x14ac:dyDescent="0.2">
      <c r="K506" s="6"/>
      <c r="L506" s="8"/>
    </row>
    <row r="507" spans="11:12" x14ac:dyDescent="0.2">
      <c r="K507" s="6"/>
      <c r="L507" s="8"/>
    </row>
    <row r="508" spans="11:12" x14ac:dyDescent="0.2">
      <c r="K508" s="6"/>
      <c r="L508" s="8"/>
    </row>
    <row r="509" spans="11:12" x14ac:dyDescent="0.2">
      <c r="K509" s="6"/>
      <c r="L509" s="8"/>
    </row>
    <row r="510" spans="11:12" x14ac:dyDescent="0.2">
      <c r="K510" s="6"/>
      <c r="L510" s="8"/>
    </row>
    <row r="511" spans="11:12" x14ac:dyDescent="0.2">
      <c r="K511" s="6"/>
      <c r="L511" s="8"/>
    </row>
    <row r="512" spans="11:12" x14ac:dyDescent="0.2">
      <c r="K512" s="6"/>
      <c r="L512" s="8"/>
    </row>
    <row r="513" spans="11:12" x14ac:dyDescent="0.2">
      <c r="K513" s="6"/>
      <c r="L513" s="8"/>
    </row>
    <row r="514" spans="11:12" x14ac:dyDescent="0.2">
      <c r="K514" s="6"/>
      <c r="L514" s="8"/>
    </row>
    <row r="515" spans="11:12" x14ac:dyDescent="0.2">
      <c r="K515" s="6"/>
      <c r="L515" s="8"/>
    </row>
    <row r="516" spans="11:12" x14ac:dyDescent="0.2">
      <c r="K516" s="6"/>
      <c r="L516" s="8"/>
    </row>
    <row r="517" spans="11:12" x14ac:dyDescent="0.2">
      <c r="K517" s="6"/>
      <c r="L517" s="8"/>
    </row>
    <row r="518" spans="11:12" x14ac:dyDescent="0.2">
      <c r="K518" s="6"/>
      <c r="L518" s="8"/>
    </row>
    <row r="519" spans="11:12" x14ac:dyDescent="0.2">
      <c r="K519" s="6"/>
      <c r="L519" s="8"/>
    </row>
    <row r="520" spans="11:12" x14ac:dyDescent="0.2">
      <c r="K520" s="6"/>
      <c r="L520" s="8"/>
    </row>
    <row r="521" spans="11:12" x14ac:dyDescent="0.2">
      <c r="K521" s="6"/>
      <c r="L521" s="8"/>
    </row>
    <row r="522" spans="11:12" x14ac:dyDescent="0.2">
      <c r="K522" s="6"/>
      <c r="L522" s="8"/>
    </row>
    <row r="523" spans="11:12" x14ac:dyDescent="0.2">
      <c r="K523" s="6"/>
      <c r="L523" s="8"/>
    </row>
    <row r="524" spans="11:12" x14ac:dyDescent="0.2">
      <c r="K524" s="6"/>
      <c r="L524" s="8"/>
    </row>
    <row r="525" spans="11:12" x14ac:dyDescent="0.2">
      <c r="K525" s="6"/>
      <c r="L525" s="8"/>
    </row>
    <row r="526" spans="11:12" x14ac:dyDescent="0.2">
      <c r="K526" s="6"/>
      <c r="L526" s="8"/>
    </row>
    <row r="527" spans="11:12" x14ac:dyDescent="0.2">
      <c r="K527" s="6"/>
      <c r="L527" s="8"/>
    </row>
    <row r="528" spans="11:12" x14ac:dyDescent="0.2">
      <c r="K528" s="6"/>
      <c r="L528" s="8"/>
    </row>
    <row r="529" spans="11:12" x14ac:dyDescent="0.2">
      <c r="K529" s="6"/>
      <c r="L529" s="8"/>
    </row>
    <row r="530" spans="11:12" x14ac:dyDescent="0.2">
      <c r="K530" s="6"/>
      <c r="L530" s="8"/>
    </row>
    <row r="531" spans="11:12" x14ac:dyDescent="0.2">
      <c r="K531" s="6"/>
      <c r="L531" s="8"/>
    </row>
    <row r="532" spans="11:12" x14ac:dyDescent="0.2">
      <c r="K532" s="6"/>
      <c r="L532" s="8"/>
    </row>
    <row r="533" spans="11:12" x14ac:dyDescent="0.2">
      <c r="K533" s="6"/>
      <c r="L533" s="8"/>
    </row>
    <row r="534" spans="11:12" x14ac:dyDescent="0.2">
      <c r="K534" s="6"/>
      <c r="L534" s="8"/>
    </row>
    <row r="535" spans="11:12" x14ac:dyDescent="0.2">
      <c r="K535" s="6"/>
      <c r="L535" s="8"/>
    </row>
    <row r="536" spans="11:12" x14ac:dyDescent="0.2">
      <c r="K536" s="6"/>
      <c r="L536" s="8"/>
    </row>
    <row r="537" spans="11:12" x14ac:dyDescent="0.2">
      <c r="K537" s="6"/>
      <c r="L537" s="8"/>
    </row>
    <row r="538" spans="11:12" x14ac:dyDescent="0.2">
      <c r="K538" s="6"/>
      <c r="L538" s="8"/>
    </row>
    <row r="539" spans="11:12" x14ac:dyDescent="0.2">
      <c r="K539" s="6"/>
      <c r="L539" s="8"/>
    </row>
    <row r="540" spans="11:12" x14ac:dyDescent="0.2">
      <c r="K540" s="6"/>
      <c r="L540" s="8"/>
    </row>
    <row r="541" spans="11:12" x14ac:dyDescent="0.2">
      <c r="K541" s="6"/>
      <c r="L541" s="8"/>
    </row>
    <row r="542" spans="11:12" x14ac:dyDescent="0.2">
      <c r="K542" s="6"/>
      <c r="L542" s="8"/>
    </row>
    <row r="543" spans="11:12" x14ac:dyDescent="0.2">
      <c r="K543" s="6"/>
      <c r="L543" s="8"/>
    </row>
    <row r="544" spans="11:12" x14ac:dyDescent="0.2">
      <c r="K544" s="6"/>
      <c r="L544" s="8"/>
    </row>
    <row r="545" spans="11:12" x14ac:dyDescent="0.2">
      <c r="K545" s="6"/>
      <c r="L545" s="8"/>
    </row>
    <row r="546" spans="11:12" x14ac:dyDescent="0.2">
      <c r="K546" s="6"/>
      <c r="L546" s="8"/>
    </row>
    <row r="547" spans="11:12" x14ac:dyDescent="0.2">
      <c r="K547" s="6"/>
      <c r="L547" s="8"/>
    </row>
    <row r="548" spans="11:12" x14ac:dyDescent="0.2">
      <c r="K548" s="6"/>
      <c r="L548" s="8"/>
    </row>
    <row r="549" spans="11:12" x14ac:dyDescent="0.2">
      <c r="K549" s="6"/>
      <c r="L549" s="8"/>
    </row>
    <row r="550" spans="11:12" x14ac:dyDescent="0.2">
      <c r="K550" s="6"/>
      <c r="L550" s="8"/>
    </row>
    <row r="551" spans="11:12" x14ac:dyDescent="0.2">
      <c r="K551" s="6"/>
      <c r="L551" s="8"/>
    </row>
    <row r="552" spans="11:12" x14ac:dyDescent="0.2">
      <c r="K552" s="6"/>
      <c r="L552" s="8"/>
    </row>
    <row r="553" spans="11:12" x14ac:dyDescent="0.2">
      <c r="K553" s="6"/>
      <c r="L553" s="8"/>
    </row>
    <row r="554" spans="11:12" x14ac:dyDescent="0.2">
      <c r="K554" s="6"/>
      <c r="L554" s="8"/>
    </row>
    <row r="555" spans="11:12" x14ac:dyDescent="0.2">
      <c r="K555" s="6"/>
      <c r="L555" s="8"/>
    </row>
    <row r="556" spans="11:12" x14ac:dyDescent="0.2">
      <c r="K556" s="6"/>
      <c r="L556" s="8"/>
    </row>
    <row r="557" spans="11:12" x14ac:dyDescent="0.2">
      <c r="K557" s="6"/>
      <c r="L557" s="8"/>
    </row>
    <row r="558" spans="11:12" x14ac:dyDescent="0.2">
      <c r="K558" s="6"/>
      <c r="L558" s="8"/>
    </row>
    <row r="559" spans="11:12" x14ac:dyDescent="0.2">
      <c r="K559" s="6"/>
      <c r="L559" s="8"/>
    </row>
    <row r="560" spans="11:12" x14ac:dyDescent="0.2">
      <c r="K560" s="6"/>
      <c r="L560" s="8"/>
    </row>
    <row r="561" spans="11:12" x14ac:dyDescent="0.2">
      <c r="K561" s="6"/>
      <c r="L561" s="8"/>
    </row>
    <row r="562" spans="11:12" x14ac:dyDescent="0.2">
      <c r="K562" s="6"/>
      <c r="L562" s="8"/>
    </row>
    <row r="563" spans="11:12" x14ac:dyDescent="0.2">
      <c r="K563" s="6"/>
      <c r="L563" s="8"/>
    </row>
    <row r="564" spans="11:12" x14ac:dyDescent="0.2">
      <c r="K564" s="6"/>
      <c r="L564" s="8"/>
    </row>
    <row r="565" spans="11:12" x14ac:dyDescent="0.2">
      <c r="K565" s="6"/>
      <c r="L565" s="8"/>
    </row>
    <row r="566" spans="11:12" x14ac:dyDescent="0.2">
      <c r="K566" s="6"/>
      <c r="L566" s="8"/>
    </row>
    <row r="567" spans="11:12" x14ac:dyDescent="0.2">
      <c r="K567" s="6"/>
      <c r="L567" s="8"/>
    </row>
    <row r="568" spans="11:12" x14ac:dyDescent="0.2">
      <c r="K568" s="6"/>
      <c r="L568" s="8"/>
    </row>
    <row r="569" spans="11:12" x14ac:dyDescent="0.2">
      <c r="K569" s="6"/>
      <c r="L569" s="8"/>
    </row>
    <row r="570" spans="11:12" x14ac:dyDescent="0.2">
      <c r="K570" s="6"/>
      <c r="L570" s="8"/>
    </row>
    <row r="571" spans="11:12" x14ac:dyDescent="0.2">
      <c r="K571" s="6"/>
      <c r="L571" s="8"/>
    </row>
    <row r="572" spans="11:12" x14ac:dyDescent="0.2">
      <c r="K572" s="6"/>
      <c r="L572" s="8"/>
    </row>
    <row r="573" spans="11:12" x14ac:dyDescent="0.2">
      <c r="K573" s="6"/>
      <c r="L573" s="8"/>
    </row>
    <row r="574" spans="11:12" x14ac:dyDescent="0.2">
      <c r="K574" s="6"/>
      <c r="L574" s="8"/>
    </row>
    <row r="575" spans="11:12" x14ac:dyDescent="0.2">
      <c r="K575" s="6"/>
      <c r="L575" s="8"/>
    </row>
    <row r="576" spans="11:12" x14ac:dyDescent="0.2">
      <c r="K576" s="6"/>
      <c r="L576" s="8"/>
    </row>
    <row r="577" spans="11:12" x14ac:dyDescent="0.2">
      <c r="K577" s="6"/>
      <c r="L577" s="8"/>
    </row>
    <row r="578" spans="11:12" x14ac:dyDescent="0.2">
      <c r="K578" s="6"/>
      <c r="L578" s="8"/>
    </row>
    <row r="579" spans="11:12" x14ac:dyDescent="0.2">
      <c r="K579" s="6"/>
      <c r="L579" s="8"/>
    </row>
    <row r="580" spans="11:12" x14ac:dyDescent="0.2">
      <c r="K580" s="6"/>
      <c r="L580" s="8"/>
    </row>
    <row r="581" spans="11:12" x14ac:dyDescent="0.2">
      <c r="K581" s="6"/>
      <c r="L581" s="8"/>
    </row>
    <row r="582" spans="11:12" x14ac:dyDescent="0.2">
      <c r="K582" s="6"/>
      <c r="L582" s="8"/>
    </row>
    <row r="583" spans="11:12" x14ac:dyDescent="0.2">
      <c r="K583" s="6"/>
      <c r="L583" s="8"/>
    </row>
    <row r="584" spans="11:12" x14ac:dyDescent="0.2">
      <c r="K584" s="6"/>
      <c r="L584" s="8"/>
    </row>
    <row r="585" spans="11:12" x14ac:dyDescent="0.2">
      <c r="K585" s="6"/>
      <c r="L585" s="8"/>
    </row>
    <row r="586" spans="11:12" x14ac:dyDescent="0.2">
      <c r="K586" s="6"/>
      <c r="L586" s="8"/>
    </row>
    <row r="587" spans="11:12" x14ac:dyDescent="0.2">
      <c r="K587" s="6"/>
      <c r="L587" s="8"/>
    </row>
    <row r="588" spans="11:12" x14ac:dyDescent="0.2">
      <c r="K588" s="6"/>
      <c r="L588" s="8"/>
    </row>
    <row r="589" spans="11:12" x14ac:dyDescent="0.2">
      <c r="K589" s="6"/>
      <c r="L589" s="8"/>
    </row>
    <row r="590" spans="11:12" x14ac:dyDescent="0.2">
      <c r="K590" s="6"/>
      <c r="L590" s="8"/>
    </row>
    <row r="591" spans="11:12" x14ac:dyDescent="0.2">
      <c r="K591" s="6"/>
      <c r="L591" s="8"/>
    </row>
    <row r="592" spans="11:12" x14ac:dyDescent="0.2">
      <c r="K592" s="6"/>
      <c r="L592" s="8"/>
    </row>
    <row r="593" spans="11:12" x14ac:dyDescent="0.2">
      <c r="K593" s="6"/>
      <c r="L593" s="8"/>
    </row>
    <row r="594" spans="11:12" x14ac:dyDescent="0.2">
      <c r="K594" s="6"/>
      <c r="L594" s="8"/>
    </row>
    <row r="595" spans="11:12" x14ac:dyDescent="0.2">
      <c r="K595" s="6"/>
      <c r="L595" s="8"/>
    </row>
    <row r="596" spans="11:12" x14ac:dyDescent="0.2">
      <c r="K596" s="6"/>
      <c r="L596" s="8"/>
    </row>
    <row r="597" spans="11:12" x14ac:dyDescent="0.2">
      <c r="K597" s="6"/>
      <c r="L597" s="8"/>
    </row>
    <row r="598" spans="11:12" x14ac:dyDescent="0.2">
      <c r="K598" s="6"/>
      <c r="L598" s="8"/>
    </row>
    <row r="599" spans="11:12" x14ac:dyDescent="0.2">
      <c r="K599" s="6"/>
      <c r="L599" s="8"/>
    </row>
    <row r="600" spans="11:12" x14ac:dyDescent="0.2">
      <c r="K600" s="6"/>
      <c r="L600" s="8"/>
    </row>
    <row r="601" spans="11:12" x14ac:dyDescent="0.2">
      <c r="K601" s="6"/>
      <c r="L601" s="8"/>
    </row>
    <row r="602" spans="11:12" x14ac:dyDescent="0.2">
      <c r="K602" s="6"/>
      <c r="L602" s="8"/>
    </row>
    <row r="603" spans="11:12" x14ac:dyDescent="0.2">
      <c r="K603" s="6"/>
      <c r="L603" s="8"/>
    </row>
    <row r="604" spans="11:12" x14ac:dyDescent="0.2">
      <c r="K604" s="6"/>
      <c r="L604" s="8"/>
    </row>
    <row r="605" spans="11:12" x14ac:dyDescent="0.2">
      <c r="K605" s="6"/>
      <c r="L605" s="8"/>
    </row>
    <row r="606" spans="11:12" x14ac:dyDescent="0.2">
      <c r="K606" s="6"/>
      <c r="L606" s="8"/>
    </row>
    <row r="607" spans="11:12" x14ac:dyDescent="0.2">
      <c r="K607" s="6"/>
      <c r="L607" s="8"/>
    </row>
    <row r="608" spans="11:12" x14ac:dyDescent="0.2">
      <c r="K608" s="6"/>
      <c r="L608" s="8"/>
    </row>
    <row r="609" spans="11:12" x14ac:dyDescent="0.2">
      <c r="K609" s="6"/>
      <c r="L609" s="8"/>
    </row>
    <row r="610" spans="11:12" x14ac:dyDescent="0.2">
      <c r="K610" s="6"/>
      <c r="L610" s="8"/>
    </row>
    <row r="611" spans="11:12" x14ac:dyDescent="0.2">
      <c r="K611" s="6"/>
      <c r="L611" s="8"/>
    </row>
    <row r="612" spans="11:12" x14ac:dyDescent="0.2">
      <c r="K612" s="6"/>
      <c r="L612" s="8"/>
    </row>
    <row r="613" spans="11:12" x14ac:dyDescent="0.2">
      <c r="K613" s="6"/>
      <c r="L613" s="8"/>
    </row>
    <row r="614" spans="11:12" x14ac:dyDescent="0.2">
      <c r="K614" s="6"/>
      <c r="L614" s="8"/>
    </row>
    <row r="615" spans="11:12" x14ac:dyDescent="0.2">
      <c r="K615" s="6"/>
      <c r="L615" s="8"/>
    </row>
    <row r="616" spans="11:12" x14ac:dyDescent="0.2">
      <c r="K616" s="6"/>
      <c r="L616" s="8"/>
    </row>
    <row r="617" spans="11:12" x14ac:dyDescent="0.2">
      <c r="K617" s="6"/>
      <c r="L617" s="8"/>
    </row>
    <row r="618" spans="11:12" x14ac:dyDescent="0.2">
      <c r="K618" s="6"/>
      <c r="L618" s="8"/>
    </row>
    <row r="619" spans="11:12" x14ac:dyDescent="0.2">
      <c r="K619" s="6"/>
      <c r="L619" s="8"/>
    </row>
    <row r="620" spans="11:12" x14ac:dyDescent="0.2">
      <c r="K620" s="6"/>
      <c r="L620" s="8"/>
    </row>
    <row r="621" spans="11:12" x14ac:dyDescent="0.2">
      <c r="K621" s="6"/>
      <c r="L621" s="8"/>
    </row>
    <row r="622" spans="11:12" x14ac:dyDescent="0.2">
      <c r="K622" s="6"/>
      <c r="L622" s="8"/>
    </row>
    <row r="623" spans="11:12" x14ac:dyDescent="0.2">
      <c r="K623" s="6"/>
      <c r="L623" s="8"/>
    </row>
    <row r="624" spans="11:12" x14ac:dyDescent="0.2">
      <c r="K624" s="6"/>
      <c r="L624" s="8"/>
    </row>
    <row r="625" spans="11:12" x14ac:dyDescent="0.2">
      <c r="K625" s="6"/>
      <c r="L625" s="8"/>
    </row>
    <row r="626" spans="11:12" x14ac:dyDescent="0.2">
      <c r="K626" s="6"/>
      <c r="L626" s="8"/>
    </row>
    <row r="627" spans="11:12" x14ac:dyDescent="0.2">
      <c r="K627" s="6"/>
      <c r="L627" s="8"/>
    </row>
    <row r="628" spans="11:12" x14ac:dyDescent="0.2">
      <c r="K628" s="6"/>
      <c r="L628" s="8"/>
    </row>
    <row r="629" spans="11:12" x14ac:dyDescent="0.2">
      <c r="K629" s="6"/>
      <c r="L629" s="8"/>
    </row>
    <row r="630" spans="11:12" x14ac:dyDescent="0.2">
      <c r="K630" s="6"/>
      <c r="L630" s="8"/>
    </row>
    <row r="631" spans="11:12" x14ac:dyDescent="0.2">
      <c r="K631" s="6"/>
      <c r="L631" s="8"/>
    </row>
    <row r="632" spans="11:12" x14ac:dyDescent="0.2">
      <c r="K632" s="6"/>
      <c r="L632" s="8"/>
    </row>
    <row r="633" spans="11:12" x14ac:dyDescent="0.2">
      <c r="K633" s="6"/>
      <c r="L633" s="8"/>
    </row>
    <row r="634" spans="11:12" x14ac:dyDescent="0.2">
      <c r="K634" s="6"/>
      <c r="L634" s="8"/>
    </row>
    <row r="635" spans="11:12" x14ac:dyDescent="0.2">
      <c r="K635" s="6"/>
      <c r="L635" s="8"/>
    </row>
    <row r="636" spans="11:12" x14ac:dyDescent="0.2">
      <c r="K636" s="6"/>
      <c r="L636" s="8"/>
    </row>
    <row r="637" spans="11:12" x14ac:dyDescent="0.2">
      <c r="K637" s="6"/>
      <c r="L637" s="8"/>
    </row>
    <row r="638" spans="11:12" x14ac:dyDescent="0.2">
      <c r="K638" s="6"/>
      <c r="L638" s="8"/>
    </row>
    <row r="639" spans="11:12" x14ac:dyDescent="0.2">
      <c r="K639" s="6"/>
      <c r="L639" s="8"/>
    </row>
    <row r="640" spans="11:12" x14ac:dyDescent="0.2">
      <c r="K640" s="6"/>
      <c r="L640" s="8"/>
    </row>
    <row r="641" spans="11:12" x14ac:dyDescent="0.2">
      <c r="K641" s="6"/>
      <c r="L641" s="8"/>
    </row>
    <row r="642" spans="11:12" x14ac:dyDescent="0.2">
      <c r="K642" s="6"/>
      <c r="L642" s="8"/>
    </row>
    <row r="643" spans="11:12" x14ac:dyDescent="0.2">
      <c r="K643" s="6"/>
      <c r="L643" s="8"/>
    </row>
    <row r="644" spans="11:12" x14ac:dyDescent="0.2">
      <c r="K644" s="6"/>
      <c r="L644" s="8"/>
    </row>
    <row r="645" spans="11:12" x14ac:dyDescent="0.2">
      <c r="K645" s="6"/>
      <c r="L645" s="8"/>
    </row>
    <row r="646" spans="11:12" x14ac:dyDescent="0.2">
      <c r="K646" s="6"/>
      <c r="L646" s="8"/>
    </row>
    <row r="647" spans="11:12" x14ac:dyDescent="0.2">
      <c r="K647" s="6"/>
      <c r="L647" s="8"/>
    </row>
    <row r="648" spans="11:12" x14ac:dyDescent="0.2">
      <c r="K648" s="6"/>
      <c r="L648" s="8"/>
    </row>
    <row r="649" spans="11:12" x14ac:dyDescent="0.2">
      <c r="K649" s="6"/>
      <c r="L649" s="8"/>
    </row>
    <row r="650" spans="11:12" x14ac:dyDescent="0.2">
      <c r="K650" s="6"/>
      <c r="L650" s="8"/>
    </row>
    <row r="651" spans="11:12" x14ac:dyDescent="0.2">
      <c r="K651" s="6"/>
      <c r="L651" s="8"/>
    </row>
    <row r="652" spans="11:12" x14ac:dyDescent="0.2">
      <c r="K652" s="6"/>
      <c r="L652" s="8"/>
    </row>
    <row r="653" spans="11:12" x14ac:dyDescent="0.2">
      <c r="K653" s="6"/>
      <c r="L653" s="8"/>
    </row>
    <row r="654" spans="11:12" x14ac:dyDescent="0.2">
      <c r="K654" s="6"/>
      <c r="L654" s="8"/>
    </row>
    <row r="655" spans="11:12" x14ac:dyDescent="0.2">
      <c r="K655" s="6"/>
      <c r="L655" s="8"/>
    </row>
    <row r="656" spans="11:12" x14ac:dyDescent="0.2">
      <c r="K656" s="6"/>
      <c r="L656" s="8"/>
    </row>
    <row r="657" spans="11:12" x14ac:dyDescent="0.2">
      <c r="K657" s="6"/>
      <c r="L657" s="8"/>
    </row>
    <row r="658" spans="11:12" x14ac:dyDescent="0.2">
      <c r="K658" s="6"/>
      <c r="L658" s="8"/>
    </row>
    <row r="659" spans="11:12" x14ac:dyDescent="0.2">
      <c r="K659" s="6"/>
      <c r="L659" s="8"/>
    </row>
    <row r="660" spans="11:12" x14ac:dyDescent="0.2">
      <c r="K660" s="6"/>
      <c r="L660" s="8"/>
    </row>
    <row r="661" spans="11:12" x14ac:dyDescent="0.2">
      <c r="K661" s="6"/>
      <c r="L661" s="8"/>
    </row>
    <row r="662" spans="11:12" x14ac:dyDescent="0.2">
      <c r="K662" s="6"/>
      <c r="L662" s="8"/>
    </row>
    <row r="663" spans="11:12" x14ac:dyDescent="0.2">
      <c r="K663" s="6"/>
      <c r="L663" s="8"/>
    </row>
    <row r="664" spans="11:12" x14ac:dyDescent="0.2">
      <c r="K664" s="6"/>
      <c r="L664" s="8"/>
    </row>
    <row r="665" spans="11:12" x14ac:dyDescent="0.2">
      <c r="K665" s="6"/>
      <c r="L665" s="8"/>
    </row>
    <row r="666" spans="11:12" x14ac:dyDescent="0.2">
      <c r="K666" s="6"/>
      <c r="L666" s="8"/>
    </row>
    <row r="667" spans="11:12" x14ac:dyDescent="0.2">
      <c r="K667" s="6"/>
      <c r="L667" s="8"/>
    </row>
    <row r="668" spans="11:12" x14ac:dyDescent="0.2">
      <c r="K668" s="6"/>
      <c r="L668" s="8"/>
    </row>
    <row r="669" spans="11:12" x14ac:dyDescent="0.2">
      <c r="K669" s="6"/>
      <c r="L669" s="8"/>
    </row>
    <row r="670" spans="11:12" x14ac:dyDescent="0.2">
      <c r="K670" s="6"/>
      <c r="L670" s="8"/>
    </row>
    <row r="671" spans="11:12" x14ac:dyDescent="0.2">
      <c r="K671" s="6"/>
      <c r="L671" s="8"/>
    </row>
    <row r="672" spans="11:12" x14ac:dyDescent="0.2">
      <c r="K672" s="6"/>
      <c r="L672" s="8"/>
    </row>
    <row r="673" spans="11:12" x14ac:dyDescent="0.2">
      <c r="K673" s="6"/>
      <c r="L673" s="8"/>
    </row>
    <row r="674" spans="11:12" x14ac:dyDescent="0.2">
      <c r="K674" s="6"/>
      <c r="L674" s="8"/>
    </row>
    <row r="675" spans="11:12" x14ac:dyDescent="0.2">
      <c r="K675" s="6"/>
      <c r="L675" s="8"/>
    </row>
    <row r="676" spans="11:12" x14ac:dyDescent="0.2">
      <c r="K676" s="6"/>
      <c r="L676" s="8"/>
    </row>
    <row r="677" spans="11:12" x14ac:dyDescent="0.2">
      <c r="K677" s="6"/>
      <c r="L677" s="8"/>
    </row>
    <row r="678" spans="11:12" x14ac:dyDescent="0.2">
      <c r="K678" s="6"/>
      <c r="L678" s="8"/>
    </row>
    <row r="679" spans="11:12" x14ac:dyDescent="0.2">
      <c r="K679" s="6"/>
      <c r="L679" s="8"/>
    </row>
    <row r="680" spans="11:12" x14ac:dyDescent="0.2">
      <c r="K680" s="6"/>
      <c r="L680" s="8"/>
    </row>
    <row r="681" spans="11:12" x14ac:dyDescent="0.2">
      <c r="K681" s="6"/>
      <c r="L681" s="8"/>
    </row>
    <row r="682" spans="11:12" x14ac:dyDescent="0.2">
      <c r="K682" s="6"/>
      <c r="L682" s="8"/>
    </row>
    <row r="683" spans="11:12" x14ac:dyDescent="0.2">
      <c r="K683" s="6"/>
      <c r="L683" s="8"/>
    </row>
    <row r="684" spans="11:12" x14ac:dyDescent="0.2">
      <c r="K684" s="6"/>
      <c r="L684" s="8"/>
    </row>
    <row r="685" spans="11:12" x14ac:dyDescent="0.2">
      <c r="K685" s="6"/>
      <c r="L685" s="8"/>
    </row>
    <row r="686" spans="11:12" x14ac:dyDescent="0.2">
      <c r="K686" s="6"/>
      <c r="L686" s="8"/>
    </row>
    <row r="687" spans="11:12" x14ac:dyDescent="0.2">
      <c r="K687" s="6"/>
      <c r="L687" s="8"/>
    </row>
    <row r="688" spans="11:12" x14ac:dyDescent="0.2">
      <c r="K688" s="6"/>
      <c r="L688" s="8"/>
    </row>
    <row r="689" spans="11:12" x14ac:dyDescent="0.2">
      <c r="K689" s="6"/>
      <c r="L689" s="8"/>
    </row>
    <row r="690" spans="11:12" x14ac:dyDescent="0.2">
      <c r="K690" s="6"/>
      <c r="L690" s="8"/>
    </row>
    <row r="691" spans="11:12" x14ac:dyDescent="0.2">
      <c r="K691" s="6"/>
      <c r="L691" s="8"/>
    </row>
    <row r="692" spans="11:12" x14ac:dyDescent="0.2">
      <c r="K692" s="6"/>
      <c r="L692" s="8"/>
    </row>
    <row r="693" spans="11:12" x14ac:dyDescent="0.2">
      <c r="K693" s="6"/>
      <c r="L693" s="8"/>
    </row>
    <row r="694" spans="11:12" x14ac:dyDescent="0.2">
      <c r="K694" s="6"/>
      <c r="L694" s="8"/>
    </row>
    <row r="695" spans="11:12" x14ac:dyDescent="0.2">
      <c r="K695" s="6"/>
      <c r="L695" s="8"/>
    </row>
    <row r="696" spans="11:12" x14ac:dyDescent="0.2">
      <c r="K696" s="6"/>
      <c r="L696" s="8"/>
    </row>
    <row r="697" spans="11:12" x14ac:dyDescent="0.2">
      <c r="K697" s="6"/>
      <c r="L697" s="8"/>
    </row>
    <row r="698" spans="11:12" x14ac:dyDescent="0.2">
      <c r="K698" s="6"/>
      <c r="L698" s="8"/>
    </row>
    <row r="699" spans="11:12" x14ac:dyDescent="0.2">
      <c r="K699" s="6"/>
      <c r="L699" s="8"/>
    </row>
    <row r="700" spans="11:12" x14ac:dyDescent="0.2">
      <c r="K700" s="6"/>
      <c r="L700" s="8"/>
    </row>
    <row r="701" spans="11:12" x14ac:dyDescent="0.2">
      <c r="K701" s="6"/>
      <c r="L701" s="8"/>
    </row>
    <row r="702" spans="11:12" x14ac:dyDescent="0.2">
      <c r="K702" s="6"/>
      <c r="L702" s="8"/>
    </row>
    <row r="703" spans="11:12" x14ac:dyDescent="0.2">
      <c r="K703" s="6"/>
      <c r="L703" s="8"/>
    </row>
    <row r="704" spans="11:12" x14ac:dyDescent="0.2">
      <c r="K704" s="6"/>
      <c r="L704" s="8"/>
    </row>
    <row r="705" spans="11:12" x14ac:dyDescent="0.2">
      <c r="K705" s="6"/>
      <c r="L705" s="8"/>
    </row>
    <row r="706" spans="11:12" x14ac:dyDescent="0.2">
      <c r="K706" s="6"/>
      <c r="L706" s="8"/>
    </row>
    <row r="707" spans="11:12" x14ac:dyDescent="0.2">
      <c r="K707" s="6"/>
      <c r="L707" s="8"/>
    </row>
    <row r="708" spans="11:12" x14ac:dyDescent="0.2">
      <c r="K708" s="6"/>
      <c r="L708" s="8"/>
    </row>
    <row r="709" spans="11:12" x14ac:dyDescent="0.2">
      <c r="K709" s="6"/>
      <c r="L709" s="8"/>
    </row>
    <row r="710" spans="11:12" x14ac:dyDescent="0.2">
      <c r="K710" s="6"/>
      <c r="L710" s="8"/>
    </row>
    <row r="711" spans="11:12" x14ac:dyDescent="0.2">
      <c r="K711" s="6"/>
      <c r="L711" s="8"/>
    </row>
    <row r="712" spans="11:12" x14ac:dyDescent="0.2">
      <c r="K712" s="6"/>
      <c r="L712" s="8"/>
    </row>
    <row r="713" spans="11:12" x14ac:dyDescent="0.2">
      <c r="K713" s="6"/>
      <c r="L713" s="8"/>
    </row>
    <row r="714" spans="11:12" x14ac:dyDescent="0.2">
      <c r="K714" s="6"/>
      <c r="L714" s="8"/>
    </row>
    <row r="715" spans="11:12" x14ac:dyDescent="0.2">
      <c r="K715" s="6"/>
      <c r="L715" s="8"/>
    </row>
    <row r="716" spans="11:12" x14ac:dyDescent="0.2">
      <c r="K716" s="6"/>
      <c r="L716" s="8"/>
    </row>
    <row r="717" spans="11:12" x14ac:dyDescent="0.2">
      <c r="K717" s="6"/>
      <c r="L717" s="8"/>
    </row>
    <row r="718" spans="11:12" x14ac:dyDescent="0.2">
      <c r="K718" s="6"/>
      <c r="L718" s="8"/>
    </row>
    <row r="719" spans="11:12" x14ac:dyDescent="0.2">
      <c r="K719" s="6"/>
      <c r="L719" s="8"/>
    </row>
    <row r="720" spans="11:12" x14ac:dyDescent="0.2">
      <c r="K720" s="6"/>
      <c r="L720" s="8"/>
    </row>
    <row r="721" spans="11:12" x14ac:dyDescent="0.2">
      <c r="K721" s="6"/>
      <c r="L721" s="8"/>
    </row>
    <row r="722" spans="11:12" x14ac:dyDescent="0.2">
      <c r="K722" s="6"/>
      <c r="L722" s="8"/>
    </row>
    <row r="723" spans="11:12" x14ac:dyDescent="0.2">
      <c r="K723" s="6"/>
      <c r="L723" s="8"/>
    </row>
    <row r="724" spans="11:12" x14ac:dyDescent="0.2">
      <c r="K724" s="6"/>
      <c r="L724" s="8"/>
    </row>
    <row r="725" spans="11:12" x14ac:dyDescent="0.2">
      <c r="K725" s="6"/>
      <c r="L725" s="8"/>
    </row>
    <row r="726" spans="11:12" x14ac:dyDescent="0.2">
      <c r="K726" s="6"/>
      <c r="L726" s="8"/>
    </row>
    <row r="727" spans="11:12" x14ac:dyDescent="0.2">
      <c r="K727" s="6"/>
      <c r="L727" s="8"/>
    </row>
    <row r="728" spans="11:12" x14ac:dyDescent="0.2">
      <c r="K728" s="6"/>
      <c r="L728" s="8"/>
    </row>
    <row r="729" spans="11:12" x14ac:dyDescent="0.2">
      <c r="K729" s="6"/>
      <c r="L729" s="8"/>
    </row>
    <row r="730" spans="11:12" x14ac:dyDescent="0.2">
      <c r="K730" s="6"/>
      <c r="L730" s="8"/>
    </row>
    <row r="731" spans="11:12" x14ac:dyDescent="0.2">
      <c r="K731" s="6"/>
      <c r="L731" s="8"/>
    </row>
    <row r="732" spans="11:12" x14ac:dyDescent="0.2">
      <c r="K732" s="6"/>
      <c r="L732" s="8"/>
    </row>
    <row r="733" spans="11:12" x14ac:dyDescent="0.2">
      <c r="K733" s="6"/>
      <c r="L733" s="8"/>
    </row>
    <row r="734" spans="11:12" x14ac:dyDescent="0.2">
      <c r="K734" s="6"/>
      <c r="L734" s="8"/>
    </row>
    <row r="735" spans="11:12" x14ac:dyDescent="0.2">
      <c r="K735" s="6"/>
      <c r="L735" s="8"/>
    </row>
    <row r="736" spans="11:12" x14ac:dyDescent="0.2">
      <c r="K736" s="6"/>
      <c r="L736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13E6-994A-4F5D-8C85-3A1B3336FDE6}">
  <dimension ref="A1:BW737"/>
  <sheetViews>
    <sheetView zoomScale="85" zoomScaleNormal="85" workbookViewId="0">
      <selection activeCell="C40" sqref="C40"/>
    </sheetView>
  </sheetViews>
  <sheetFormatPr baseColWidth="10" defaultColWidth="8.83203125" defaultRowHeight="15" x14ac:dyDescent="0.2"/>
  <cols>
    <col min="1" max="1" width="16.33203125" bestFit="1" customWidth="1"/>
    <col min="2" max="5" width="26.5" customWidth="1"/>
    <col min="6" max="6" width="26.5" style="1" customWidth="1"/>
    <col min="7" max="7" width="29.83203125" style="1" customWidth="1"/>
    <col min="8" max="9" width="29.83203125" style="4" customWidth="1"/>
    <col min="10" max="11" width="29.83203125" style="7" customWidth="1"/>
    <col min="12" max="12" width="28.1640625" style="4" customWidth="1"/>
    <col min="13" max="13" width="17.5" style="7" bestFit="1" customWidth="1"/>
    <col min="14" max="15" width="14.33203125" style="3" customWidth="1"/>
    <col min="16" max="16" width="12.83203125" style="4" customWidth="1"/>
  </cols>
  <sheetData>
    <row r="1" spans="1:75" x14ac:dyDescent="0.2">
      <c r="A1" t="s">
        <v>8</v>
      </c>
      <c r="B1" t="s">
        <v>1</v>
      </c>
      <c r="C1" t="s">
        <v>11</v>
      </c>
      <c r="D1" t="s">
        <v>12</v>
      </c>
      <c r="E1" t="s">
        <v>30</v>
      </c>
      <c r="F1" s="1" t="s">
        <v>5</v>
      </c>
      <c r="G1" s="1" t="s">
        <v>7</v>
      </c>
      <c r="H1" s="4" t="s">
        <v>15</v>
      </c>
      <c r="I1" s="4" t="s">
        <v>17</v>
      </c>
      <c r="J1" s="7" t="s">
        <v>64</v>
      </c>
      <c r="K1" s="7" t="s">
        <v>63</v>
      </c>
      <c r="L1" s="4" t="s">
        <v>9</v>
      </c>
      <c r="M1" s="5" t="s">
        <v>21</v>
      </c>
      <c r="N1" s="2" t="s">
        <v>67</v>
      </c>
      <c r="O1" s="2" t="s">
        <v>68</v>
      </c>
      <c r="P1" s="9" t="s">
        <v>0</v>
      </c>
    </row>
    <row r="2" spans="1:75" x14ac:dyDescent="0.2">
      <c r="A2" t="s">
        <v>79</v>
      </c>
      <c r="B2" t="s">
        <v>2</v>
      </c>
      <c r="C2" t="s">
        <v>3</v>
      </c>
      <c r="D2" t="s">
        <v>13</v>
      </c>
      <c r="E2" t="s">
        <v>31</v>
      </c>
      <c r="F2" s="1" t="s">
        <v>6</v>
      </c>
      <c r="G2" s="1" t="s">
        <v>71</v>
      </c>
      <c r="H2" s="4" t="s">
        <v>35</v>
      </c>
      <c r="I2" s="4" t="s">
        <v>18</v>
      </c>
      <c r="J2" s="7">
        <v>357289</v>
      </c>
      <c r="K2" s="7">
        <v>119039</v>
      </c>
      <c r="L2" s="4" t="s">
        <v>61</v>
      </c>
      <c r="M2" s="10">
        <v>202370918</v>
      </c>
      <c r="N2" s="2">
        <f>financials34[[#This Row],[Total Cost]]/financials34[[#This Row],[GLA]]</f>
        <v>566.40679673877446</v>
      </c>
      <c r="O2" s="2">
        <f>financials34[[#This Row],[Total Cost]]/financials34[[#This Row],[GFA]]</f>
        <v>1700.0387940086862</v>
      </c>
      <c r="P2" s="2" t="s">
        <v>4</v>
      </c>
      <c r="Q2" s="2"/>
      <c r="R2" s="1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x14ac:dyDescent="0.2">
      <c r="A3" t="s">
        <v>79</v>
      </c>
      <c r="B3" t="s">
        <v>2</v>
      </c>
      <c r="C3" t="s">
        <v>3</v>
      </c>
      <c r="D3" t="s">
        <v>13</v>
      </c>
      <c r="E3" t="s">
        <v>31</v>
      </c>
      <c r="F3" s="1" t="s">
        <v>6</v>
      </c>
      <c r="G3" s="1" t="s">
        <v>72</v>
      </c>
      <c r="H3" s="4" t="s">
        <v>35</v>
      </c>
      <c r="I3" s="4" t="s">
        <v>18</v>
      </c>
      <c r="J3" s="7">
        <v>357289</v>
      </c>
      <c r="K3" s="7">
        <v>119039</v>
      </c>
      <c r="L3" s="4" t="s">
        <v>61</v>
      </c>
      <c r="M3" s="10">
        <v>230526010</v>
      </c>
      <c r="N3" s="2">
        <f>financials34[[#This Row],[Total Cost]]/financials34[[#This Row],[GLA]]</f>
        <v>645.20880855553912</v>
      </c>
      <c r="O3" s="2">
        <f>financials34[[#This Row],[Total Cost]]/financials34[[#This Row],[GFA]]</f>
        <v>1936.5586908492176</v>
      </c>
      <c r="P3" s="2" t="s">
        <v>4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x14ac:dyDescent="0.2">
      <c r="A4" t="s">
        <v>79</v>
      </c>
      <c r="B4" t="s">
        <v>2</v>
      </c>
      <c r="C4" t="s">
        <v>3</v>
      </c>
      <c r="D4" t="s">
        <v>13</v>
      </c>
      <c r="E4" t="s">
        <v>31</v>
      </c>
      <c r="F4" s="1" t="s">
        <v>6</v>
      </c>
      <c r="G4" s="1" t="s">
        <v>13</v>
      </c>
      <c r="H4" s="4" t="s">
        <v>80</v>
      </c>
      <c r="I4" s="4" t="s">
        <v>18</v>
      </c>
      <c r="J4" s="7">
        <v>357289</v>
      </c>
      <c r="K4" s="7">
        <v>119039</v>
      </c>
      <c r="L4" s="4" t="s">
        <v>61</v>
      </c>
      <c r="M4" s="10">
        <v>270278197</v>
      </c>
      <c r="N4" s="2">
        <f>financials34[[#This Row],[Total Cost]]/financials34[[#This Row],[GLA]]</f>
        <v>756.46940431975236</v>
      </c>
      <c r="O4" s="2">
        <f>financials34[[#This Row],[Total Cost]]/financials34[[#This Row],[GFA]]</f>
        <v>2270.50123908971</v>
      </c>
      <c r="P4" s="2" t="s">
        <v>4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75" x14ac:dyDescent="0.2">
      <c r="A5" t="s">
        <v>79</v>
      </c>
      <c r="B5" t="s">
        <v>2</v>
      </c>
      <c r="C5" t="s">
        <v>3</v>
      </c>
      <c r="D5" t="s">
        <v>13</v>
      </c>
      <c r="E5" t="s">
        <v>31</v>
      </c>
      <c r="F5" s="1" t="s">
        <v>6</v>
      </c>
      <c r="G5" s="1" t="s">
        <v>81</v>
      </c>
      <c r="H5" s="4" t="s">
        <v>80</v>
      </c>
      <c r="I5" s="4" t="s">
        <v>18</v>
      </c>
      <c r="J5" s="7">
        <v>357289</v>
      </c>
      <c r="K5" s="7">
        <v>119039</v>
      </c>
      <c r="L5" s="4" t="s">
        <v>61</v>
      </c>
      <c r="M5" s="10">
        <v>296095593</v>
      </c>
      <c r="N5" s="2">
        <f>financials34[[#This Row],[Total Cost]]/financials34[[#This Row],[GLA]]</f>
        <v>828.72854467951709</v>
      </c>
      <c r="O5" s="2">
        <f>financials34[[#This Row],[Total Cost]]/financials34[[#This Row],[GFA]]</f>
        <v>2487.3830677341039</v>
      </c>
      <c r="P5" s="2" t="s">
        <v>4</v>
      </c>
    </row>
    <row r="6" spans="1:75" x14ac:dyDescent="0.2">
      <c r="M6" s="10"/>
      <c r="N6" s="2"/>
      <c r="O6" s="2"/>
      <c r="P6" s="2"/>
    </row>
    <row r="7" spans="1:75" x14ac:dyDescent="0.2">
      <c r="M7" s="10"/>
      <c r="N7" s="2"/>
      <c r="O7" s="2"/>
      <c r="P7" s="2"/>
    </row>
    <row r="8" spans="1:75" x14ac:dyDescent="0.2">
      <c r="M8" s="10"/>
      <c r="N8" s="2"/>
      <c r="O8" s="2"/>
      <c r="P8" s="2"/>
    </row>
    <row r="9" spans="1:75" x14ac:dyDescent="0.2">
      <c r="M9" s="10"/>
      <c r="N9" s="2"/>
      <c r="O9" s="2"/>
      <c r="P9" s="2"/>
    </row>
    <row r="10" spans="1:75" x14ac:dyDescent="0.2">
      <c r="N10" s="7"/>
      <c r="O10" s="7"/>
      <c r="P10" s="2"/>
    </row>
    <row r="11" spans="1:75" x14ac:dyDescent="0.2">
      <c r="N11" s="7"/>
      <c r="O11" s="7"/>
      <c r="P11" s="2"/>
    </row>
    <row r="12" spans="1:75" x14ac:dyDescent="0.2">
      <c r="M12" s="10"/>
      <c r="N12" s="2"/>
      <c r="O12" s="2"/>
      <c r="P12" s="2"/>
    </row>
    <row r="13" spans="1:75" x14ac:dyDescent="0.2">
      <c r="M13" s="10"/>
      <c r="N13" s="2"/>
      <c r="O13" s="2"/>
      <c r="P13" s="2"/>
    </row>
    <row r="14" spans="1:75" x14ac:dyDescent="0.2">
      <c r="M14" s="15"/>
      <c r="N14" s="2"/>
      <c r="O14" s="2"/>
      <c r="P14" s="2"/>
    </row>
    <row r="15" spans="1:75" x14ac:dyDescent="0.2">
      <c r="M15" s="10"/>
      <c r="N15" s="2"/>
      <c r="O15" s="2"/>
      <c r="P15" s="2"/>
    </row>
    <row r="16" spans="1:75" x14ac:dyDescent="0.2">
      <c r="N16" s="7"/>
      <c r="O16" s="7"/>
      <c r="P16" s="2"/>
    </row>
    <row r="17" spans="13:16" x14ac:dyDescent="0.2">
      <c r="M17" s="15"/>
      <c r="N17" s="2"/>
      <c r="O17" s="2"/>
      <c r="P17" s="2"/>
    </row>
    <row r="18" spans="13:16" x14ac:dyDescent="0.2">
      <c r="M18" s="15"/>
      <c r="N18" s="2"/>
      <c r="O18" s="2"/>
      <c r="P18" s="2"/>
    </row>
    <row r="19" spans="13:16" x14ac:dyDescent="0.2">
      <c r="N19" s="2"/>
      <c r="O19" s="2"/>
      <c r="P19" s="2"/>
    </row>
    <row r="20" spans="13:16" x14ac:dyDescent="0.2">
      <c r="N20" s="7"/>
      <c r="O20" s="7"/>
      <c r="P20" s="2"/>
    </row>
    <row r="21" spans="13:16" x14ac:dyDescent="0.2">
      <c r="N21" s="7"/>
      <c r="O21" s="7"/>
      <c r="P21" s="2"/>
    </row>
    <row r="22" spans="13:16" x14ac:dyDescent="0.2">
      <c r="N22" s="7"/>
      <c r="O22" s="7"/>
      <c r="P22" s="2"/>
    </row>
    <row r="23" spans="13:16" x14ac:dyDescent="0.2">
      <c r="M23" s="15"/>
      <c r="N23" s="2"/>
      <c r="O23" s="2"/>
      <c r="P23" s="2"/>
    </row>
    <row r="24" spans="13:16" x14ac:dyDescent="0.2">
      <c r="N24" s="7"/>
      <c r="O24" s="7"/>
      <c r="P24" s="2"/>
    </row>
    <row r="25" spans="13:16" x14ac:dyDescent="0.2">
      <c r="M25" s="10"/>
      <c r="N25" s="2"/>
      <c r="O25" s="2"/>
      <c r="P25" s="2"/>
    </row>
    <row r="26" spans="13:16" x14ac:dyDescent="0.2">
      <c r="M26" s="15"/>
      <c r="N26" s="2"/>
      <c r="O26" s="2"/>
      <c r="P26" s="2"/>
    </row>
    <row r="27" spans="13:16" x14ac:dyDescent="0.2">
      <c r="M27" s="15"/>
      <c r="N27" s="2"/>
      <c r="O27" s="2"/>
      <c r="P27" s="2"/>
    </row>
    <row r="28" spans="13:16" x14ac:dyDescent="0.2">
      <c r="M28" s="15"/>
      <c r="N28" s="2"/>
      <c r="O28" s="2"/>
      <c r="P28" s="2"/>
    </row>
    <row r="29" spans="13:16" x14ac:dyDescent="0.2">
      <c r="N29" s="7"/>
      <c r="O29" s="7"/>
      <c r="P29" s="2"/>
    </row>
    <row r="30" spans="13:16" x14ac:dyDescent="0.2">
      <c r="N30" s="7"/>
      <c r="O30" s="7"/>
      <c r="P30" s="2"/>
    </row>
    <row r="35" spans="13:16" x14ac:dyDescent="0.2">
      <c r="M35" s="10"/>
      <c r="N35" s="2"/>
      <c r="O35" s="2"/>
      <c r="P35" s="9"/>
    </row>
    <row r="36" spans="13:16" x14ac:dyDescent="0.2">
      <c r="M36" s="10"/>
      <c r="N36" s="2"/>
      <c r="O36" s="2"/>
      <c r="P36" s="9"/>
    </row>
    <row r="37" spans="13:16" x14ac:dyDescent="0.2">
      <c r="M37" s="10"/>
      <c r="N37" s="2"/>
      <c r="O37" s="2"/>
      <c r="P37" s="9"/>
    </row>
    <row r="38" spans="13:16" x14ac:dyDescent="0.2">
      <c r="M38" s="10"/>
      <c r="N38" s="2"/>
      <c r="O38" s="2"/>
      <c r="P38" s="9"/>
    </row>
    <row r="39" spans="13:16" x14ac:dyDescent="0.2">
      <c r="M39" s="10"/>
      <c r="N39" s="2"/>
      <c r="O39" s="2"/>
      <c r="P39" s="9"/>
    </row>
    <row r="40" spans="13:16" x14ac:dyDescent="0.2">
      <c r="M40" s="10"/>
      <c r="N40" s="2"/>
      <c r="O40" s="2"/>
      <c r="P40" s="9"/>
    </row>
    <row r="41" spans="13:16" x14ac:dyDescent="0.2">
      <c r="M41" s="10"/>
      <c r="N41" s="2"/>
      <c r="O41" s="2"/>
      <c r="P41" s="9"/>
    </row>
    <row r="42" spans="13:16" x14ac:dyDescent="0.2">
      <c r="M42" s="10"/>
      <c r="N42" s="2"/>
      <c r="O42" s="2"/>
      <c r="P42" s="9"/>
    </row>
    <row r="43" spans="13:16" x14ac:dyDescent="0.2">
      <c r="M43" s="10"/>
      <c r="N43" s="2"/>
      <c r="O43" s="2"/>
      <c r="P43" s="9"/>
    </row>
    <row r="44" spans="13:16" x14ac:dyDescent="0.2">
      <c r="M44" s="10"/>
      <c r="N44" s="2"/>
      <c r="O44" s="2"/>
      <c r="P44" s="9"/>
    </row>
    <row r="45" spans="13:16" x14ac:dyDescent="0.2">
      <c r="M45" s="10"/>
      <c r="N45" s="2"/>
      <c r="O45" s="2"/>
      <c r="P45" s="9"/>
    </row>
    <row r="46" spans="13:16" x14ac:dyDescent="0.2">
      <c r="M46" s="10"/>
      <c r="N46" s="2"/>
      <c r="O46" s="2"/>
      <c r="P46" s="9"/>
    </row>
    <row r="47" spans="13:16" x14ac:dyDescent="0.2">
      <c r="M47" s="11"/>
      <c r="N47" s="2"/>
      <c r="O47" s="2"/>
      <c r="P47" s="12"/>
    </row>
    <row r="48" spans="13:16" x14ac:dyDescent="0.2">
      <c r="M48" s="11"/>
      <c r="N48" s="2"/>
      <c r="O48" s="2"/>
      <c r="P48" s="12"/>
    </row>
    <row r="49" spans="13:16" x14ac:dyDescent="0.2">
      <c r="M49" s="11"/>
      <c r="N49" s="2"/>
      <c r="O49" s="2"/>
      <c r="P49" s="12"/>
    </row>
    <row r="50" spans="13:16" x14ac:dyDescent="0.2">
      <c r="M50" s="11"/>
      <c r="N50" s="2"/>
      <c r="O50" s="2"/>
      <c r="P50" s="12"/>
    </row>
    <row r="51" spans="13:16" x14ac:dyDescent="0.2">
      <c r="M51" s="11"/>
      <c r="N51" s="2"/>
      <c r="O51" s="2"/>
      <c r="P51" s="12"/>
    </row>
    <row r="52" spans="13:16" x14ac:dyDescent="0.2">
      <c r="M52" s="11"/>
      <c r="N52" s="2"/>
      <c r="O52" s="2"/>
      <c r="P52" s="12"/>
    </row>
    <row r="53" spans="13:16" x14ac:dyDescent="0.2">
      <c r="M53" s="11"/>
      <c r="N53" s="2"/>
      <c r="O53" s="2"/>
      <c r="P53" s="12"/>
    </row>
    <row r="54" spans="13:16" x14ac:dyDescent="0.2">
      <c r="M54" s="11"/>
      <c r="N54" s="2"/>
      <c r="O54" s="2"/>
      <c r="P54" s="12"/>
    </row>
    <row r="55" spans="13:16" x14ac:dyDescent="0.2">
      <c r="M55" s="11"/>
      <c r="N55" s="2"/>
      <c r="O55" s="2"/>
      <c r="P55" s="12"/>
    </row>
    <row r="56" spans="13:16" x14ac:dyDescent="0.2">
      <c r="M56" s="11"/>
      <c r="N56" s="2"/>
      <c r="O56" s="2"/>
      <c r="P56" s="12"/>
    </row>
    <row r="57" spans="13:16" x14ac:dyDescent="0.2">
      <c r="M57" s="11"/>
      <c r="N57" s="2"/>
      <c r="O57" s="2"/>
      <c r="P57" s="12"/>
    </row>
    <row r="58" spans="13:16" x14ac:dyDescent="0.2">
      <c r="M58" s="11"/>
      <c r="N58" s="2"/>
      <c r="O58" s="2"/>
      <c r="P58" s="12"/>
    </row>
    <row r="59" spans="13:16" x14ac:dyDescent="0.2">
      <c r="M59" s="10"/>
      <c r="N59" s="2"/>
      <c r="O59" s="2"/>
      <c r="P59" s="9"/>
    </row>
    <row r="60" spans="13:16" x14ac:dyDescent="0.2">
      <c r="M60" s="10"/>
      <c r="N60" s="2"/>
      <c r="O60" s="2"/>
      <c r="P60" s="9"/>
    </row>
    <row r="61" spans="13:16" x14ac:dyDescent="0.2">
      <c r="M61" s="10"/>
      <c r="N61" s="2"/>
      <c r="O61" s="2"/>
      <c r="P61" s="9"/>
    </row>
    <row r="62" spans="13:16" x14ac:dyDescent="0.2">
      <c r="M62" s="10"/>
      <c r="N62" s="2"/>
      <c r="O62" s="2"/>
      <c r="P62" s="9"/>
    </row>
    <row r="63" spans="13:16" x14ac:dyDescent="0.2">
      <c r="M63" s="10"/>
      <c r="N63" s="2"/>
      <c r="O63" s="2"/>
      <c r="P63" s="9"/>
    </row>
    <row r="64" spans="13:16" x14ac:dyDescent="0.2">
      <c r="M64" s="10"/>
      <c r="N64" s="2"/>
      <c r="O64" s="2"/>
      <c r="P64" s="9"/>
    </row>
    <row r="65" spans="13:16" x14ac:dyDescent="0.2">
      <c r="M65" s="10"/>
      <c r="N65" s="2"/>
      <c r="O65" s="2"/>
      <c r="P65" s="9"/>
    </row>
    <row r="66" spans="13:16" x14ac:dyDescent="0.2">
      <c r="M66" s="10"/>
      <c r="N66" s="2"/>
      <c r="O66" s="2"/>
      <c r="P66" s="9"/>
    </row>
    <row r="67" spans="13:16" x14ac:dyDescent="0.2">
      <c r="M67" s="10"/>
      <c r="N67" s="2"/>
      <c r="O67" s="2"/>
      <c r="P67" s="9"/>
    </row>
    <row r="68" spans="13:16" x14ac:dyDescent="0.2">
      <c r="M68" s="10"/>
      <c r="N68" s="2"/>
      <c r="O68" s="2"/>
      <c r="P68" s="9"/>
    </row>
    <row r="69" spans="13:16" x14ac:dyDescent="0.2">
      <c r="M69" s="10"/>
      <c r="N69" s="2"/>
      <c r="O69" s="2"/>
      <c r="P69" s="9"/>
    </row>
    <row r="70" spans="13:16" x14ac:dyDescent="0.2">
      <c r="M70" s="10"/>
      <c r="N70" s="2"/>
      <c r="O70" s="2"/>
      <c r="P70" s="9"/>
    </row>
    <row r="71" spans="13:16" x14ac:dyDescent="0.2">
      <c r="M71" s="10"/>
      <c r="N71" s="2"/>
      <c r="O71" s="2"/>
      <c r="P71" s="9"/>
    </row>
    <row r="72" spans="13:16" x14ac:dyDescent="0.2">
      <c r="M72" s="10"/>
      <c r="N72" s="2"/>
      <c r="O72" s="2"/>
      <c r="P72" s="9"/>
    </row>
    <row r="73" spans="13:16" x14ac:dyDescent="0.2">
      <c r="M73" s="10"/>
      <c r="N73" s="2"/>
      <c r="O73" s="2"/>
      <c r="P73" s="9"/>
    </row>
    <row r="74" spans="13:16" x14ac:dyDescent="0.2">
      <c r="M74" s="10"/>
      <c r="N74" s="2"/>
      <c r="O74" s="2"/>
      <c r="P74" s="9"/>
    </row>
    <row r="75" spans="13:16" x14ac:dyDescent="0.2">
      <c r="M75" s="10"/>
      <c r="N75" s="2"/>
      <c r="O75" s="2"/>
      <c r="P75" s="9"/>
    </row>
    <row r="76" spans="13:16" x14ac:dyDescent="0.2">
      <c r="M76" s="10"/>
      <c r="N76" s="2"/>
      <c r="O76" s="2"/>
      <c r="P76" s="9"/>
    </row>
    <row r="77" spans="13:16" x14ac:dyDescent="0.2">
      <c r="M77" s="10"/>
      <c r="N77" s="2"/>
      <c r="O77" s="2"/>
      <c r="P77" s="9"/>
    </row>
    <row r="78" spans="13:16" x14ac:dyDescent="0.2">
      <c r="M78" s="10"/>
      <c r="N78" s="2"/>
      <c r="O78" s="2"/>
      <c r="P78" s="9"/>
    </row>
    <row r="79" spans="13:16" x14ac:dyDescent="0.2">
      <c r="M79" s="10"/>
      <c r="N79" s="2"/>
      <c r="O79" s="2"/>
      <c r="P79" s="9"/>
    </row>
    <row r="80" spans="13:16" x14ac:dyDescent="0.2">
      <c r="M80" s="10"/>
      <c r="N80" s="2"/>
      <c r="O80" s="2"/>
      <c r="P80" s="9"/>
    </row>
    <row r="81" spans="13:16" x14ac:dyDescent="0.2">
      <c r="M81" s="10"/>
      <c r="N81" s="2"/>
      <c r="O81" s="2"/>
      <c r="P81" s="9"/>
    </row>
    <row r="82" spans="13:16" x14ac:dyDescent="0.2">
      <c r="M82" s="10"/>
      <c r="N82" s="2"/>
      <c r="O82" s="2"/>
      <c r="P82" s="9"/>
    </row>
    <row r="83" spans="13:16" x14ac:dyDescent="0.2">
      <c r="M83" s="10"/>
      <c r="N83" s="2"/>
      <c r="O83" s="2"/>
      <c r="P83" s="9"/>
    </row>
    <row r="84" spans="13:16" x14ac:dyDescent="0.2">
      <c r="M84" s="10"/>
      <c r="N84" s="2"/>
      <c r="O84" s="2"/>
      <c r="P84" s="9"/>
    </row>
    <row r="85" spans="13:16" x14ac:dyDescent="0.2">
      <c r="M85" s="10"/>
      <c r="N85" s="2"/>
      <c r="O85" s="2"/>
      <c r="P85" s="9"/>
    </row>
    <row r="86" spans="13:16" x14ac:dyDescent="0.2">
      <c r="M86" s="10"/>
      <c r="N86" s="2"/>
      <c r="O86" s="2"/>
      <c r="P86" s="9"/>
    </row>
    <row r="87" spans="13:16" x14ac:dyDescent="0.2">
      <c r="M87" s="10"/>
      <c r="N87" s="2"/>
      <c r="O87" s="2"/>
      <c r="P87" s="9"/>
    </row>
    <row r="88" spans="13:16" x14ac:dyDescent="0.2">
      <c r="M88" s="10"/>
      <c r="N88" s="2"/>
      <c r="O88" s="2"/>
      <c r="P88" s="9"/>
    </row>
    <row r="89" spans="13:16" x14ac:dyDescent="0.2">
      <c r="M89" s="10"/>
      <c r="N89" s="2"/>
      <c r="O89" s="2"/>
      <c r="P89" s="9"/>
    </row>
    <row r="90" spans="13:16" x14ac:dyDescent="0.2">
      <c r="M90" s="10"/>
      <c r="N90" s="2"/>
      <c r="O90" s="2"/>
      <c r="P90" s="9"/>
    </row>
    <row r="91" spans="13:16" x14ac:dyDescent="0.2">
      <c r="M91" s="10"/>
      <c r="N91" s="2"/>
      <c r="O91" s="2"/>
      <c r="P91" s="9"/>
    </row>
    <row r="92" spans="13:16" x14ac:dyDescent="0.2">
      <c r="M92" s="10"/>
      <c r="N92" s="2"/>
      <c r="O92" s="2"/>
      <c r="P92" s="9"/>
    </row>
    <row r="93" spans="13:16" x14ac:dyDescent="0.2">
      <c r="M93" s="10"/>
      <c r="N93" s="2"/>
      <c r="O93" s="2"/>
      <c r="P93" s="9"/>
    </row>
    <row r="94" spans="13:16" x14ac:dyDescent="0.2">
      <c r="M94" s="10"/>
      <c r="N94" s="2"/>
      <c r="O94" s="2"/>
      <c r="P94" s="9"/>
    </row>
    <row r="95" spans="13:16" x14ac:dyDescent="0.2">
      <c r="M95" s="10"/>
      <c r="N95" s="2"/>
      <c r="O95" s="2"/>
      <c r="P95" s="9"/>
    </row>
    <row r="96" spans="13:16" x14ac:dyDescent="0.2">
      <c r="M96" s="10"/>
      <c r="N96" s="2"/>
      <c r="O96" s="2"/>
      <c r="P96" s="9"/>
    </row>
    <row r="97" spans="13:16" x14ac:dyDescent="0.2">
      <c r="M97" s="10"/>
      <c r="N97" s="2"/>
      <c r="O97" s="2"/>
      <c r="P97" s="9"/>
    </row>
    <row r="98" spans="13:16" x14ac:dyDescent="0.2">
      <c r="M98" s="6"/>
      <c r="N98" s="2"/>
      <c r="O98" s="2"/>
      <c r="P98" s="9"/>
    </row>
    <row r="99" spans="13:16" x14ac:dyDescent="0.2">
      <c r="M99" s="6"/>
      <c r="N99" s="2"/>
      <c r="O99" s="2"/>
      <c r="P99" s="9"/>
    </row>
    <row r="100" spans="13:16" x14ac:dyDescent="0.2">
      <c r="M100" s="6"/>
      <c r="N100" s="2"/>
      <c r="O100" s="2"/>
      <c r="P100" s="9"/>
    </row>
    <row r="101" spans="13:16" x14ac:dyDescent="0.2">
      <c r="M101" s="6"/>
      <c r="N101" s="2"/>
      <c r="O101" s="2"/>
      <c r="P101" s="9"/>
    </row>
    <row r="102" spans="13:16" x14ac:dyDescent="0.2">
      <c r="M102" s="6"/>
      <c r="N102" s="2"/>
      <c r="O102" s="2"/>
      <c r="P102" s="9"/>
    </row>
    <row r="103" spans="13:16" x14ac:dyDescent="0.2">
      <c r="M103" s="6"/>
      <c r="N103" s="2"/>
      <c r="O103" s="2"/>
      <c r="P103" s="9"/>
    </row>
    <row r="104" spans="13:16" x14ac:dyDescent="0.2">
      <c r="M104" s="6"/>
      <c r="N104" s="2"/>
      <c r="O104" s="2"/>
      <c r="P104" s="9"/>
    </row>
    <row r="105" spans="13:16" x14ac:dyDescent="0.2">
      <c r="M105" s="6"/>
      <c r="N105" s="2"/>
      <c r="O105" s="2"/>
      <c r="P105" s="9"/>
    </row>
    <row r="106" spans="13:16" x14ac:dyDescent="0.2">
      <c r="M106" s="6"/>
      <c r="N106" s="2"/>
      <c r="O106" s="2"/>
      <c r="P106" s="9"/>
    </row>
    <row r="107" spans="13:16" x14ac:dyDescent="0.2">
      <c r="M107" s="6"/>
      <c r="N107" s="2"/>
      <c r="O107" s="2"/>
      <c r="P107" s="9"/>
    </row>
    <row r="108" spans="13:16" x14ac:dyDescent="0.2">
      <c r="M108" s="6"/>
      <c r="N108" s="2"/>
      <c r="O108" s="2"/>
      <c r="P108" s="9"/>
    </row>
    <row r="109" spans="13:16" x14ac:dyDescent="0.2">
      <c r="M109" s="6"/>
      <c r="N109" s="2"/>
      <c r="O109" s="2"/>
      <c r="P109" s="9"/>
    </row>
    <row r="110" spans="13:16" x14ac:dyDescent="0.2">
      <c r="M110" s="6"/>
      <c r="N110" s="2"/>
      <c r="O110" s="2"/>
      <c r="P110" s="9"/>
    </row>
    <row r="111" spans="13:16" x14ac:dyDescent="0.2">
      <c r="M111" s="6"/>
      <c r="N111" s="2"/>
      <c r="O111" s="2"/>
      <c r="P111" s="9"/>
    </row>
    <row r="112" spans="13:16" x14ac:dyDescent="0.2">
      <c r="M112" s="6"/>
      <c r="N112" s="2"/>
      <c r="O112" s="2"/>
      <c r="P112" s="9"/>
    </row>
    <row r="113" spans="13:16" x14ac:dyDescent="0.2">
      <c r="M113" s="6"/>
      <c r="N113" s="2"/>
      <c r="O113" s="2"/>
      <c r="P113" s="9"/>
    </row>
    <row r="114" spans="13:16" x14ac:dyDescent="0.2">
      <c r="M114" s="6"/>
      <c r="N114" s="2"/>
      <c r="O114" s="2"/>
      <c r="P114" s="9"/>
    </row>
    <row r="115" spans="13:16" x14ac:dyDescent="0.2">
      <c r="M115" s="6"/>
      <c r="N115" s="2"/>
      <c r="O115" s="2"/>
      <c r="P115" s="9"/>
    </row>
    <row r="116" spans="13:16" x14ac:dyDescent="0.2">
      <c r="M116" s="6"/>
      <c r="N116" s="2"/>
      <c r="O116" s="2"/>
      <c r="P116" s="9"/>
    </row>
    <row r="117" spans="13:16" x14ac:dyDescent="0.2">
      <c r="M117" s="6"/>
      <c r="N117" s="2"/>
      <c r="O117" s="2"/>
      <c r="P117" s="9"/>
    </row>
    <row r="118" spans="13:16" x14ac:dyDescent="0.2">
      <c r="M118" s="6"/>
      <c r="N118" s="2"/>
      <c r="O118" s="2"/>
      <c r="P118" s="9"/>
    </row>
    <row r="119" spans="13:16" x14ac:dyDescent="0.2">
      <c r="M119" s="6"/>
      <c r="N119" s="2"/>
      <c r="O119" s="2"/>
      <c r="P119" s="9"/>
    </row>
    <row r="120" spans="13:16" x14ac:dyDescent="0.2">
      <c r="M120" s="6"/>
      <c r="N120" s="2"/>
      <c r="O120" s="2"/>
      <c r="P120" s="9"/>
    </row>
    <row r="121" spans="13:16" x14ac:dyDescent="0.2">
      <c r="M121" s="6"/>
      <c r="N121" s="2"/>
      <c r="O121" s="2"/>
      <c r="P121" s="9"/>
    </row>
    <row r="122" spans="13:16" x14ac:dyDescent="0.2">
      <c r="M122" s="6"/>
      <c r="N122" s="2"/>
      <c r="O122" s="2"/>
      <c r="P122" s="9"/>
    </row>
    <row r="123" spans="13:16" x14ac:dyDescent="0.2">
      <c r="M123" s="6"/>
      <c r="N123" s="2"/>
      <c r="O123" s="2"/>
      <c r="P123" s="9"/>
    </row>
    <row r="124" spans="13:16" x14ac:dyDescent="0.2">
      <c r="M124" s="6"/>
      <c r="N124" s="2"/>
      <c r="O124" s="2"/>
      <c r="P124" s="9"/>
    </row>
    <row r="125" spans="13:16" x14ac:dyDescent="0.2">
      <c r="M125" s="6"/>
      <c r="N125" s="2"/>
      <c r="O125" s="2"/>
      <c r="P125" s="9"/>
    </row>
    <row r="126" spans="13:16" x14ac:dyDescent="0.2">
      <c r="M126" s="6"/>
      <c r="N126" s="2"/>
      <c r="O126" s="2"/>
      <c r="P126" s="9"/>
    </row>
    <row r="127" spans="13:16" x14ac:dyDescent="0.2">
      <c r="M127" s="6"/>
      <c r="N127" s="2"/>
      <c r="O127" s="2"/>
      <c r="P127" s="9"/>
    </row>
    <row r="128" spans="13:16" x14ac:dyDescent="0.2">
      <c r="M128" s="6"/>
      <c r="N128" s="2"/>
      <c r="O128" s="2"/>
      <c r="P128" s="9"/>
    </row>
    <row r="129" spans="13:16" x14ac:dyDescent="0.2">
      <c r="M129" s="6"/>
      <c r="N129" s="2"/>
      <c r="O129" s="2"/>
      <c r="P129" s="9"/>
    </row>
    <row r="130" spans="13:16" x14ac:dyDescent="0.2">
      <c r="M130" s="6"/>
      <c r="N130" s="2"/>
      <c r="O130" s="2"/>
      <c r="P130" s="9"/>
    </row>
    <row r="131" spans="13:16" x14ac:dyDescent="0.2">
      <c r="M131" s="6"/>
      <c r="N131" s="2"/>
      <c r="O131" s="2"/>
      <c r="P131" s="9"/>
    </row>
    <row r="132" spans="13:16" x14ac:dyDescent="0.2">
      <c r="M132" s="6"/>
      <c r="N132" s="2"/>
      <c r="O132" s="2"/>
      <c r="P132" s="9"/>
    </row>
    <row r="133" spans="13:16" x14ac:dyDescent="0.2">
      <c r="M133" s="6"/>
      <c r="N133" s="2"/>
      <c r="O133" s="2"/>
      <c r="P133" s="9"/>
    </row>
    <row r="134" spans="13:16" x14ac:dyDescent="0.2">
      <c r="M134" s="6"/>
      <c r="N134" s="2"/>
      <c r="O134" s="2"/>
      <c r="P134" s="9"/>
    </row>
    <row r="135" spans="13:16" x14ac:dyDescent="0.2">
      <c r="M135" s="6"/>
      <c r="N135" s="2"/>
      <c r="O135" s="2"/>
      <c r="P135" s="9"/>
    </row>
    <row r="136" spans="13:16" x14ac:dyDescent="0.2">
      <c r="M136" s="6"/>
      <c r="N136" s="2"/>
      <c r="O136" s="2"/>
      <c r="P136" s="9"/>
    </row>
    <row r="137" spans="13:16" x14ac:dyDescent="0.2">
      <c r="M137" s="6"/>
      <c r="N137" s="2"/>
      <c r="O137" s="2"/>
      <c r="P137" s="9"/>
    </row>
    <row r="138" spans="13:16" x14ac:dyDescent="0.2">
      <c r="M138" s="6"/>
      <c r="N138" s="2"/>
      <c r="O138" s="2"/>
      <c r="P138" s="9"/>
    </row>
    <row r="139" spans="13:16" x14ac:dyDescent="0.2">
      <c r="M139" s="6"/>
      <c r="N139" s="2"/>
      <c r="O139" s="2"/>
      <c r="P139" s="9"/>
    </row>
    <row r="140" spans="13:16" x14ac:dyDescent="0.2">
      <c r="M140" s="6"/>
      <c r="N140" s="2"/>
      <c r="O140" s="2"/>
      <c r="P140" s="9"/>
    </row>
    <row r="141" spans="13:16" x14ac:dyDescent="0.2">
      <c r="M141" s="6"/>
      <c r="N141" s="2"/>
      <c r="O141" s="2"/>
      <c r="P141" s="9"/>
    </row>
    <row r="142" spans="13:16" x14ac:dyDescent="0.2">
      <c r="M142" s="6"/>
      <c r="N142" s="2"/>
      <c r="O142" s="2"/>
      <c r="P142" s="9"/>
    </row>
    <row r="143" spans="13:16" x14ac:dyDescent="0.2">
      <c r="M143" s="6"/>
      <c r="N143" s="2"/>
      <c r="O143" s="2"/>
      <c r="P143" s="9"/>
    </row>
    <row r="144" spans="13:16" x14ac:dyDescent="0.2">
      <c r="M144" s="6"/>
      <c r="N144" s="2"/>
      <c r="O144" s="2"/>
      <c r="P144" s="9"/>
    </row>
    <row r="145" spans="13:16" x14ac:dyDescent="0.2">
      <c r="M145" s="6"/>
      <c r="N145" s="2"/>
      <c r="O145" s="2"/>
      <c r="P145" s="9"/>
    </row>
    <row r="146" spans="13:16" x14ac:dyDescent="0.2">
      <c r="M146" s="6"/>
      <c r="N146" s="2"/>
      <c r="O146" s="2"/>
      <c r="P146" s="9"/>
    </row>
    <row r="147" spans="13:16" x14ac:dyDescent="0.2">
      <c r="M147" s="6"/>
      <c r="N147" s="2"/>
      <c r="O147" s="2"/>
      <c r="P147" s="9"/>
    </row>
    <row r="148" spans="13:16" x14ac:dyDescent="0.2">
      <c r="M148" s="6"/>
      <c r="N148" s="2"/>
      <c r="O148" s="2"/>
      <c r="P148" s="9"/>
    </row>
    <row r="149" spans="13:16" x14ac:dyDescent="0.2">
      <c r="M149" s="6"/>
      <c r="N149" s="2"/>
      <c r="O149" s="2"/>
      <c r="P149" s="9"/>
    </row>
    <row r="150" spans="13:16" x14ac:dyDescent="0.2">
      <c r="M150" s="6"/>
      <c r="N150" s="2"/>
      <c r="O150" s="2"/>
      <c r="P150" s="9"/>
    </row>
    <row r="151" spans="13:16" x14ac:dyDescent="0.2">
      <c r="M151" s="6"/>
      <c r="N151" s="2"/>
      <c r="O151" s="2"/>
      <c r="P151" s="9"/>
    </row>
    <row r="152" spans="13:16" x14ac:dyDescent="0.2">
      <c r="M152" s="6"/>
      <c r="N152" s="2"/>
      <c r="O152" s="2"/>
      <c r="P152" s="9"/>
    </row>
    <row r="153" spans="13:16" x14ac:dyDescent="0.2">
      <c r="M153" s="6"/>
      <c r="N153" s="2"/>
      <c r="O153" s="2"/>
      <c r="P153" s="9"/>
    </row>
    <row r="154" spans="13:16" x14ac:dyDescent="0.2">
      <c r="M154" s="6"/>
      <c r="N154" s="2"/>
      <c r="O154" s="2"/>
      <c r="P154" s="9"/>
    </row>
    <row r="155" spans="13:16" x14ac:dyDescent="0.2">
      <c r="M155" s="6"/>
      <c r="N155" s="2"/>
      <c r="O155" s="2"/>
      <c r="P155" s="9"/>
    </row>
    <row r="156" spans="13:16" x14ac:dyDescent="0.2">
      <c r="M156" s="6"/>
      <c r="N156" s="2"/>
      <c r="O156" s="2"/>
      <c r="P156" s="9"/>
    </row>
    <row r="157" spans="13:16" x14ac:dyDescent="0.2">
      <c r="M157" s="6"/>
      <c r="N157" s="2"/>
      <c r="O157" s="2"/>
      <c r="P157" s="9"/>
    </row>
    <row r="158" spans="13:16" x14ac:dyDescent="0.2">
      <c r="M158" s="6"/>
      <c r="N158" s="2"/>
      <c r="O158" s="2"/>
      <c r="P158" s="9"/>
    </row>
    <row r="159" spans="13:16" x14ac:dyDescent="0.2">
      <c r="M159" s="6"/>
      <c r="N159" s="2"/>
      <c r="O159" s="2"/>
      <c r="P159" s="9"/>
    </row>
    <row r="160" spans="13:16" x14ac:dyDescent="0.2">
      <c r="M160" s="6"/>
      <c r="N160" s="2"/>
      <c r="O160" s="2"/>
      <c r="P160" s="9"/>
    </row>
    <row r="161" spans="13:16" x14ac:dyDescent="0.2">
      <c r="M161" s="6"/>
      <c r="N161" s="2"/>
      <c r="O161" s="2"/>
      <c r="P161" s="9"/>
    </row>
    <row r="162" spans="13:16" x14ac:dyDescent="0.2">
      <c r="M162" s="6"/>
      <c r="N162" s="2"/>
      <c r="O162" s="2"/>
      <c r="P162" s="9"/>
    </row>
    <row r="163" spans="13:16" x14ac:dyDescent="0.2">
      <c r="M163" s="6"/>
      <c r="N163" s="2"/>
      <c r="O163" s="2"/>
      <c r="P163" s="9"/>
    </row>
    <row r="164" spans="13:16" x14ac:dyDescent="0.2">
      <c r="M164" s="6"/>
      <c r="N164" s="2"/>
      <c r="O164" s="2"/>
      <c r="P164" s="9"/>
    </row>
    <row r="165" spans="13:16" x14ac:dyDescent="0.2">
      <c r="M165" s="6"/>
      <c r="N165" s="2"/>
      <c r="O165" s="2"/>
      <c r="P165" s="9"/>
    </row>
    <row r="166" spans="13:16" x14ac:dyDescent="0.2">
      <c r="M166" s="6"/>
      <c r="N166" s="2"/>
      <c r="O166" s="2"/>
      <c r="P166" s="9"/>
    </row>
    <row r="167" spans="13:16" x14ac:dyDescent="0.2">
      <c r="M167" s="6"/>
      <c r="N167" s="2"/>
      <c r="O167" s="2"/>
      <c r="P167" s="9"/>
    </row>
    <row r="168" spans="13:16" x14ac:dyDescent="0.2">
      <c r="M168" s="6"/>
      <c r="N168" s="2"/>
      <c r="O168" s="2"/>
      <c r="P168" s="9"/>
    </row>
    <row r="169" spans="13:16" x14ac:dyDescent="0.2">
      <c r="M169" s="6"/>
      <c r="N169" s="2"/>
      <c r="O169" s="2"/>
      <c r="P169" s="9"/>
    </row>
    <row r="170" spans="13:16" x14ac:dyDescent="0.2">
      <c r="M170" s="6"/>
      <c r="N170" s="2"/>
      <c r="O170" s="2"/>
      <c r="P170" s="9"/>
    </row>
    <row r="171" spans="13:16" x14ac:dyDescent="0.2">
      <c r="M171" s="6"/>
      <c r="N171" s="2"/>
      <c r="O171" s="2"/>
      <c r="P171" s="9"/>
    </row>
    <row r="172" spans="13:16" x14ac:dyDescent="0.2">
      <c r="M172" s="6"/>
      <c r="N172" s="2"/>
      <c r="O172" s="2"/>
      <c r="P172" s="9"/>
    </row>
    <row r="173" spans="13:16" x14ac:dyDescent="0.2">
      <c r="M173" s="6"/>
      <c r="N173" s="2"/>
      <c r="O173" s="2"/>
      <c r="P173" s="9"/>
    </row>
    <row r="174" spans="13:16" x14ac:dyDescent="0.2">
      <c r="M174" s="6"/>
      <c r="N174" s="2"/>
      <c r="O174" s="2"/>
      <c r="P174" s="9"/>
    </row>
    <row r="175" spans="13:16" x14ac:dyDescent="0.2">
      <c r="M175" s="6"/>
      <c r="N175" s="2"/>
      <c r="O175" s="2"/>
      <c r="P175" s="9"/>
    </row>
    <row r="176" spans="13:16" x14ac:dyDescent="0.2">
      <c r="M176" s="6"/>
      <c r="N176" s="2"/>
      <c r="O176" s="2"/>
      <c r="P176" s="9"/>
    </row>
    <row r="177" spans="13:16" x14ac:dyDescent="0.2">
      <c r="M177" s="6"/>
      <c r="N177" s="2"/>
      <c r="O177" s="2"/>
      <c r="P177" s="9"/>
    </row>
    <row r="178" spans="13:16" x14ac:dyDescent="0.2">
      <c r="M178" s="6"/>
      <c r="N178" s="2"/>
      <c r="O178" s="2"/>
      <c r="P178" s="9"/>
    </row>
    <row r="179" spans="13:16" x14ac:dyDescent="0.2">
      <c r="M179" s="6"/>
      <c r="N179" s="2"/>
      <c r="O179" s="2"/>
      <c r="P179" s="9"/>
    </row>
    <row r="180" spans="13:16" x14ac:dyDescent="0.2">
      <c r="M180" s="6"/>
      <c r="N180" s="2"/>
      <c r="O180" s="2"/>
      <c r="P180" s="9"/>
    </row>
    <row r="181" spans="13:16" x14ac:dyDescent="0.2">
      <c r="M181" s="6"/>
      <c r="N181" s="2"/>
      <c r="O181" s="2"/>
      <c r="P181" s="9"/>
    </row>
    <row r="182" spans="13:16" x14ac:dyDescent="0.2">
      <c r="M182" s="6"/>
      <c r="N182" s="2"/>
      <c r="O182" s="2"/>
      <c r="P182" s="9"/>
    </row>
    <row r="183" spans="13:16" x14ac:dyDescent="0.2">
      <c r="M183" s="6"/>
      <c r="N183" s="2"/>
      <c r="O183" s="2"/>
      <c r="P183" s="9"/>
    </row>
    <row r="184" spans="13:16" x14ac:dyDescent="0.2">
      <c r="M184" s="6"/>
      <c r="N184" s="2"/>
      <c r="O184" s="2"/>
      <c r="P184" s="9"/>
    </row>
    <row r="185" spans="13:16" x14ac:dyDescent="0.2">
      <c r="M185" s="6"/>
      <c r="N185" s="2"/>
      <c r="O185" s="2"/>
      <c r="P185" s="9"/>
    </row>
    <row r="186" spans="13:16" x14ac:dyDescent="0.2">
      <c r="M186" s="6"/>
      <c r="N186" s="2"/>
      <c r="O186" s="2"/>
      <c r="P186" s="9"/>
    </row>
    <row r="187" spans="13:16" x14ac:dyDescent="0.2">
      <c r="M187" s="6"/>
      <c r="N187" s="2"/>
      <c r="O187" s="2"/>
      <c r="P187" s="9"/>
    </row>
    <row r="188" spans="13:16" x14ac:dyDescent="0.2">
      <c r="M188" s="6"/>
      <c r="N188" s="2"/>
      <c r="O188" s="2"/>
      <c r="P188" s="9"/>
    </row>
    <row r="189" spans="13:16" x14ac:dyDescent="0.2">
      <c r="M189" s="6"/>
      <c r="N189" s="2"/>
      <c r="O189" s="2"/>
      <c r="P189" s="9"/>
    </row>
    <row r="190" spans="13:16" x14ac:dyDescent="0.2">
      <c r="M190" s="6"/>
      <c r="N190" s="2"/>
      <c r="O190" s="2"/>
      <c r="P190" s="9"/>
    </row>
    <row r="191" spans="13:16" x14ac:dyDescent="0.2">
      <c r="M191" s="6"/>
      <c r="N191" s="2"/>
      <c r="O191" s="2"/>
      <c r="P191" s="9"/>
    </row>
    <row r="192" spans="13:16" x14ac:dyDescent="0.2">
      <c r="M192" s="6"/>
      <c r="N192" s="2"/>
      <c r="O192" s="2"/>
      <c r="P192" s="9"/>
    </row>
    <row r="193" spans="13:16" x14ac:dyDescent="0.2">
      <c r="M193" s="6"/>
      <c r="N193" s="2"/>
      <c r="O193" s="2"/>
      <c r="P193" s="9"/>
    </row>
    <row r="194" spans="13:16" x14ac:dyDescent="0.2">
      <c r="M194" s="6"/>
      <c r="N194" s="2"/>
      <c r="O194" s="2"/>
      <c r="P194" s="9"/>
    </row>
    <row r="195" spans="13:16" x14ac:dyDescent="0.2">
      <c r="M195" s="6"/>
      <c r="N195" s="2"/>
      <c r="O195" s="2"/>
      <c r="P195" s="9"/>
    </row>
    <row r="196" spans="13:16" x14ac:dyDescent="0.2">
      <c r="M196" s="6"/>
      <c r="N196" s="2"/>
      <c r="O196" s="2"/>
      <c r="P196" s="9"/>
    </row>
    <row r="197" spans="13:16" x14ac:dyDescent="0.2">
      <c r="M197" s="6"/>
      <c r="N197" s="2"/>
      <c r="O197" s="2"/>
      <c r="P197" s="9"/>
    </row>
    <row r="198" spans="13:16" x14ac:dyDescent="0.2">
      <c r="M198" s="6"/>
      <c r="N198" s="2"/>
      <c r="O198" s="2"/>
      <c r="P198" s="9"/>
    </row>
    <row r="199" spans="13:16" x14ac:dyDescent="0.2">
      <c r="M199" s="6"/>
      <c r="N199" s="2"/>
      <c r="O199" s="2"/>
      <c r="P199" s="9"/>
    </row>
    <row r="200" spans="13:16" x14ac:dyDescent="0.2">
      <c r="M200" s="6"/>
      <c r="N200" s="2"/>
      <c r="O200" s="2"/>
      <c r="P200" s="9"/>
    </row>
    <row r="201" spans="13:16" x14ac:dyDescent="0.2">
      <c r="M201" s="6"/>
      <c r="N201" s="2"/>
      <c r="O201" s="2"/>
      <c r="P201" s="8"/>
    </row>
    <row r="202" spans="13:16" x14ac:dyDescent="0.2">
      <c r="M202" s="6"/>
      <c r="N202" s="2"/>
      <c r="O202" s="2"/>
      <c r="P202" s="8"/>
    </row>
    <row r="203" spans="13:16" x14ac:dyDescent="0.2">
      <c r="M203" s="6"/>
      <c r="N203" s="2"/>
      <c r="O203" s="2"/>
      <c r="P203" s="8"/>
    </row>
    <row r="204" spans="13:16" x14ac:dyDescent="0.2">
      <c r="M204" s="6"/>
      <c r="N204" s="2"/>
      <c r="O204" s="2"/>
      <c r="P204" s="8"/>
    </row>
    <row r="205" spans="13:16" x14ac:dyDescent="0.2">
      <c r="M205" s="6"/>
      <c r="N205" s="2"/>
      <c r="O205" s="2"/>
      <c r="P205" s="8"/>
    </row>
    <row r="206" spans="13:16" x14ac:dyDescent="0.2">
      <c r="M206" s="6"/>
      <c r="N206" s="2"/>
      <c r="O206" s="2"/>
      <c r="P206" s="8"/>
    </row>
    <row r="207" spans="13:16" x14ac:dyDescent="0.2">
      <c r="M207" s="6"/>
      <c r="N207" s="2"/>
      <c r="O207" s="2"/>
      <c r="P207" s="8"/>
    </row>
    <row r="208" spans="13:16" x14ac:dyDescent="0.2">
      <c r="M208" s="6"/>
      <c r="N208" s="2"/>
      <c r="O208" s="2"/>
      <c r="P208" s="8"/>
    </row>
    <row r="209" spans="13:16" x14ac:dyDescent="0.2">
      <c r="M209" s="6"/>
      <c r="N209" s="2"/>
      <c r="O209" s="2"/>
      <c r="P209" s="8"/>
    </row>
    <row r="210" spans="13:16" x14ac:dyDescent="0.2">
      <c r="M210" s="6"/>
      <c r="N210" s="2"/>
      <c r="O210" s="2"/>
      <c r="P210" s="8"/>
    </row>
    <row r="211" spans="13:16" x14ac:dyDescent="0.2">
      <c r="M211" s="6"/>
      <c r="N211" s="2"/>
      <c r="O211" s="2"/>
      <c r="P211" s="8"/>
    </row>
    <row r="212" spans="13:16" x14ac:dyDescent="0.2">
      <c r="M212" s="6"/>
      <c r="N212" s="2"/>
      <c r="O212" s="2"/>
      <c r="P212" s="8"/>
    </row>
    <row r="213" spans="13:16" x14ac:dyDescent="0.2">
      <c r="M213" s="6"/>
      <c r="N213" s="2"/>
      <c r="O213" s="2"/>
      <c r="P213" s="8"/>
    </row>
    <row r="214" spans="13:16" x14ac:dyDescent="0.2">
      <c r="M214" s="6"/>
      <c r="N214" s="2"/>
      <c r="O214" s="2"/>
      <c r="P214" s="8"/>
    </row>
    <row r="215" spans="13:16" x14ac:dyDescent="0.2">
      <c r="M215" s="6"/>
      <c r="N215" s="2"/>
      <c r="O215" s="2"/>
      <c r="P215" s="8"/>
    </row>
    <row r="216" spans="13:16" x14ac:dyDescent="0.2">
      <c r="M216" s="6"/>
      <c r="N216" s="2"/>
      <c r="O216" s="2"/>
      <c r="P216" s="8"/>
    </row>
    <row r="217" spans="13:16" x14ac:dyDescent="0.2">
      <c r="M217" s="6"/>
      <c r="N217" s="2"/>
      <c r="O217" s="2"/>
      <c r="P217" s="8"/>
    </row>
    <row r="218" spans="13:16" x14ac:dyDescent="0.2">
      <c r="M218" s="6"/>
      <c r="N218" s="2"/>
      <c r="O218" s="2"/>
      <c r="P218" s="8"/>
    </row>
    <row r="219" spans="13:16" x14ac:dyDescent="0.2">
      <c r="M219" s="6"/>
      <c r="N219" s="2"/>
      <c r="O219" s="2"/>
      <c r="P219" s="8"/>
    </row>
    <row r="220" spans="13:16" x14ac:dyDescent="0.2">
      <c r="M220" s="6"/>
      <c r="N220" s="2"/>
      <c r="O220" s="2"/>
      <c r="P220" s="8"/>
    </row>
    <row r="221" spans="13:16" x14ac:dyDescent="0.2">
      <c r="M221" s="6"/>
      <c r="N221" s="2"/>
      <c r="O221" s="2"/>
      <c r="P221" s="8"/>
    </row>
    <row r="222" spans="13:16" x14ac:dyDescent="0.2">
      <c r="M222" s="6"/>
      <c r="N222" s="2"/>
      <c r="O222" s="2"/>
      <c r="P222" s="8"/>
    </row>
    <row r="223" spans="13:16" x14ac:dyDescent="0.2">
      <c r="M223" s="6"/>
      <c r="N223" s="2"/>
      <c r="O223" s="2"/>
      <c r="P223" s="8"/>
    </row>
    <row r="224" spans="13:16" x14ac:dyDescent="0.2">
      <c r="M224" s="6"/>
      <c r="N224" s="2"/>
      <c r="O224" s="2"/>
      <c r="P224" s="8"/>
    </row>
    <row r="225" spans="13:16" x14ac:dyDescent="0.2">
      <c r="M225" s="6"/>
      <c r="N225" s="2"/>
      <c r="O225" s="2"/>
      <c r="P225" s="8"/>
    </row>
    <row r="226" spans="13:16" x14ac:dyDescent="0.2">
      <c r="M226" s="6"/>
      <c r="N226" s="2"/>
      <c r="O226" s="2"/>
      <c r="P226" s="8"/>
    </row>
    <row r="227" spans="13:16" x14ac:dyDescent="0.2">
      <c r="M227" s="6"/>
      <c r="N227" s="2"/>
      <c r="O227" s="2"/>
      <c r="P227" s="8"/>
    </row>
    <row r="228" spans="13:16" x14ac:dyDescent="0.2">
      <c r="M228" s="6"/>
      <c r="N228" s="2"/>
      <c r="O228" s="2"/>
      <c r="P228" s="8"/>
    </row>
    <row r="229" spans="13:16" x14ac:dyDescent="0.2">
      <c r="M229" s="6"/>
      <c r="N229" s="2"/>
      <c r="O229" s="2"/>
      <c r="P229" s="8"/>
    </row>
    <row r="230" spans="13:16" x14ac:dyDescent="0.2">
      <c r="M230" s="6"/>
      <c r="N230" s="2"/>
      <c r="O230" s="2"/>
      <c r="P230" s="8"/>
    </row>
    <row r="231" spans="13:16" x14ac:dyDescent="0.2">
      <c r="M231" s="6"/>
      <c r="N231" s="2"/>
      <c r="O231" s="2"/>
      <c r="P231" s="8"/>
    </row>
    <row r="232" spans="13:16" x14ac:dyDescent="0.2">
      <c r="M232" s="6"/>
      <c r="N232" s="2"/>
      <c r="O232" s="2"/>
      <c r="P232" s="8"/>
    </row>
    <row r="233" spans="13:16" x14ac:dyDescent="0.2">
      <c r="M233" s="6"/>
      <c r="N233" s="2"/>
      <c r="O233" s="2"/>
      <c r="P233" s="8"/>
    </row>
    <row r="234" spans="13:16" x14ac:dyDescent="0.2">
      <c r="M234" s="6"/>
      <c r="N234" s="2"/>
      <c r="O234" s="2"/>
      <c r="P234" s="8"/>
    </row>
    <row r="235" spans="13:16" x14ac:dyDescent="0.2">
      <c r="M235" s="6"/>
      <c r="N235" s="2"/>
      <c r="O235" s="2"/>
      <c r="P235" s="8"/>
    </row>
    <row r="236" spans="13:16" x14ac:dyDescent="0.2">
      <c r="M236" s="6"/>
      <c r="N236" s="2"/>
      <c r="O236" s="2"/>
      <c r="P236" s="8"/>
    </row>
    <row r="237" spans="13:16" x14ac:dyDescent="0.2">
      <c r="M237" s="6"/>
      <c r="N237" s="2"/>
      <c r="O237" s="2"/>
      <c r="P237" s="8"/>
    </row>
    <row r="238" spans="13:16" x14ac:dyDescent="0.2">
      <c r="M238" s="6"/>
      <c r="N238" s="2"/>
      <c r="O238" s="2"/>
      <c r="P238" s="8"/>
    </row>
    <row r="239" spans="13:16" x14ac:dyDescent="0.2">
      <c r="M239" s="6"/>
      <c r="N239" s="2"/>
      <c r="O239" s="2"/>
      <c r="P239" s="8"/>
    </row>
    <row r="240" spans="13:16" x14ac:dyDescent="0.2">
      <c r="M240" s="6"/>
      <c r="N240" s="2"/>
      <c r="O240" s="2"/>
      <c r="P240" s="8"/>
    </row>
    <row r="241" spans="13:16" x14ac:dyDescent="0.2">
      <c r="M241" s="6"/>
      <c r="N241" s="2"/>
      <c r="O241" s="2"/>
      <c r="P241" s="8"/>
    </row>
    <row r="242" spans="13:16" x14ac:dyDescent="0.2">
      <c r="M242" s="6"/>
      <c r="N242" s="2"/>
      <c r="O242" s="2"/>
      <c r="P242" s="8"/>
    </row>
    <row r="243" spans="13:16" x14ac:dyDescent="0.2">
      <c r="M243" s="6"/>
      <c r="N243" s="2"/>
      <c r="O243" s="2"/>
      <c r="P243" s="8"/>
    </row>
    <row r="244" spans="13:16" x14ac:dyDescent="0.2">
      <c r="M244" s="6"/>
      <c r="N244" s="2"/>
      <c r="O244" s="2"/>
      <c r="P244" s="8"/>
    </row>
    <row r="245" spans="13:16" x14ac:dyDescent="0.2">
      <c r="M245" s="6"/>
      <c r="N245" s="2"/>
      <c r="O245" s="2"/>
      <c r="P245" s="8"/>
    </row>
    <row r="246" spans="13:16" x14ac:dyDescent="0.2">
      <c r="M246" s="6"/>
      <c r="N246" s="2"/>
      <c r="O246" s="2"/>
      <c r="P246" s="8"/>
    </row>
    <row r="247" spans="13:16" x14ac:dyDescent="0.2">
      <c r="M247" s="6"/>
      <c r="N247" s="2"/>
      <c r="O247" s="2"/>
      <c r="P247" s="8"/>
    </row>
    <row r="248" spans="13:16" x14ac:dyDescent="0.2">
      <c r="M248" s="6"/>
      <c r="N248" s="2"/>
      <c r="O248" s="2"/>
      <c r="P248" s="8"/>
    </row>
    <row r="249" spans="13:16" x14ac:dyDescent="0.2">
      <c r="M249" s="6"/>
      <c r="N249" s="2"/>
      <c r="O249" s="2"/>
      <c r="P249" s="8"/>
    </row>
    <row r="250" spans="13:16" x14ac:dyDescent="0.2">
      <c r="M250" s="6"/>
      <c r="N250" s="2"/>
      <c r="O250" s="2"/>
      <c r="P250" s="8"/>
    </row>
    <row r="251" spans="13:16" x14ac:dyDescent="0.2">
      <c r="M251" s="6"/>
      <c r="N251" s="2"/>
      <c r="O251" s="2"/>
      <c r="P251" s="8"/>
    </row>
    <row r="252" spans="13:16" x14ac:dyDescent="0.2">
      <c r="M252" s="6"/>
      <c r="N252" s="2"/>
      <c r="O252" s="2"/>
      <c r="P252" s="8"/>
    </row>
    <row r="253" spans="13:16" x14ac:dyDescent="0.2">
      <c r="M253" s="6"/>
      <c r="N253" s="2"/>
      <c r="O253" s="2"/>
      <c r="P253" s="8"/>
    </row>
    <row r="254" spans="13:16" x14ac:dyDescent="0.2">
      <c r="M254" s="6"/>
      <c r="N254" s="2"/>
      <c r="O254" s="2"/>
      <c r="P254" s="8"/>
    </row>
    <row r="255" spans="13:16" x14ac:dyDescent="0.2">
      <c r="M255" s="6"/>
      <c r="N255" s="2"/>
      <c r="O255" s="2"/>
      <c r="P255" s="8"/>
    </row>
    <row r="256" spans="13:16" x14ac:dyDescent="0.2">
      <c r="M256" s="6"/>
      <c r="N256" s="2"/>
      <c r="O256" s="2"/>
      <c r="P256" s="8"/>
    </row>
    <row r="257" spans="13:16" x14ac:dyDescent="0.2">
      <c r="M257" s="6"/>
      <c r="N257" s="2"/>
      <c r="O257" s="2"/>
      <c r="P257" s="8"/>
    </row>
    <row r="258" spans="13:16" x14ac:dyDescent="0.2">
      <c r="M258" s="6"/>
      <c r="N258" s="2"/>
      <c r="O258" s="2"/>
      <c r="P258" s="8"/>
    </row>
    <row r="259" spans="13:16" x14ac:dyDescent="0.2">
      <c r="M259" s="6"/>
      <c r="N259" s="2"/>
      <c r="O259" s="2"/>
      <c r="P259" s="8"/>
    </row>
    <row r="260" spans="13:16" x14ac:dyDescent="0.2">
      <c r="M260" s="6"/>
      <c r="N260" s="2"/>
      <c r="O260" s="2"/>
      <c r="P260" s="8"/>
    </row>
    <row r="261" spans="13:16" x14ac:dyDescent="0.2">
      <c r="M261" s="6"/>
      <c r="N261" s="2"/>
      <c r="O261" s="2"/>
      <c r="P261" s="8"/>
    </row>
    <row r="262" spans="13:16" x14ac:dyDescent="0.2">
      <c r="M262" s="6"/>
      <c r="N262" s="2"/>
      <c r="O262" s="2"/>
      <c r="P262" s="8"/>
    </row>
    <row r="263" spans="13:16" x14ac:dyDescent="0.2">
      <c r="M263" s="6"/>
      <c r="N263" s="2"/>
      <c r="O263" s="2"/>
      <c r="P263" s="8"/>
    </row>
    <row r="264" spans="13:16" x14ac:dyDescent="0.2">
      <c r="M264" s="6"/>
      <c r="N264" s="2"/>
      <c r="O264" s="2"/>
      <c r="P264" s="8"/>
    </row>
    <row r="265" spans="13:16" x14ac:dyDescent="0.2">
      <c r="M265" s="6"/>
      <c r="N265" s="2"/>
      <c r="O265" s="2"/>
      <c r="P265" s="8"/>
    </row>
    <row r="266" spans="13:16" x14ac:dyDescent="0.2">
      <c r="M266" s="6"/>
      <c r="N266" s="2"/>
      <c r="O266" s="2"/>
      <c r="P266" s="8"/>
    </row>
    <row r="267" spans="13:16" x14ac:dyDescent="0.2">
      <c r="M267" s="6"/>
      <c r="N267" s="2"/>
      <c r="O267" s="2"/>
      <c r="P267" s="8"/>
    </row>
    <row r="268" spans="13:16" x14ac:dyDescent="0.2">
      <c r="M268" s="6"/>
      <c r="N268" s="2"/>
      <c r="O268" s="2"/>
      <c r="P268" s="8"/>
    </row>
    <row r="269" spans="13:16" x14ac:dyDescent="0.2">
      <c r="M269" s="6"/>
      <c r="N269" s="2"/>
      <c r="O269" s="2"/>
      <c r="P269" s="8"/>
    </row>
    <row r="270" spans="13:16" x14ac:dyDescent="0.2">
      <c r="M270" s="6"/>
      <c r="N270" s="2"/>
      <c r="O270" s="2"/>
      <c r="P270" s="8"/>
    </row>
    <row r="271" spans="13:16" x14ac:dyDescent="0.2">
      <c r="M271" s="6"/>
      <c r="N271" s="2"/>
      <c r="O271" s="2"/>
      <c r="P271" s="8"/>
    </row>
    <row r="272" spans="13:16" x14ac:dyDescent="0.2">
      <c r="M272" s="6"/>
      <c r="N272" s="2"/>
      <c r="O272" s="2"/>
      <c r="P272" s="8"/>
    </row>
    <row r="273" spans="13:16" x14ac:dyDescent="0.2">
      <c r="M273" s="6"/>
      <c r="N273" s="2"/>
      <c r="O273" s="2"/>
      <c r="P273" s="8"/>
    </row>
    <row r="274" spans="13:16" x14ac:dyDescent="0.2">
      <c r="M274" s="6"/>
      <c r="N274" s="2"/>
      <c r="O274" s="2"/>
      <c r="P274" s="8"/>
    </row>
    <row r="275" spans="13:16" x14ac:dyDescent="0.2">
      <c r="M275" s="6"/>
      <c r="N275" s="2"/>
      <c r="O275" s="2"/>
      <c r="P275" s="8"/>
    </row>
    <row r="276" spans="13:16" x14ac:dyDescent="0.2">
      <c r="M276" s="6"/>
      <c r="N276" s="2"/>
      <c r="O276" s="2"/>
      <c r="P276" s="8"/>
    </row>
    <row r="277" spans="13:16" x14ac:dyDescent="0.2">
      <c r="M277" s="6"/>
      <c r="N277" s="2"/>
      <c r="O277" s="2"/>
      <c r="P277" s="8"/>
    </row>
    <row r="278" spans="13:16" x14ac:dyDescent="0.2">
      <c r="M278" s="6"/>
      <c r="N278" s="2"/>
      <c r="O278" s="2"/>
      <c r="P278" s="8"/>
    </row>
    <row r="279" spans="13:16" x14ac:dyDescent="0.2">
      <c r="M279" s="6"/>
      <c r="N279" s="2"/>
      <c r="O279" s="2"/>
      <c r="P279" s="8"/>
    </row>
    <row r="280" spans="13:16" x14ac:dyDescent="0.2">
      <c r="M280" s="6"/>
      <c r="N280" s="2"/>
      <c r="O280" s="2"/>
      <c r="P280" s="8"/>
    </row>
    <row r="281" spans="13:16" x14ac:dyDescent="0.2">
      <c r="M281" s="6"/>
      <c r="N281" s="2"/>
      <c r="O281" s="2"/>
      <c r="P281" s="8"/>
    </row>
    <row r="282" spans="13:16" x14ac:dyDescent="0.2">
      <c r="M282" s="6"/>
      <c r="N282" s="2"/>
      <c r="O282" s="2"/>
      <c r="P282" s="8"/>
    </row>
    <row r="283" spans="13:16" x14ac:dyDescent="0.2">
      <c r="M283" s="6"/>
      <c r="N283" s="2"/>
      <c r="O283" s="2"/>
      <c r="P283" s="8"/>
    </row>
    <row r="284" spans="13:16" x14ac:dyDescent="0.2">
      <c r="M284" s="6"/>
      <c r="N284" s="2"/>
      <c r="O284" s="2"/>
      <c r="P284" s="8"/>
    </row>
    <row r="285" spans="13:16" x14ac:dyDescent="0.2">
      <c r="M285" s="6"/>
      <c r="N285" s="2"/>
      <c r="O285" s="2"/>
      <c r="P285" s="8"/>
    </row>
    <row r="286" spans="13:16" x14ac:dyDescent="0.2">
      <c r="M286" s="6"/>
      <c r="N286" s="2"/>
      <c r="O286" s="2"/>
      <c r="P286" s="8"/>
    </row>
    <row r="287" spans="13:16" x14ac:dyDescent="0.2">
      <c r="M287" s="6"/>
      <c r="N287" s="2"/>
      <c r="O287" s="2"/>
      <c r="P287" s="8"/>
    </row>
    <row r="288" spans="13:16" x14ac:dyDescent="0.2">
      <c r="M288" s="6"/>
      <c r="N288" s="2"/>
      <c r="O288" s="2"/>
      <c r="P288" s="8"/>
    </row>
    <row r="289" spans="13:16" x14ac:dyDescent="0.2">
      <c r="M289" s="6"/>
      <c r="N289" s="2"/>
      <c r="O289" s="2"/>
      <c r="P289" s="8"/>
    </row>
    <row r="290" spans="13:16" x14ac:dyDescent="0.2">
      <c r="M290" s="6"/>
      <c r="N290" s="2"/>
      <c r="O290" s="2"/>
      <c r="P290" s="8"/>
    </row>
    <row r="291" spans="13:16" x14ac:dyDescent="0.2">
      <c r="M291" s="6"/>
      <c r="N291" s="2"/>
      <c r="O291" s="2"/>
      <c r="P291" s="8"/>
    </row>
    <row r="292" spans="13:16" x14ac:dyDescent="0.2">
      <c r="M292" s="6"/>
      <c r="N292" s="2"/>
      <c r="O292" s="2"/>
      <c r="P292" s="8"/>
    </row>
    <row r="293" spans="13:16" x14ac:dyDescent="0.2">
      <c r="M293" s="6"/>
      <c r="N293" s="2"/>
      <c r="O293" s="2"/>
      <c r="P293" s="8"/>
    </row>
    <row r="294" spans="13:16" x14ac:dyDescent="0.2">
      <c r="M294" s="6"/>
      <c r="N294" s="2"/>
      <c r="O294" s="2"/>
      <c r="P294" s="8"/>
    </row>
    <row r="295" spans="13:16" x14ac:dyDescent="0.2">
      <c r="M295" s="6"/>
      <c r="N295" s="2"/>
      <c r="O295" s="2"/>
      <c r="P295" s="8"/>
    </row>
    <row r="296" spans="13:16" x14ac:dyDescent="0.2">
      <c r="M296" s="6"/>
      <c r="N296" s="2"/>
      <c r="O296" s="2"/>
      <c r="P296" s="8"/>
    </row>
    <row r="297" spans="13:16" x14ac:dyDescent="0.2">
      <c r="M297" s="6"/>
      <c r="N297" s="2"/>
      <c r="O297" s="2"/>
      <c r="P297" s="8"/>
    </row>
    <row r="298" spans="13:16" x14ac:dyDescent="0.2">
      <c r="M298" s="6"/>
      <c r="N298" s="2"/>
      <c r="O298" s="2"/>
      <c r="P298" s="8"/>
    </row>
    <row r="299" spans="13:16" x14ac:dyDescent="0.2">
      <c r="M299" s="6"/>
      <c r="N299" s="2"/>
      <c r="O299" s="2"/>
      <c r="P299" s="8"/>
    </row>
    <row r="300" spans="13:16" x14ac:dyDescent="0.2">
      <c r="M300" s="6"/>
      <c r="N300" s="2"/>
      <c r="O300" s="2"/>
      <c r="P300" s="8"/>
    </row>
    <row r="301" spans="13:16" x14ac:dyDescent="0.2">
      <c r="M301" s="6"/>
      <c r="N301" s="2"/>
      <c r="O301" s="2"/>
      <c r="P301" s="8"/>
    </row>
    <row r="302" spans="13:16" x14ac:dyDescent="0.2">
      <c r="M302" s="6"/>
      <c r="N302" s="2"/>
      <c r="O302" s="2"/>
      <c r="P302" s="8"/>
    </row>
    <row r="303" spans="13:16" x14ac:dyDescent="0.2">
      <c r="M303" s="6"/>
      <c r="N303" s="2"/>
      <c r="O303" s="2"/>
      <c r="P303" s="8"/>
    </row>
    <row r="304" spans="13:16" x14ac:dyDescent="0.2">
      <c r="M304" s="6"/>
      <c r="N304" s="2"/>
      <c r="O304" s="2"/>
      <c r="P304" s="8"/>
    </row>
    <row r="305" spans="13:16" x14ac:dyDescent="0.2">
      <c r="M305" s="6"/>
      <c r="N305" s="2"/>
      <c r="O305" s="2"/>
      <c r="P305" s="8"/>
    </row>
    <row r="306" spans="13:16" x14ac:dyDescent="0.2">
      <c r="M306" s="6"/>
      <c r="N306" s="2"/>
      <c r="O306" s="2"/>
      <c r="P306" s="8"/>
    </row>
    <row r="307" spans="13:16" x14ac:dyDescent="0.2">
      <c r="M307" s="6"/>
      <c r="N307" s="2"/>
      <c r="O307" s="2"/>
      <c r="P307" s="8"/>
    </row>
    <row r="308" spans="13:16" x14ac:dyDescent="0.2">
      <c r="M308" s="6"/>
      <c r="N308" s="2"/>
      <c r="O308" s="2"/>
      <c r="P308" s="8"/>
    </row>
    <row r="309" spans="13:16" x14ac:dyDescent="0.2">
      <c r="M309" s="6"/>
      <c r="N309" s="2"/>
      <c r="O309" s="2"/>
      <c r="P309" s="8"/>
    </row>
    <row r="310" spans="13:16" x14ac:dyDescent="0.2">
      <c r="M310" s="6"/>
      <c r="N310" s="2"/>
      <c r="O310" s="2"/>
      <c r="P310" s="8"/>
    </row>
    <row r="311" spans="13:16" x14ac:dyDescent="0.2">
      <c r="M311" s="6"/>
      <c r="N311" s="2"/>
      <c r="O311" s="2"/>
      <c r="P311" s="8"/>
    </row>
    <row r="312" spans="13:16" x14ac:dyDescent="0.2">
      <c r="M312" s="6"/>
      <c r="N312" s="2"/>
      <c r="O312" s="2"/>
      <c r="P312" s="8"/>
    </row>
    <row r="313" spans="13:16" x14ac:dyDescent="0.2">
      <c r="M313" s="6"/>
      <c r="N313" s="2"/>
      <c r="O313" s="2"/>
      <c r="P313" s="8"/>
    </row>
    <row r="314" spans="13:16" x14ac:dyDescent="0.2">
      <c r="M314" s="6"/>
      <c r="N314" s="2"/>
      <c r="O314" s="2"/>
      <c r="P314" s="8"/>
    </row>
    <row r="315" spans="13:16" x14ac:dyDescent="0.2">
      <c r="M315" s="6"/>
      <c r="N315" s="2"/>
      <c r="O315" s="2"/>
      <c r="P315" s="8"/>
    </row>
    <row r="316" spans="13:16" x14ac:dyDescent="0.2">
      <c r="M316" s="6"/>
      <c r="N316" s="2"/>
      <c r="O316" s="2"/>
      <c r="P316" s="8"/>
    </row>
    <row r="317" spans="13:16" x14ac:dyDescent="0.2">
      <c r="M317" s="6"/>
      <c r="N317" s="2"/>
      <c r="O317" s="2"/>
      <c r="P317" s="8"/>
    </row>
    <row r="318" spans="13:16" x14ac:dyDescent="0.2">
      <c r="M318" s="6"/>
      <c r="N318" s="2"/>
      <c r="O318" s="2"/>
      <c r="P318" s="8"/>
    </row>
    <row r="319" spans="13:16" x14ac:dyDescent="0.2">
      <c r="M319" s="6"/>
      <c r="N319" s="2"/>
      <c r="O319" s="2"/>
      <c r="P319" s="8"/>
    </row>
    <row r="320" spans="13:16" x14ac:dyDescent="0.2">
      <c r="M320" s="6"/>
      <c r="N320" s="2"/>
      <c r="O320" s="2"/>
      <c r="P320" s="8"/>
    </row>
    <row r="321" spans="13:16" x14ac:dyDescent="0.2">
      <c r="M321" s="6"/>
      <c r="N321" s="2"/>
      <c r="O321" s="2"/>
      <c r="P321" s="8"/>
    </row>
    <row r="322" spans="13:16" x14ac:dyDescent="0.2">
      <c r="M322" s="6"/>
      <c r="N322" s="2"/>
      <c r="O322" s="2"/>
      <c r="P322" s="8"/>
    </row>
    <row r="323" spans="13:16" x14ac:dyDescent="0.2">
      <c r="M323" s="6"/>
      <c r="N323" s="2"/>
      <c r="O323" s="2"/>
      <c r="P323" s="8"/>
    </row>
    <row r="324" spans="13:16" x14ac:dyDescent="0.2">
      <c r="M324" s="6"/>
      <c r="N324" s="2"/>
      <c r="O324" s="2"/>
      <c r="P324" s="8"/>
    </row>
    <row r="325" spans="13:16" x14ac:dyDescent="0.2">
      <c r="M325" s="6"/>
      <c r="N325" s="2"/>
      <c r="O325" s="2"/>
      <c r="P325" s="8"/>
    </row>
    <row r="326" spans="13:16" x14ac:dyDescent="0.2">
      <c r="M326" s="6"/>
      <c r="N326" s="2"/>
      <c r="O326" s="2"/>
      <c r="P326" s="8"/>
    </row>
    <row r="327" spans="13:16" x14ac:dyDescent="0.2">
      <c r="M327" s="6"/>
      <c r="N327" s="2"/>
      <c r="O327" s="2"/>
      <c r="P327" s="8"/>
    </row>
    <row r="328" spans="13:16" x14ac:dyDescent="0.2">
      <c r="M328" s="6"/>
      <c r="N328" s="2"/>
      <c r="O328" s="2"/>
      <c r="P328" s="8"/>
    </row>
    <row r="329" spans="13:16" x14ac:dyDescent="0.2">
      <c r="M329" s="6"/>
      <c r="N329" s="2"/>
      <c r="O329" s="2"/>
      <c r="P329" s="8"/>
    </row>
    <row r="330" spans="13:16" x14ac:dyDescent="0.2">
      <c r="M330" s="6"/>
      <c r="N330" s="2"/>
      <c r="O330" s="2"/>
      <c r="P330" s="8"/>
    </row>
    <row r="331" spans="13:16" x14ac:dyDescent="0.2">
      <c r="M331" s="6"/>
      <c r="N331" s="2"/>
      <c r="O331" s="2"/>
      <c r="P331" s="8"/>
    </row>
    <row r="332" spans="13:16" x14ac:dyDescent="0.2">
      <c r="M332" s="6"/>
      <c r="N332" s="2"/>
      <c r="O332" s="2"/>
      <c r="P332" s="8"/>
    </row>
    <row r="333" spans="13:16" x14ac:dyDescent="0.2">
      <c r="M333" s="6"/>
      <c r="N333" s="2"/>
      <c r="O333" s="2"/>
      <c r="P333" s="8"/>
    </row>
    <row r="334" spans="13:16" x14ac:dyDescent="0.2">
      <c r="M334" s="6"/>
      <c r="N334" s="2"/>
      <c r="O334" s="2"/>
      <c r="P334" s="8"/>
    </row>
    <row r="335" spans="13:16" x14ac:dyDescent="0.2">
      <c r="M335" s="6"/>
      <c r="N335" s="2"/>
      <c r="O335" s="2"/>
      <c r="P335" s="8"/>
    </row>
    <row r="336" spans="13:16" x14ac:dyDescent="0.2">
      <c r="M336" s="6"/>
      <c r="N336" s="2"/>
      <c r="O336" s="2"/>
      <c r="P336" s="8"/>
    </row>
    <row r="337" spans="13:16" x14ac:dyDescent="0.2">
      <c r="M337" s="6"/>
      <c r="N337" s="2"/>
      <c r="O337" s="2"/>
      <c r="P337" s="8"/>
    </row>
    <row r="338" spans="13:16" x14ac:dyDescent="0.2">
      <c r="M338" s="6"/>
      <c r="N338" s="2"/>
      <c r="O338" s="2"/>
      <c r="P338" s="8"/>
    </row>
    <row r="339" spans="13:16" x14ac:dyDescent="0.2">
      <c r="M339" s="6"/>
      <c r="N339" s="2"/>
      <c r="O339" s="2"/>
      <c r="P339" s="8"/>
    </row>
    <row r="340" spans="13:16" x14ac:dyDescent="0.2">
      <c r="M340" s="6"/>
      <c r="N340" s="2"/>
      <c r="O340" s="2"/>
      <c r="P340" s="8"/>
    </row>
    <row r="341" spans="13:16" x14ac:dyDescent="0.2">
      <c r="M341" s="6"/>
      <c r="N341" s="2"/>
      <c r="O341" s="2"/>
      <c r="P341" s="8"/>
    </row>
    <row r="342" spans="13:16" x14ac:dyDescent="0.2">
      <c r="M342" s="6"/>
      <c r="N342" s="2"/>
      <c r="O342" s="2"/>
      <c r="P342" s="8"/>
    </row>
    <row r="343" spans="13:16" x14ac:dyDescent="0.2">
      <c r="M343" s="6"/>
      <c r="N343" s="2"/>
      <c r="O343" s="2"/>
      <c r="P343" s="8"/>
    </row>
    <row r="344" spans="13:16" x14ac:dyDescent="0.2">
      <c r="M344" s="6"/>
      <c r="N344" s="2"/>
      <c r="O344" s="2"/>
      <c r="P344" s="8"/>
    </row>
    <row r="345" spans="13:16" x14ac:dyDescent="0.2">
      <c r="M345" s="6"/>
      <c r="N345" s="2"/>
      <c r="O345" s="2"/>
      <c r="P345" s="8"/>
    </row>
    <row r="346" spans="13:16" x14ac:dyDescent="0.2">
      <c r="M346" s="6"/>
      <c r="N346" s="2"/>
      <c r="O346" s="2"/>
      <c r="P346" s="8"/>
    </row>
    <row r="347" spans="13:16" x14ac:dyDescent="0.2">
      <c r="M347" s="6"/>
      <c r="N347" s="2"/>
      <c r="O347" s="2"/>
      <c r="P347" s="8"/>
    </row>
    <row r="348" spans="13:16" x14ac:dyDescent="0.2">
      <c r="M348" s="6"/>
      <c r="N348" s="2"/>
      <c r="O348" s="2"/>
      <c r="P348" s="8"/>
    </row>
    <row r="349" spans="13:16" x14ac:dyDescent="0.2">
      <c r="M349" s="6"/>
      <c r="N349" s="2"/>
      <c r="O349" s="2"/>
      <c r="P349" s="8"/>
    </row>
    <row r="350" spans="13:16" x14ac:dyDescent="0.2">
      <c r="M350" s="6"/>
      <c r="N350" s="2"/>
      <c r="O350" s="2"/>
      <c r="P350" s="8"/>
    </row>
    <row r="351" spans="13:16" x14ac:dyDescent="0.2">
      <c r="M351" s="6"/>
      <c r="N351" s="2"/>
      <c r="O351" s="2"/>
      <c r="P351" s="8"/>
    </row>
    <row r="352" spans="13:16" x14ac:dyDescent="0.2">
      <c r="M352" s="6"/>
      <c r="N352" s="2"/>
      <c r="O352" s="2"/>
      <c r="P352" s="8"/>
    </row>
    <row r="353" spans="13:16" x14ac:dyDescent="0.2">
      <c r="M353" s="6"/>
      <c r="N353" s="2"/>
      <c r="O353" s="2"/>
      <c r="P353" s="8"/>
    </row>
    <row r="354" spans="13:16" x14ac:dyDescent="0.2">
      <c r="M354" s="6"/>
      <c r="N354" s="2"/>
      <c r="O354" s="2"/>
      <c r="P354" s="8"/>
    </row>
    <row r="355" spans="13:16" x14ac:dyDescent="0.2">
      <c r="M355" s="6"/>
      <c r="N355" s="2"/>
      <c r="O355" s="2"/>
      <c r="P355" s="8"/>
    </row>
    <row r="356" spans="13:16" x14ac:dyDescent="0.2">
      <c r="M356" s="6"/>
      <c r="N356" s="2"/>
      <c r="O356" s="2"/>
      <c r="P356" s="8"/>
    </row>
    <row r="357" spans="13:16" x14ac:dyDescent="0.2">
      <c r="M357" s="6"/>
      <c r="N357" s="2"/>
      <c r="O357" s="2"/>
      <c r="P357" s="8"/>
    </row>
    <row r="358" spans="13:16" x14ac:dyDescent="0.2">
      <c r="M358" s="6"/>
      <c r="N358" s="2"/>
      <c r="O358" s="2"/>
      <c r="P358" s="8"/>
    </row>
    <row r="359" spans="13:16" x14ac:dyDescent="0.2">
      <c r="M359" s="6"/>
      <c r="N359" s="2"/>
      <c r="O359" s="2"/>
      <c r="P359" s="8"/>
    </row>
    <row r="360" spans="13:16" x14ac:dyDescent="0.2">
      <c r="M360" s="6"/>
      <c r="N360" s="2"/>
      <c r="O360" s="2"/>
      <c r="P360" s="8"/>
    </row>
    <row r="361" spans="13:16" x14ac:dyDescent="0.2">
      <c r="M361" s="6"/>
      <c r="N361" s="2"/>
      <c r="O361" s="2"/>
      <c r="P361" s="8"/>
    </row>
    <row r="362" spans="13:16" x14ac:dyDescent="0.2">
      <c r="M362" s="6"/>
      <c r="N362" s="2"/>
      <c r="O362" s="2"/>
      <c r="P362" s="8"/>
    </row>
    <row r="363" spans="13:16" x14ac:dyDescent="0.2">
      <c r="M363" s="6"/>
      <c r="N363" s="2"/>
      <c r="O363" s="2"/>
      <c r="P363" s="8"/>
    </row>
    <row r="364" spans="13:16" x14ac:dyDescent="0.2">
      <c r="M364" s="6"/>
      <c r="N364" s="2"/>
      <c r="O364" s="2"/>
      <c r="P364" s="8"/>
    </row>
    <row r="365" spans="13:16" x14ac:dyDescent="0.2">
      <c r="M365" s="6"/>
      <c r="N365" s="2"/>
      <c r="O365" s="2"/>
      <c r="P365" s="8"/>
    </row>
    <row r="366" spans="13:16" x14ac:dyDescent="0.2">
      <c r="M366" s="6"/>
      <c r="N366" s="2"/>
      <c r="O366" s="2"/>
      <c r="P366" s="8"/>
    </row>
    <row r="367" spans="13:16" x14ac:dyDescent="0.2">
      <c r="M367" s="6"/>
      <c r="N367" s="2"/>
      <c r="O367" s="2"/>
      <c r="P367" s="8"/>
    </row>
    <row r="368" spans="13:16" x14ac:dyDescent="0.2">
      <c r="M368" s="6"/>
      <c r="N368" s="2"/>
      <c r="O368" s="2"/>
      <c r="P368" s="8"/>
    </row>
    <row r="369" spans="13:16" x14ac:dyDescent="0.2">
      <c r="M369" s="6"/>
      <c r="N369" s="2"/>
      <c r="O369" s="2"/>
      <c r="P369" s="8"/>
    </row>
    <row r="370" spans="13:16" x14ac:dyDescent="0.2">
      <c r="M370" s="6"/>
      <c r="N370" s="2"/>
      <c r="O370" s="2"/>
      <c r="P370" s="8"/>
    </row>
    <row r="371" spans="13:16" x14ac:dyDescent="0.2">
      <c r="M371" s="6"/>
      <c r="N371" s="2"/>
      <c r="O371" s="2"/>
      <c r="P371" s="8"/>
    </row>
    <row r="372" spans="13:16" x14ac:dyDescent="0.2">
      <c r="M372" s="6"/>
      <c r="N372" s="2"/>
      <c r="O372" s="2"/>
      <c r="P372" s="8"/>
    </row>
    <row r="373" spans="13:16" x14ac:dyDescent="0.2">
      <c r="M373" s="6"/>
      <c r="N373" s="2"/>
      <c r="O373" s="2"/>
      <c r="P373" s="8"/>
    </row>
    <row r="374" spans="13:16" x14ac:dyDescent="0.2">
      <c r="M374" s="6"/>
      <c r="N374" s="2"/>
      <c r="O374" s="2"/>
      <c r="P374" s="8"/>
    </row>
    <row r="375" spans="13:16" x14ac:dyDescent="0.2">
      <c r="M375" s="6"/>
      <c r="N375" s="2"/>
      <c r="O375" s="2"/>
      <c r="P375" s="8"/>
    </row>
    <row r="376" spans="13:16" x14ac:dyDescent="0.2">
      <c r="M376" s="6"/>
      <c r="N376" s="2"/>
      <c r="O376" s="2"/>
      <c r="P376" s="8"/>
    </row>
    <row r="377" spans="13:16" x14ac:dyDescent="0.2">
      <c r="M377" s="6"/>
      <c r="N377" s="2"/>
      <c r="O377" s="2"/>
      <c r="P377" s="8"/>
    </row>
    <row r="378" spans="13:16" x14ac:dyDescent="0.2">
      <c r="M378" s="6"/>
      <c r="N378" s="2"/>
      <c r="O378" s="2"/>
      <c r="P378" s="8"/>
    </row>
    <row r="379" spans="13:16" x14ac:dyDescent="0.2">
      <c r="M379" s="6"/>
      <c r="N379" s="2"/>
      <c r="O379" s="2"/>
      <c r="P379" s="8"/>
    </row>
    <row r="380" spans="13:16" x14ac:dyDescent="0.2">
      <c r="M380" s="6"/>
      <c r="N380" s="2"/>
      <c r="O380" s="2"/>
      <c r="P380" s="8"/>
    </row>
    <row r="381" spans="13:16" x14ac:dyDescent="0.2">
      <c r="M381" s="6"/>
      <c r="N381" s="2"/>
      <c r="O381" s="2"/>
      <c r="P381" s="8"/>
    </row>
    <row r="382" spans="13:16" x14ac:dyDescent="0.2">
      <c r="M382" s="6"/>
      <c r="N382" s="2"/>
      <c r="O382" s="2"/>
      <c r="P382" s="8"/>
    </row>
    <row r="383" spans="13:16" x14ac:dyDescent="0.2">
      <c r="M383" s="6"/>
      <c r="N383" s="2"/>
      <c r="O383" s="2"/>
      <c r="P383" s="8"/>
    </row>
    <row r="384" spans="13:16" x14ac:dyDescent="0.2">
      <c r="M384" s="6"/>
      <c r="N384" s="2"/>
      <c r="O384" s="2"/>
      <c r="P384" s="8"/>
    </row>
    <row r="385" spans="13:16" x14ac:dyDescent="0.2">
      <c r="M385" s="6"/>
      <c r="N385" s="2"/>
      <c r="O385" s="2"/>
      <c r="P385" s="8"/>
    </row>
    <row r="386" spans="13:16" x14ac:dyDescent="0.2">
      <c r="M386" s="6"/>
      <c r="N386" s="2"/>
      <c r="O386" s="2"/>
      <c r="P386" s="8"/>
    </row>
    <row r="387" spans="13:16" x14ac:dyDescent="0.2">
      <c r="M387" s="6"/>
      <c r="N387" s="2"/>
      <c r="O387" s="2"/>
      <c r="P387" s="8"/>
    </row>
    <row r="388" spans="13:16" x14ac:dyDescent="0.2">
      <c r="M388" s="6"/>
      <c r="N388" s="2"/>
      <c r="O388" s="2"/>
      <c r="P388" s="8"/>
    </row>
    <row r="389" spans="13:16" x14ac:dyDescent="0.2">
      <c r="M389" s="6"/>
      <c r="N389" s="2"/>
      <c r="O389" s="2"/>
      <c r="P389" s="8"/>
    </row>
    <row r="390" spans="13:16" x14ac:dyDescent="0.2">
      <c r="M390" s="6"/>
      <c r="N390" s="2"/>
      <c r="O390" s="2"/>
      <c r="P390" s="8"/>
    </row>
    <row r="391" spans="13:16" x14ac:dyDescent="0.2">
      <c r="M391" s="6"/>
      <c r="N391" s="2"/>
      <c r="O391" s="2"/>
      <c r="P391" s="8"/>
    </row>
    <row r="392" spans="13:16" x14ac:dyDescent="0.2">
      <c r="M392" s="6"/>
      <c r="N392" s="2"/>
      <c r="O392" s="2"/>
      <c r="P392" s="8"/>
    </row>
    <row r="393" spans="13:16" x14ac:dyDescent="0.2">
      <c r="M393" s="6"/>
      <c r="N393" s="2"/>
      <c r="O393" s="2"/>
      <c r="P393" s="8"/>
    </row>
    <row r="394" spans="13:16" x14ac:dyDescent="0.2">
      <c r="M394" s="6"/>
      <c r="N394" s="2"/>
      <c r="O394" s="2"/>
      <c r="P394" s="8"/>
    </row>
    <row r="395" spans="13:16" x14ac:dyDescent="0.2">
      <c r="M395" s="6"/>
      <c r="N395" s="2"/>
      <c r="O395" s="2"/>
      <c r="P395" s="8"/>
    </row>
    <row r="396" spans="13:16" x14ac:dyDescent="0.2">
      <c r="M396" s="6"/>
      <c r="N396" s="2"/>
      <c r="O396" s="2"/>
      <c r="P396" s="8"/>
    </row>
    <row r="397" spans="13:16" x14ac:dyDescent="0.2">
      <c r="M397" s="6"/>
      <c r="N397" s="2"/>
      <c r="O397" s="2"/>
      <c r="P397" s="8"/>
    </row>
    <row r="398" spans="13:16" x14ac:dyDescent="0.2">
      <c r="M398" s="6"/>
      <c r="N398" s="2"/>
      <c r="O398" s="2"/>
      <c r="P398" s="8"/>
    </row>
    <row r="399" spans="13:16" x14ac:dyDescent="0.2">
      <c r="M399" s="6"/>
      <c r="N399" s="2"/>
      <c r="O399" s="2"/>
      <c r="P399" s="8"/>
    </row>
    <row r="400" spans="13:16" x14ac:dyDescent="0.2">
      <c r="M400" s="6"/>
      <c r="N400" s="2"/>
      <c r="O400" s="2"/>
      <c r="P400" s="8"/>
    </row>
    <row r="401" spans="13:16" x14ac:dyDescent="0.2">
      <c r="M401" s="6"/>
      <c r="N401" s="2"/>
      <c r="O401" s="2"/>
      <c r="P401" s="8"/>
    </row>
    <row r="402" spans="13:16" x14ac:dyDescent="0.2">
      <c r="M402" s="6"/>
      <c r="N402" s="2"/>
      <c r="O402" s="2"/>
      <c r="P402" s="8"/>
    </row>
    <row r="403" spans="13:16" x14ac:dyDescent="0.2">
      <c r="M403" s="6"/>
      <c r="N403" s="2"/>
      <c r="O403" s="2"/>
      <c r="P403" s="8"/>
    </row>
    <row r="404" spans="13:16" x14ac:dyDescent="0.2">
      <c r="M404" s="6"/>
      <c r="N404" s="2"/>
      <c r="O404" s="2"/>
      <c r="P404" s="8"/>
    </row>
    <row r="405" spans="13:16" x14ac:dyDescent="0.2">
      <c r="M405" s="6"/>
      <c r="N405" s="2"/>
      <c r="O405" s="2"/>
      <c r="P405" s="8"/>
    </row>
    <row r="406" spans="13:16" x14ac:dyDescent="0.2">
      <c r="M406" s="6"/>
      <c r="N406" s="2"/>
      <c r="O406" s="2"/>
      <c r="P406" s="8"/>
    </row>
    <row r="407" spans="13:16" x14ac:dyDescent="0.2">
      <c r="M407" s="6"/>
      <c r="N407" s="2"/>
      <c r="O407" s="2"/>
      <c r="P407" s="8"/>
    </row>
    <row r="408" spans="13:16" x14ac:dyDescent="0.2">
      <c r="M408" s="6"/>
      <c r="N408" s="2"/>
      <c r="O408" s="2"/>
      <c r="P408" s="8"/>
    </row>
    <row r="409" spans="13:16" x14ac:dyDescent="0.2">
      <c r="M409" s="6"/>
      <c r="N409" s="2"/>
      <c r="O409" s="2"/>
      <c r="P409" s="8"/>
    </row>
    <row r="410" spans="13:16" x14ac:dyDescent="0.2">
      <c r="M410" s="6"/>
      <c r="N410" s="2"/>
      <c r="O410" s="2"/>
      <c r="P410" s="8"/>
    </row>
    <row r="411" spans="13:16" x14ac:dyDescent="0.2">
      <c r="M411" s="6"/>
      <c r="N411" s="2"/>
      <c r="O411" s="2"/>
      <c r="P411" s="8"/>
    </row>
    <row r="412" spans="13:16" x14ac:dyDescent="0.2">
      <c r="M412" s="6"/>
      <c r="N412" s="2"/>
      <c r="O412" s="2"/>
      <c r="P412" s="8"/>
    </row>
    <row r="413" spans="13:16" x14ac:dyDescent="0.2">
      <c r="M413" s="6"/>
      <c r="N413" s="2"/>
      <c r="O413" s="2"/>
      <c r="P413" s="8"/>
    </row>
    <row r="414" spans="13:16" x14ac:dyDescent="0.2">
      <c r="M414" s="6"/>
      <c r="N414" s="2"/>
      <c r="O414" s="2"/>
      <c r="P414" s="8"/>
    </row>
    <row r="415" spans="13:16" x14ac:dyDescent="0.2">
      <c r="M415" s="6"/>
      <c r="N415" s="2"/>
      <c r="O415" s="2"/>
      <c r="P415" s="8"/>
    </row>
    <row r="416" spans="13:16" x14ac:dyDescent="0.2">
      <c r="M416" s="6"/>
      <c r="N416" s="2"/>
      <c r="O416" s="2"/>
      <c r="P416" s="8"/>
    </row>
    <row r="417" spans="13:16" x14ac:dyDescent="0.2">
      <c r="M417" s="6"/>
      <c r="N417" s="2"/>
      <c r="O417" s="2"/>
      <c r="P417" s="8"/>
    </row>
    <row r="418" spans="13:16" x14ac:dyDescent="0.2">
      <c r="M418" s="6"/>
      <c r="N418" s="2"/>
      <c r="O418" s="2"/>
      <c r="P418" s="8"/>
    </row>
    <row r="419" spans="13:16" x14ac:dyDescent="0.2">
      <c r="M419" s="6"/>
      <c r="N419" s="2"/>
      <c r="O419" s="2"/>
      <c r="P419" s="8"/>
    </row>
    <row r="420" spans="13:16" x14ac:dyDescent="0.2">
      <c r="M420" s="6"/>
      <c r="N420" s="2"/>
      <c r="O420" s="2"/>
      <c r="P420" s="8"/>
    </row>
    <row r="421" spans="13:16" x14ac:dyDescent="0.2">
      <c r="M421" s="6"/>
      <c r="N421" s="2"/>
      <c r="O421" s="2"/>
      <c r="P421" s="8"/>
    </row>
    <row r="422" spans="13:16" x14ac:dyDescent="0.2">
      <c r="M422" s="6"/>
      <c r="N422" s="2"/>
      <c r="O422" s="2"/>
      <c r="P422" s="8"/>
    </row>
    <row r="423" spans="13:16" x14ac:dyDescent="0.2">
      <c r="M423" s="6"/>
      <c r="N423" s="2"/>
      <c r="O423" s="2"/>
      <c r="P423" s="8"/>
    </row>
    <row r="424" spans="13:16" x14ac:dyDescent="0.2">
      <c r="M424" s="6"/>
      <c r="N424" s="2"/>
      <c r="O424" s="2"/>
      <c r="P424" s="8"/>
    </row>
    <row r="425" spans="13:16" x14ac:dyDescent="0.2">
      <c r="M425" s="6"/>
      <c r="N425" s="2"/>
      <c r="O425" s="2"/>
      <c r="P425" s="8"/>
    </row>
    <row r="426" spans="13:16" x14ac:dyDescent="0.2">
      <c r="M426" s="6"/>
      <c r="N426" s="2"/>
      <c r="O426" s="2"/>
      <c r="P426" s="8"/>
    </row>
    <row r="427" spans="13:16" x14ac:dyDescent="0.2">
      <c r="M427" s="6"/>
      <c r="N427" s="2"/>
      <c r="O427" s="2"/>
      <c r="P427" s="8"/>
    </row>
    <row r="428" spans="13:16" x14ac:dyDescent="0.2">
      <c r="M428" s="6"/>
      <c r="N428" s="2"/>
      <c r="O428" s="2"/>
      <c r="P428" s="8"/>
    </row>
    <row r="429" spans="13:16" x14ac:dyDescent="0.2">
      <c r="M429" s="6"/>
      <c r="N429" s="2"/>
      <c r="O429" s="2"/>
      <c r="P429" s="8"/>
    </row>
    <row r="430" spans="13:16" x14ac:dyDescent="0.2">
      <c r="M430" s="6"/>
      <c r="N430" s="2"/>
      <c r="O430" s="2"/>
      <c r="P430" s="8"/>
    </row>
    <row r="431" spans="13:16" x14ac:dyDescent="0.2">
      <c r="M431" s="6"/>
      <c r="N431" s="2"/>
      <c r="O431" s="2"/>
      <c r="P431" s="8"/>
    </row>
    <row r="432" spans="13:16" x14ac:dyDescent="0.2">
      <c r="M432" s="6"/>
      <c r="N432" s="2"/>
      <c r="O432" s="2"/>
      <c r="P432" s="8"/>
    </row>
    <row r="433" spans="13:16" x14ac:dyDescent="0.2">
      <c r="M433" s="6"/>
      <c r="N433" s="2"/>
      <c r="O433" s="2"/>
      <c r="P433" s="8"/>
    </row>
    <row r="434" spans="13:16" x14ac:dyDescent="0.2">
      <c r="M434" s="6"/>
      <c r="N434" s="2"/>
      <c r="O434" s="2"/>
      <c r="P434" s="8"/>
    </row>
    <row r="435" spans="13:16" x14ac:dyDescent="0.2">
      <c r="M435" s="6"/>
      <c r="N435" s="2"/>
      <c r="O435" s="2"/>
      <c r="P435" s="8"/>
    </row>
    <row r="436" spans="13:16" x14ac:dyDescent="0.2">
      <c r="M436" s="6"/>
      <c r="N436" s="2"/>
      <c r="O436" s="2"/>
      <c r="P436" s="8"/>
    </row>
    <row r="437" spans="13:16" x14ac:dyDescent="0.2">
      <c r="M437" s="6"/>
      <c r="N437" s="2"/>
      <c r="O437" s="2"/>
      <c r="P437" s="8"/>
    </row>
    <row r="438" spans="13:16" x14ac:dyDescent="0.2">
      <c r="M438" s="6"/>
      <c r="N438" s="2"/>
      <c r="O438" s="2"/>
      <c r="P438" s="8"/>
    </row>
    <row r="439" spans="13:16" x14ac:dyDescent="0.2">
      <c r="M439" s="6"/>
      <c r="N439" s="2"/>
      <c r="O439" s="2"/>
      <c r="P439" s="8"/>
    </row>
    <row r="440" spans="13:16" x14ac:dyDescent="0.2">
      <c r="M440" s="6"/>
      <c r="N440" s="2"/>
      <c r="O440" s="2"/>
      <c r="P440" s="8"/>
    </row>
    <row r="441" spans="13:16" x14ac:dyDescent="0.2">
      <c r="M441" s="6"/>
      <c r="N441" s="2"/>
      <c r="O441" s="2"/>
      <c r="P441" s="8"/>
    </row>
    <row r="442" spans="13:16" x14ac:dyDescent="0.2">
      <c r="M442" s="6"/>
      <c r="N442" s="2"/>
      <c r="O442" s="2"/>
      <c r="P442" s="8"/>
    </row>
    <row r="443" spans="13:16" x14ac:dyDescent="0.2">
      <c r="M443" s="6"/>
      <c r="N443" s="2"/>
      <c r="O443" s="2"/>
      <c r="P443" s="8"/>
    </row>
    <row r="444" spans="13:16" x14ac:dyDescent="0.2">
      <c r="M444" s="6"/>
      <c r="N444" s="2"/>
      <c r="O444" s="2"/>
      <c r="P444" s="8"/>
    </row>
    <row r="445" spans="13:16" x14ac:dyDescent="0.2">
      <c r="M445" s="6"/>
      <c r="N445" s="2"/>
      <c r="O445" s="2"/>
      <c r="P445" s="8"/>
    </row>
    <row r="446" spans="13:16" x14ac:dyDescent="0.2">
      <c r="M446" s="6"/>
      <c r="N446" s="2"/>
      <c r="O446" s="2"/>
      <c r="P446" s="8"/>
    </row>
    <row r="447" spans="13:16" x14ac:dyDescent="0.2">
      <c r="M447" s="6"/>
      <c r="N447" s="2"/>
      <c r="O447" s="2"/>
      <c r="P447" s="8"/>
    </row>
    <row r="448" spans="13:16" x14ac:dyDescent="0.2">
      <c r="M448" s="6"/>
      <c r="N448" s="2"/>
      <c r="O448" s="2"/>
      <c r="P448" s="8"/>
    </row>
    <row r="449" spans="13:16" x14ac:dyDescent="0.2">
      <c r="M449" s="6"/>
      <c r="N449" s="2"/>
      <c r="O449" s="2"/>
      <c r="P449" s="8"/>
    </row>
    <row r="450" spans="13:16" x14ac:dyDescent="0.2">
      <c r="M450" s="6"/>
      <c r="N450" s="2"/>
      <c r="O450" s="2"/>
      <c r="P450" s="8"/>
    </row>
    <row r="451" spans="13:16" x14ac:dyDescent="0.2">
      <c r="M451" s="6"/>
      <c r="N451" s="2"/>
      <c r="O451" s="2"/>
      <c r="P451" s="8"/>
    </row>
    <row r="452" spans="13:16" x14ac:dyDescent="0.2">
      <c r="M452" s="6"/>
      <c r="N452" s="2"/>
      <c r="O452" s="2"/>
      <c r="P452" s="8"/>
    </row>
    <row r="453" spans="13:16" x14ac:dyDescent="0.2">
      <c r="M453" s="6"/>
      <c r="N453" s="2"/>
      <c r="O453" s="2"/>
      <c r="P453" s="8"/>
    </row>
    <row r="454" spans="13:16" x14ac:dyDescent="0.2">
      <c r="M454" s="6"/>
      <c r="N454" s="2"/>
      <c r="O454" s="2"/>
      <c r="P454" s="8"/>
    </row>
    <row r="455" spans="13:16" x14ac:dyDescent="0.2">
      <c r="M455" s="6"/>
      <c r="N455" s="2"/>
      <c r="O455" s="2"/>
      <c r="P455" s="8"/>
    </row>
    <row r="456" spans="13:16" x14ac:dyDescent="0.2">
      <c r="M456" s="6"/>
      <c r="N456" s="2"/>
      <c r="O456" s="2"/>
      <c r="P456" s="8"/>
    </row>
    <row r="457" spans="13:16" x14ac:dyDescent="0.2">
      <c r="M457" s="6"/>
      <c r="N457" s="2"/>
      <c r="O457" s="2"/>
      <c r="P457" s="8"/>
    </row>
    <row r="458" spans="13:16" x14ac:dyDescent="0.2">
      <c r="M458" s="6"/>
      <c r="N458" s="2"/>
      <c r="O458" s="2"/>
      <c r="P458" s="8"/>
    </row>
    <row r="459" spans="13:16" x14ac:dyDescent="0.2">
      <c r="M459" s="6"/>
      <c r="N459" s="2"/>
      <c r="O459" s="2"/>
      <c r="P459" s="8"/>
    </row>
    <row r="460" spans="13:16" x14ac:dyDescent="0.2">
      <c r="M460" s="6"/>
      <c r="N460" s="2"/>
      <c r="O460" s="2"/>
      <c r="P460" s="8"/>
    </row>
    <row r="461" spans="13:16" x14ac:dyDescent="0.2">
      <c r="M461" s="6"/>
      <c r="N461" s="2"/>
      <c r="O461" s="2"/>
      <c r="P461" s="8"/>
    </row>
    <row r="462" spans="13:16" x14ac:dyDescent="0.2">
      <c r="M462" s="6"/>
      <c r="N462" s="2"/>
      <c r="O462" s="2"/>
      <c r="P462" s="8"/>
    </row>
    <row r="463" spans="13:16" x14ac:dyDescent="0.2">
      <c r="M463" s="6"/>
      <c r="N463" s="2"/>
      <c r="O463" s="2"/>
      <c r="P463" s="8"/>
    </row>
    <row r="464" spans="13:16" x14ac:dyDescent="0.2">
      <c r="M464" s="6"/>
      <c r="N464" s="2"/>
      <c r="O464" s="2"/>
      <c r="P464" s="8"/>
    </row>
    <row r="465" spans="13:16" x14ac:dyDescent="0.2">
      <c r="M465" s="6"/>
      <c r="N465" s="2"/>
      <c r="O465" s="2"/>
      <c r="P465" s="8"/>
    </row>
    <row r="466" spans="13:16" x14ac:dyDescent="0.2">
      <c r="M466" s="6"/>
      <c r="N466" s="2"/>
      <c r="O466" s="2"/>
      <c r="P466" s="8"/>
    </row>
    <row r="467" spans="13:16" x14ac:dyDescent="0.2">
      <c r="M467" s="6"/>
      <c r="N467" s="2"/>
      <c r="O467" s="2"/>
      <c r="P467" s="8"/>
    </row>
    <row r="468" spans="13:16" x14ac:dyDescent="0.2">
      <c r="M468" s="6"/>
      <c r="N468" s="2"/>
      <c r="O468" s="2"/>
      <c r="P468" s="8"/>
    </row>
    <row r="469" spans="13:16" x14ac:dyDescent="0.2">
      <c r="M469" s="6"/>
      <c r="N469" s="2"/>
      <c r="O469" s="2"/>
      <c r="P469" s="8"/>
    </row>
    <row r="470" spans="13:16" x14ac:dyDescent="0.2">
      <c r="M470" s="6"/>
      <c r="N470" s="2"/>
      <c r="O470" s="2"/>
      <c r="P470" s="8"/>
    </row>
    <row r="471" spans="13:16" x14ac:dyDescent="0.2">
      <c r="M471" s="6"/>
      <c r="N471" s="2"/>
      <c r="O471" s="2"/>
      <c r="P471" s="8"/>
    </row>
    <row r="472" spans="13:16" x14ac:dyDescent="0.2">
      <c r="M472" s="6"/>
      <c r="N472" s="2"/>
      <c r="O472" s="2"/>
      <c r="P472" s="8"/>
    </row>
    <row r="473" spans="13:16" x14ac:dyDescent="0.2">
      <c r="M473" s="6"/>
      <c r="N473" s="2"/>
      <c r="O473" s="2"/>
      <c r="P473" s="8"/>
    </row>
    <row r="474" spans="13:16" x14ac:dyDescent="0.2">
      <c r="M474" s="6"/>
      <c r="N474" s="2"/>
      <c r="O474" s="2"/>
      <c r="P474" s="8"/>
    </row>
    <row r="475" spans="13:16" x14ac:dyDescent="0.2">
      <c r="M475" s="6"/>
      <c r="N475" s="2"/>
      <c r="O475" s="2"/>
      <c r="P475" s="8"/>
    </row>
    <row r="476" spans="13:16" x14ac:dyDescent="0.2">
      <c r="M476" s="6"/>
      <c r="N476" s="2"/>
      <c r="O476" s="2"/>
      <c r="P476" s="8"/>
    </row>
    <row r="477" spans="13:16" x14ac:dyDescent="0.2">
      <c r="M477" s="6"/>
      <c r="N477" s="2"/>
      <c r="O477" s="2"/>
      <c r="P477" s="8"/>
    </row>
    <row r="478" spans="13:16" x14ac:dyDescent="0.2">
      <c r="M478" s="6"/>
      <c r="N478" s="2"/>
      <c r="O478" s="2"/>
      <c r="P478" s="8"/>
    </row>
    <row r="479" spans="13:16" x14ac:dyDescent="0.2">
      <c r="M479" s="6"/>
      <c r="N479" s="2"/>
      <c r="O479" s="2"/>
      <c r="P479" s="8"/>
    </row>
    <row r="480" spans="13:16" x14ac:dyDescent="0.2">
      <c r="M480" s="6"/>
      <c r="N480" s="2"/>
      <c r="O480" s="2"/>
      <c r="P480" s="8"/>
    </row>
    <row r="481" spans="13:16" x14ac:dyDescent="0.2">
      <c r="M481" s="6"/>
      <c r="N481" s="2"/>
      <c r="O481" s="2"/>
      <c r="P481" s="8"/>
    </row>
    <row r="482" spans="13:16" x14ac:dyDescent="0.2">
      <c r="M482" s="6"/>
      <c r="N482" s="2"/>
      <c r="O482" s="2"/>
      <c r="P482" s="8"/>
    </row>
    <row r="483" spans="13:16" x14ac:dyDescent="0.2">
      <c r="M483" s="6"/>
      <c r="N483" s="2"/>
      <c r="O483" s="2"/>
      <c r="P483" s="8"/>
    </row>
    <row r="484" spans="13:16" x14ac:dyDescent="0.2">
      <c r="M484" s="6"/>
      <c r="N484" s="2"/>
      <c r="O484" s="2"/>
      <c r="P484" s="8"/>
    </row>
    <row r="485" spans="13:16" x14ac:dyDescent="0.2">
      <c r="M485" s="6"/>
      <c r="N485" s="2"/>
      <c r="O485" s="2"/>
      <c r="P485" s="8"/>
    </row>
    <row r="486" spans="13:16" x14ac:dyDescent="0.2">
      <c r="M486" s="6"/>
      <c r="N486" s="2"/>
      <c r="O486" s="2"/>
      <c r="P486" s="8"/>
    </row>
    <row r="487" spans="13:16" x14ac:dyDescent="0.2">
      <c r="M487" s="6"/>
      <c r="N487" s="2"/>
      <c r="O487" s="2"/>
      <c r="P487" s="8"/>
    </row>
    <row r="488" spans="13:16" x14ac:dyDescent="0.2">
      <c r="M488" s="6"/>
      <c r="N488" s="2"/>
      <c r="O488" s="2"/>
      <c r="P488" s="8"/>
    </row>
    <row r="489" spans="13:16" x14ac:dyDescent="0.2">
      <c r="M489" s="6"/>
      <c r="N489" s="2"/>
      <c r="O489" s="2"/>
      <c r="P489" s="8"/>
    </row>
    <row r="490" spans="13:16" x14ac:dyDescent="0.2">
      <c r="M490" s="6"/>
      <c r="N490" s="2"/>
      <c r="O490" s="2"/>
      <c r="P490" s="8"/>
    </row>
    <row r="491" spans="13:16" x14ac:dyDescent="0.2">
      <c r="M491" s="6"/>
      <c r="N491" s="2"/>
      <c r="O491" s="2"/>
      <c r="P491" s="8"/>
    </row>
    <row r="492" spans="13:16" x14ac:dyDescent="0.2">
      <c r="M492" s="6"/>
      <c r="N492" s="2"/>
      <c r="O492" s="2"/>
      <c r="P492" s="8"/>
    </row>
    <row r="493" spans="13:16" x14ac:dyDescent="0.2">
      <c r="M493" s="6"/>
      <c r="N493" s="2"/>
      <c r="O493" s="2"/>
      <c r="P493" s="8"/>
    </row>
    <row r="494" spans="13:16" x14ac:dyDescent="0.2">
      <c r="M494" s="6"/>
      <c r="N494" s="2"/>
      <c r="O494" s="2"/>
      <c r="P494" s="8"/>
    </row>
    <row r="495" spans="13:16" x14ac:dyDescent="0.2">
      <c r="M495" s="6"/>
      <c r="N495" s="2"/>
      <c r="O495" s="2"/>
      <c r="P495" s="8"/>
    </row>
    <row r="496" spans="13:16" x14ac:dyDescent="0.2">
      <c r="M496" s="6"/>
      <c r="N496" s="2"/>
      <c r="O496" s="2"/>
      <c r="P496" s="8"/>
    </row>
    <row r="497" spans="13:16" x14ac:dyDescent="0.2">
      <c r="M497" s="6"/>
      <c r="N497" s="2"/>
      <c r="O497" s="2"/>
      <c r="P497" s="8"/>
    </row>
    <row r="498" spans="13:16" x14ac:dyDescent="0.2">
      <c r="M498" s="6"/>
      <c r="N498" s="2"/>
      <c r="O498" s="2"/>
      <c r="P498" s="8"/>
    </row>
    <row r="499" spans="13:16" x14ac:dyDescent="0.2">
      <c r="M499" s="6"/>
      <c r="N499" s="2"/>
      <c r="O499" s="2"/>
      <c r="P499" s="8"/>
    </row>
    <row r="500" spans="13:16" x14ac:dyDescent="0.2">
      <c r="M500" s="6"/>
      <c r="N500" s="2"/>
      <c r="O500" s="2"/>
      <c r="P500" s="8"/>
    </row>
    <row r="501" spans="13:16" x14ac:dyDescent="0.2">
      <c r="M501" s="6"/>
      <c r="N501" s="2"/>
      <c r="O501" s="2"/>
      <c r="P501" s="8"/>
    </row>
    <row r="502" spans="13:16" x14ac:dyDescent="0.2">
      <c r="M502" s="6"/>
      <c r="N502" s="2"/>
      <c r="O502" s="2"/>
      <c r="P502" s="8"/>
    </row>
    <row r="503" spans="13:16" x14ac:dyDescent="0.2">
      <c r="M503" s="6"/>
      <c r="N503" s="2"/>
      <c r="O503" s="2"/>
      <c r="P503" s="8"/>
    </row>
    <row r="504" spans="13:16" x14ac:dyDescent="0.2">
      <c r="M504" s="6"/>
      <c r="N504" s="2"/>
      <c r="O504" s="2"/>
      <c r="P504" s="8"/>
    </row>
    <row r="505" spans="13:16" x14ac:dyDescent="0.2">
      <c r="M505" s="6"/>
      <c r="N505" s="2"/>
      <c r="O505" s="2"/>
      <c r="P505" s="8"/>
    </row>
    <row r="506" spans="13:16" x14ac:dyDescent="0.2">
      <c r="M506" s="6"/>
      <c r="N506" s="2"/>
      <c r="O506" s="2"/>
      <c r="P506" s="8"/>
    </row>
    <row r="507" spans="13:16" x14ac:dyDescent="0.2">
      <c r="M507" s="6"/>
      <c r="N507" s="2"/>
      <c r="O507" s="2"/>
      <c r="P507" s="8"/>
    </row>
    <row r="508" spans="13:16" x14ac:dyDescent="0.2">
      <c r="M508" s="6"/>
      <c r="N508" s="2"/>
      <c r="O508" s="2"/>
      <c r="P508" s="8"/>
    </row>
    <row r="509" spans="13:16" x14ac:dyDescent="0.2">
      <c r="M509" s="6"/>
      <c r="N509" s="2"/>
      <c r="O509" s="2"/>
      <c r="P509" s="8"/>
    </row>
    <row r="510" spans="13:16" x14ac:dyDescent="0.2">
      <c r="M510" s="6"/>
      <c r="N510" s="2"/>
      <c r="O510" s="2"/>
      <c r="P510" s="8"/>
    </row>
    <row r="511" spans="13:16" x14ac:dyDescent="0.2">
      <c r="M511" s="6"/>
      <c r="N511" s="2"/>
      <c r="O511" s="2"/>
      <c r="P511" s="8"/>
    </row>
    <row r="512" spans="13:16" x14ac:dyDescent="0.2">
      <c r="M512" s="6"/>
      <c r="N512" s="2"/>
      <c r="O512" s="2"/>
      <c r="P512" s="8"/>
    </row>
    <row r="513" spans="13:16" x14ac:dyDescent="0.2">
      <c r="M513" s="6"/>
      <c r="N513" s="2"/>
      <c r="O513" s="2"/>
      <c r="P513" s="8"/>
    </row>
    <row r="514" spans="13:16" x14ac:dyDescent="0.2">
      <c r="M514" s="6"/>
      <c r="N514" s="2"/>
      <c r="O514" s="2"/>
      <c r="P514" s="8"/>
    </row>
    <row r="515" spans="13:16" x14ac:dyDescent="0.2">
      <c r="M515" s="6"/>
      <c r="N515" s="2"/>
      <c r="O515" s="2"/>
      <c r="P515" s="8"/>
    </row>
    <row r="516" spans="13:16" x14ac:dyDescent="0.2">
      <c r="M516" s="6"/>
      <c r="N516" s="2"/>
      <c r="O516" s="2"/>
      <c r="P516" s="8"/>
    </row>
    <row r="517" spans="13:16" x14ac:dyDescent="0.2">
      <c r="M517" s="6"/>
      <c r="N517" s="2"/>
      <c r="O517" s="2"/>
      <c r="P517" s="8"/>
    </row>
    <row r="518" spans="13:16" x14ac:dyDescent="0.2">
      <c r="M518" s="6"/>
      <c r="N518" s="2"/>
      <c r="O518" s="2"/>
      <c r="P518" s="8"/>
    </row>
    <row r="519" spans="13:16" x14ac:dyDescent="0.2">
      <c r="M519" s="6"/>
      <c r="N519" s="2"/>
      <c r="O519" s="2"/>
      <c r="P519" s="8"/>
    </row>
    <row r="520" spans="13:16" x14ac:dyDescent="0.2">
      <c r="M520" s="6"/>
      <c r="N520" s="2"/>
      <c r="O520" s="2"/>
      <c r="P520" s="8"/>
    </row>
    <row r="521" spans="13:16" x14ac:dyDescent="0.2">
      <c r="M521" s="6"/>
      <c r="N521" s="2"/>
      <c r="O521" s="2"/>
      <c r="P521" s="8"/>
    </row>
    <row r="522" spans="13:16" x14ac:dyDescent="0.2">
      <c r="M522" s="6"/>
      <c r="N522" s="2"/>
      <c r="O522" s="2"/>
      <c r="P522" s="8"/>
    </row>
    <row r="523" spans="13:16" x14ac:dyDescent="0.2">
      <c r="M523" s="6"/>
      <c r="N523" s="2"/>
      <c r="O523" s="2"/>
      <c r="P523" s="8"/>
    </row>
    <row r="524" spans="13:16" x14ac:dyDescent="0.2">
      <c r="M524" s="6"/>
      <c r="N524" s="2"/>
      <c r="O524" s="2"/>
      <c r="P524" s="8"/>
    </row>
    <row r="525" spans="13:16" x14ac:dyDescent="0.2">
      <c r="M525" s="6"/>
      <c r="N525" s="2"/>
      <c r="O525" s="2"/>
      <c r="P525" s="8"/>
    </row>
    <row r="526" spans="13:16" x14ac:dyDescent="0.2">
      <c r="M526" s="6"/>
      <c r="N526" s="2"/>
      <c r="O526" s="2"/>
      <c r="P526" s="8"/>
    </row>
    <row r="527" spans="13:16" x14ac:dyDescent="0.2">
      <c r="M527" s="6"/>
      <c r="N527" s="2"/>
      <c r="O527" s="2"/>
      <c r="P527" s="8"/>
    </row>
    <row r="528" spans="13:16" x14ac:dyDescent="0.2">
      <c r="M528" s="6"/>
      <c r="N528" s="2"/>
      <c r="O528" s="2"/>
      <c r="P528" s="8"/>
    </row>
    <row r="529" spans="13:16" x14ac:dyDescent="0.2">
      <c r="M529" s="6"/>
      <c r="N529" s="2"/>
      <c r="O529" s="2"/>
      <c r="P529" s="8"/>
    </row>
    <row r="530" spans="13:16" x14ac:dyDescent="0.2">
      <c r="M530" s="6"/>
      <c r="N530" s="2"/>
      <c r="O530" s="2"/>
      <c r="P530" s="8"/>
    </row>
    <row r="531" spans="13:16" x14ac:dyDescent="0.2">
      <c r="M531" s="6"/>
      <c r="N531" s="2"/>
      <c r="O531" s="2"/>
      <c r="P531" s="8"/>
    </row>
    <row r="532" spans="13:16" x14ac:dyDescent="0.2">
      <c r="M532" s="6"/>
      <c r="N532" s="2"/>
      <c r="O532" s="2"/>
      <c r="P532" s="8"/>
    </row>
    <row r="533" spans="13:16" x14ac:dyDescent="0.2">
      <c r="M533" s="6"/>
      <c r="N533" s="2"/>
      <c r="O533" s="2"/>
      <c r="P533" s="8"/>
    </row>
    <row r="534" spans="13:16" x14ac:dyDescent="0.2">
      <c r="M534" s="6"/>
      <c r="N534" s="2"/>
      <c r="O534" s="2"/>
      <c r="P534" s="8"/>
    </row>
    <row r="535" spans="13:16" x14ac:dyDescent="0.2">
      <c r="M535" s="6"/>
      <c r="N535" s="2"/>
      <c r="O535" s="2"/>
      <c r="P535" s="8"/>
    </row>
    <row r="536" spans="13:16" x14ac:dyDescent="0.2">
      <c r="M536" s="6"/>
      <c r="N536" s="2"/>
      <c r="O536" s="2"/>
      <c r="P536" s="8"/>
    </row>
    <row r="537" spans="13:16" x14ac:dyDescent="0.2">
      <c r="M537" s="6"/>
      <c r="N537" s="2"/>
      <c r="O537" s="2"/>
      <c r="P537" s="8"/>
    </row>
    <row r="538" spans="13:16" x14ac:dyDescent="0.2">
      <c r="M538" s="6"/>
      <c r="N538" s="2"/>
      <c r="O538" s="2"/>
      <c r="P538" s="8"/>
    </row>
    <row r="539" spans="13:16" x14ac:dyDescent="0.2">
      <c r="M539" s="6"/>
      <c r="N539" s="2"/>
      <c r="O539" s="2"/>
      <c r="P539" s="8"/>
    </row>
    <row r="540" spans="13:16" x14ac:dyDescent="0.2">
      <c r="M540" s="6"/>
      <c r="N540" s="2"/>
      <c r="O540" s="2"/>
      <c r="P540" s="8"/>
    </row>
    <row r="541" spans="13:16" x14ac:dyDescent="0.2">
      <c r="M541" s="6"/>
      <c r="N541" s="2"/>
      <c r="O541" s="2"/>
      <c r="P541" s="8"/>
    </row>
    <row r="542" spans="13:16" x14ac:dyDescent="0.2">
      <c r="M542" s="6"/>
      <c r="N542" s="2"/>
      <c r="O542" s="2"/>
      <c r="P542" s="8"/>
    </row>
    <row r="543" spans="13:16" x14ac:dyDescent="0.2">
      <c r="M543" s="6"/>
      <c r="N543" s="2"/>
      <c r="O543" s="2"/>
      <c r="P543" s="8"/>
    </row>
    <row r="544" spans="13:16" x14ac:dyDescent="0.2">
      <c r="M544" s="6"/>
      <c r="N544" s="2"/>
      <c r="O544" s="2"/>
      <c r="P544" s="8"/>
    </row>
    <row r="545" spans="13:16" x14ac:dyDescent="0.2">
      <c r="M545" s="6"/>
      <c r="N545" s="2"/>
      <c r="O545" s="2"/>
      <c r="P545" s="8"/>
    </row>
    <row r="546" spans="13:16" x14ac:dyDescent="0.2">
      <c r="M546" s="6"/>
      <c r="N546" s="2"/>
      <c r="O546" s="2"/>
      <c r="P546" s="8"/>
    </row>
    <row r="547" spans="13:16" x14ac:dyDescent="0.2">
      <c r="M547" s="6"/>
      <c r="N547" s="2"/>
      <c r="O547" s="2"/>
      <c r="P547" s="8"/>
    </row>
    <row r="548" spans="13:16" x14ac:dyDescent="0.2">
      <c r="M548" s="6"/>
      <c r="N548" s="2"/>
      <c r="O548" s="2"/>
      <c r="P548" s="8"/>
    </row>
    <row r="549" spans="13:16" x14ac:dyDescent="0.2">
      <c r="M549" s="6"/>
      <c r="N549" s="2"/>
      <c r="O549" s="2"/>
      <c r="P549" s="8"/>
    </row>
    <row r="550" spans="13:16" x14ac:dyDescent="0.2">
      <c r="M550" s="6"/>
      <c r="N550" s="2"/>
      <c r="O550" s="2"/>
      <c r="P550" s="8"/>
    </row>
    <row r="551" spans="13:16" x14ac:dyDescent="0.2">
      <c r="M551" s="6"/>
      <c r="N551" s="2"/>
      <c r="O551" s="2"/>
      <c r="P551" s="8"/>
    </row>
    <row r="552" spans="13:16" x14ac:dyDescent="0.2">
      <c r="M552" s="6"/>
      <c r="N552" s="2"/>
      <c r="O552" s="2"/>
      <c r="P552" s="8"/>
    </row>
    <row r="553" spans="13:16" x14ac:dyDescent="0.2">
      <c r="M553" s="6"/>
      <c r="N553" s="2"/>
      <c r="O553" s="2"/>
      <c r="P553" s="8"/>
    </row>
    <row r="554" spans="13:16" x14ac:dyDescent="0.2">
      <c r="M554" s="6"/>
      <c r="N554" s="2"/>
      <c r="O554" s="2"/>
      <c r="P554" s="8"/>
    </row>
    <row r="555" spans="13:16" x14ac:dyDescent="0.2">
      <c r="M555" s="6"/>
      <c r="N555" s="2"/>
      <c r="O555" s="2"/>
      <c r="P555" s="8"/>
    </row>
    <row r="556" spans="13:16" x14ac:dyDescent="0.2">
      <c r="M556" s="6"/>
      <c r="N556" s="2"/>
      <c r="O556" s="2"/>
      <c r="P556" s="8"/>
    </row>
    <row r="557" spans="13:16" x14ac:dyDescent="0.2">
      <c r="M557" s="6"/>
      <c r="N557" s="2"/>
      <c r="O557" s="2"/>
      <c r="P557" s="8"/>
    </row>
    <row r="558" spans="13:16" x14ac:dyDescent="0.2">
      <c r="M558" s="6"/>
      <c r="N558" s="2"/>
      <c r="O558" s="2"/>
      <c r="P558" s="8"/>
    </row>
    <row r="559" spans="13:16" x14ac:dyDescent="0.2">
      <c r="M559" s="6"/>
      <c r="N559" s="2"/>
      <c r="O559" s="2"/>
      <c r="P559" s="8"/>
    </row>
    <row r="560" spans="13:16" x14ac:dyDescent="0.2">
      <c r="M560" s="6"/>
      <c r="N560" s="2"/>
      <c r="O560" s="2"/>
      <c r="P560" s="8"/>
    </row>
    <row r="561" spans="13:16" x14ac:dyDescent="0.2">
      <c r="M561" s="6"/>
      <c r="N561" s="2"/>
      <c r="O561" s="2"/>
      <c r="P561" s="8"/>
    </row>
    <row r="562" spans="13:16" x14ac:dyDescent="0.2">
      <c r="M562" s="6"/>
      <c r="N562" s="2"/>
      <c r="O562" s="2"/>
      <c r="P562" s="8"/>
    </row>
    <row r="563" spans="13:16" x14ac:dyDescent="0.2">
      <c r="M563" s="6"/>
      <c r="N563" s="2"/>
      <c r="O563" s="2"/>
      <c r="P563" s="8"/>
    </row>
    <row r="564" spans="13:16" x14ac:dyDescent="0.2">
      <c r="M564" s="6"/>
      <c r="N564" s="2"/>
      <c r="O564" s="2"/>
      <c r="P564" s="8"/>
    </row>
    <row r="565" spans="13:16" x14ac:dyDescent="0.2">
      <c r="M565" s="6"/>
      <c r="N565" s="2"/>
      <c r="O565" s="2"/>
      <c r="P565" s="8"/>
    </row>
    <row r="566" spans="13:16" x14ac:dyDescent="0.2">
      <c r="M566" s="6"/>
      <c r="N566" s="2"/>
      <c r="O566" s="2"/>
      <c r="P566" s="8"/>
    </row>
    <row r="567" spans="13:16" x14ac:dyDescent="0.2">
      <c r="M567" s="6"/>
      <c r="N567" s="2"/>
      <c r="O567" s="2"/>
      <c r="P567" s="8"/>
    </row>
    <row r="568" spans="13:16" x14ac:dyDescent="0.2">
      <c r="M568" s="6"/>
      <c r="N568" s="2"/>
      <c r="O568" s="2"/>
      <c r="P568" s="8"/>
    </row>
    <row r="569" spans="13:16" x14ac:dyDescent="0.2">
      <c r="M569" s="6"/>
      <c r="N569" s="2"/>
      <c r="O569" s="2"/>
      <c r="P569" s="8"/>
    </row>
    <row r="570" spans="13:16" x14ac:dyDescent="0.2">
      <c r="M570" s="6"/>
      <c r="N570" s="2"/>
      <c r="O570" s="2"/>
      <c r="P570" s="8"/>
    </row>
    <row r="571" spans="13:16" x14ac:dyDescent="0.2">
      <c r="M571" s="6"/>
      <c r="N571" s="2"/>
      <c r="O571" s="2"/>
      <c r="P571" s="8"/>
    </row>
    <row r="572" spans="13:16" x14ac:dyDescent="0.2">
      <c r="M572" s="6"/>
      <c r="N572" s="2"/>
      <c r="O572" s="2"/>
      <c r="P572" s="8"/>
    </row>
    <row r="573" spans="13:16" x14ac:dyDescent="0.2">
      <c r="M573" s="6"/>
      <c r="N573" s="2"/>
      <c r="O573" s="2"/>
      <c r="P573" s="8"/>
    </row>
    <row r="574" spans="13:16" x14ac:dyDescent="0.2">
      <c r="M574" s="6"/>
      <c r="N574" s="2"/>
      <c r="O574" s="2"/>
      <c r="P574" s="8"/>
    </row>
    <row r="575" spans="13:16" x14ac:dyDescent="0.2">
      <c r="M575" s="6"/>
      <c r="N575" s="2"/>
      <c r="O575" s="2"/>
      <c r="P575" s="8"/>
    </row>
    <row r="576" spans="13:16" x14ac:dyDescent="0.2">
      <c r="M576" s="6"/>
      <c r="N576" s="2"/>
      <c r="O576" s="2"/>
      <c r="P576" s="8"/>
    </row>
    <row r="577" spans="13:16" x14ac:dyDescent="0.2">
      <c r="M577" s="6"/>
      <c r="N577" s="2"/>
      <c r="O577" s="2"/>
      <c r="P577" s="8"/>
    </row>
    <row r="578" spans="13:16" x14ac:dyDescent="0.2">
      <c r="M578" s="6"/>
      <c r="N578" s="2"/>
      <c r="O578" s="2"/>
      <c r="P578" s="8"/>
    </row>
    <row r="579" spans="13:16" x14ac:dyDescent="0.2">
      <c r="M579" s="6"/>
      <c r="N579" s="2"/>
      <c r="O579" s="2"/>
      <c r="P579" s="8"/>
    </row>
    <row r="580" spans="13:16" x14ac:dyDescent="0.2">
      <c r="M580" s="6"/>
      <c r="N580" s="2"/>
      <c r="O580" s="2"/>
      <c r="P580" s="8"/>
    </row>
    <row r="581" spans="13:16" x14ac:dyDescent="0.2">
      <c r="M581" s="6"/>
      <c r="N581" s="2"/>
      <c r="O581" s="2"/>
      <c r="P581" s="8"/>
    </row>
    <row r="582" spans="13:16" x14ac:dyDescent="0.2">
      <c r="M582" s="6"/>
      <c r="N582" s="2"/>
      <c r="O582" s="2"/>
      <c r="P582" s="8"/>
    </row>
    <row r="583" spans="13:16" x14ac:dyDescent="0.2">
      <c r="M583" s="6"/>
      <c r="N583" s="2"/>
      <c r="O583" s="2"/>
      <c r="P583" s="8"/>
    </row>
    <row r="584" spans="13:16" x14ac:dyDescent="0.2">
      <c r="M584" s="6"/>
      <c r="N584" s="2"/>
      <c r="O584" s="2"/>
      <c r="P584" s="8"/>
    </row>
    <row r="585" spans="13:16" x14ac:dyDescent="0.2">
      <c r="M585" s="6"/>
      <c r="N585" s="2"/>
      <c r="O585" s="2"/>
      <c r="P585" s="8"/>
    </row>
    <row r="586" spans="13:16" x14ac:dyDescent="0.2">
      <c r="M586" s="6"/>
      <c r="N586" s="2"/>
      <c r="O586" s="2"/>
      <c r="P586" s="8"/>
    </row>
    <row r="587" spans="13:16" x14ac:dyDescent="0.2">
      <c r="M587" s="6"/>
      <c r="N587" s="2"/>
      <c r="O587" s="2"/>
      <c r="P587" s="8"/>
    </row>
    <row r="588" spans="13:16" x14ac:dyDescent="0.2">
      <c r="M588" s="6"/>
      <c r="N588" s="2"/>
      <c r="O588" s="2"/>
      <c r="P588" s="8"/>
    </row>
    <row r="589" spans="13:16" x14ac:dyDescent="0.2">
      <c r="M589" s="6"/>
      <c r="N589" s="2"/>
      <c r="O589" s="2"/>
      <c r="P589" s="8"/>
    </row>
    <row r="590" spans="13:16" x14ac:dyDescent="0.2">
      <c r="M590" s="6"/>
      <c r="N590" s="2"/>
      <c r="O590" s="2"/>
      <c r="P590" s="8"/>
    </row>
    <row r="591" spans="13:16" x14ac:dyDescent="0.2">
      <c r="M591" s="6"/>
      <c r="N591" s="2"/>
      <c r="O591" s="2"/>
      <c r="P591" s="8"/>
    </row>
    <row r="592" spans="13:16" x14ac:dyDescent="0.2">
      <c r="M592" s="6"/>
      <c r="N592" s="2"/>
      <c r="O592" s="2"/>
      <c r="P592" s="8"/>
    </row>
    <row r="593" spans="13:16" x14ac:dyDescent="0.2">
      <c r="M593" s="6"/>
      <c r="N593" s="2"/>
      <c r="O593" s="2"/>
      <c r="P593" s="8"/>
    </row>
    <row r="594" spans="13:16" x14ac:dyDescent="0.2">
      <c r="M594" s="6"/>
      <c r="N594" s="2"/>
      <c r="O594" s="2"/>
      <c r="P594" s="8"/>
    </row>
    <row r="595" spans="13:16" x14ac:dyDescent="0.2">
      <c r="M595" s="6"/>
      <c r="N595" s="2"/>
      <c r="O595" s="2"/>
      <c r="P595" s="8"/>
    </row>
    <row r="596" spans="13:16" x14ac:dyDescent="0.2">
      <c r="M596" s="6"/>
      <c r="N596" s="2"/>
      <c r="O596" s="2"/>
      <c r="P596" s="8"/>
    </row>
    <row r="597" spans="13:16" x14ac:dyDescent="0.2">
      <c r="M597" s="6"/>
      <c r="N597" s="2"/>
      <c r="O597" s="2"/>
      <c r="P597" s="8"/>
    </row>
    <row r="598" spans="13:16" x14ac:dyDescent="0.2">
      <c r="M598" s="6"/>
      <c r="N598" s="2"/>
      <c r="O598" s="2"/>
      <c r="P598" s="8"/>
    </row>
    <row r="599" spans="13:16" x14ac:dyDescent="0.2">
      <c r="M599" s="6"/>
      <c r="N599" s="2"/>
      <c r="O599" s="2"/>
      <c r="P599" s="8"/>
    </row>
    <row r="600" spans="13:16" x14ac:dyDescent="0.2">
      <c r="M600" s="6"/>
      <c r="N600" s="2"/>
      <c r="O600" s="2"/>
      <c r="P600" s="8"/>
    </row>
    <row r="601" spans="13:16" x14ac:dyDescent="0.2">
      <c r="M601" s="6"/>
      <c r="N601" s="2"/>
      <c r="O601" s="2"/>
      <c r="P601" s="8"/>
    </row>
    <row r="602" spans="13:16" x14ac:dyDescent="0.2">
      <c r="M602" s="6"/>
      <c r="N602" s="2"/>
      <c r="O602" s="2"/>
      <c r="P602" s="8"/>
    </row>
    <row r="603" spans="13:16" x14ac:dyDescent="0.2">
      <c r="M603" s="6"/>
      <c r="N603" s="2"/>
      <c r="O603" s="2"/>
      <c r="P603" s="8"/>
    </row>
    <row r="604" spans="13:16" x14ac:dyDescent="0.2">
      <c r="M604" s="6"/>
      <c r="N604" s="2"/>
      <c r="O604" s="2"/>
      <c r="P604" s="8"/>
    </row>
    <row r="605" spans="13:16" x14ac:dyDescent="0.2">
      <c r="M605" s="6"/>
      <c r="N605" s="2"/>
      <c r="O605" s="2"/>
      <c r="P605" s="8"/>
    </row>
    <row r="606" spans="13:16" x14ac:dyDescent="0.2">
      <c r="M606" s="6"/>
      <c r="N606" s="2"/>
      <c r="O606" s="2"/>
      <c r="P606" s="8"/>
    </row>
    <row r="607" spans="13:16" x14ac:dyDescent="0.2">
      <c r="M607" s="6"/>
      <c r="N607" s="2"/>
      <c r="O607" s="2"/>
      <c r="P607" s="8"/>
    </row>
    <row r="608" spans="13:16" x14ac:dyDescent="0.2">
      <c r="M608" s="6"/>
      <c r="N608" s="2"/>
      <c r="O608" s="2"/>
      <c r="P608" s="8"/>
    </row>
    <row r="609" spans="13:16" x14ac:dyDescent="0.2">
      <c r="M609" s="6"/>
      <c r="N609" s="2"/>
      <c r="O609" s="2"/>
      <c r="P609" s="8"/>
    </row>
    <row r="610" spans="13:16" x14ac:dyDescent="0.2">
      <c r="M610" s="6"/>
      <c r="N610" s="2"/>
      <c r="O610" s="2"/>
      <c r="P610" s="8"/>
    </row>
    <row r="611" spans="13:16" x14ac:dyDescent="0.2">
      <c r="M611" s="6"/>
      <c r="N611" s="2"/>
      <c r="O611" s="2"/>
      <c r="P611" s="8"/>
    </row>
    <row r="612" spans="13:16" x14ac:dyDescent="0.2">
      <c r="M612" s="6"/>
      <c r="N612" s="2"/>
      <c r="O612" s="2"/>
      <c r="P612" s="8"/>
    </row>
    <row r="613" spans="13:16" x14ac:dyDescent="0.2">
      <c r="M613" s="6"/>
      <c r="N613" s="2"/>
      <c r="O613" s="2"/>
      <c r="P613" s="8"/>
    </row>
    <row r="614" spans="13:16" x14ac:dyDescent="0.2">
      <c r="M614" s="6"/>
      <c r="N614" s="2"/>
      <c r="O614" s="2"/>
      <c r="P614" s="8"/>
    </row>
    <row r="615" spans="13:16" x14ac:dyDescent="0.2">
      <c r="M615" s="6"/>
      <c r="N615" s="2"/>
      <c r="O615" s="2"/>
      <c r="P615" s="8"/>
    </row>
    <row r="616" spans="13:16" x14ac:dyDescent="0.2">
      <c r="M616" s="6"/>
      <c r="N616" s="2"/>
      <c r="O616" s="2"/>
      <c r="P616" s="8"/>
    </row>
    <row r="617" spans="13:16" x14ac:dyDescent="0.2">
      <c r="M617" s="6"/>
      <c r="N617" s="2"/>
      <c r="O617" s="2"/>
      <c r="P617" s="8"/>
    </row>
    <row r="618" spans="13:16" x14ac:dyDescent="0.2">
      <c r="M618" s="6"/>
      <c r="N618" s="2"/>
      <c r="O618" s="2"/>
      <c r="P618" s="8"/>
    </row>
    <row r="619" spans="13:16" x14ac:dyDescent="0.2">
      <c r="M619" s="6"/>
      <c r="N619" s="2"/>
      <c r="O619" s="2"/>
      <c r="P619" s="8"/>
    </row>
    <row r="620" spans="13:16" x14ac:dyDescent="0.2">
      <c r="M620" s="6"/>
      <c r="N620" s="2"/>
      <c r="O620" s="2"/>
      <c r="P620" s="8"/>
    </row>
    <row r="621" spans="13:16" x14ac:dyDescent="0.2">
      <c r="M621" s="6"/>
      <c r="N621" s="2"/>
      <c r="O621" s="2"/>
      <c r="P621" s="8"/>
    </row>
    <row r="622" spans="13:16" x14ac:dyDescent="0.2">
      <c r="M622" s="6"/>
      <c r="N622" s="2"/>
      <c r="O622" s="2"/>
      <c r="P622" s="8"/>
    </row>
    <row r="623" spans="13:16" x14ac:dyDescent="0.2">
      <c r="M623" s="6"/>
      <c r="N623" s="2"/>
      <c r="O623" s="2"/>
      <c r="P623" s="8"/>
    </row>
    <row r="624" spans="13:16" x14ac:dyDescent="0.2">
      <c r="M624" s="6"/>
      <c r="N624" s="2"/>
      <c r="O624" s="2"/>
      <c r="P624" s="8"/>
    </row>
    <row r="625" spans="13:16" x14ac:dyDescent="0.2">
      <c r="M625" s="6"/>
      <c r="N625" s="2"/>
      <c r="O625" s="2"/>
      <c r="P625" s="8"/>
    </row>
    <row r="626" spans="13:16" x14ac:dyDescent="0.2">
      <c r="M626" s="6"/>
      <c r="N626" s="2"/>
      <c r="O626" s="2"/>
      <c r="P626" s="8"/>
    </row>
    <row r="627" spans="13:16" x14ac:dyDescent="0.2">
      <c r="M627" s="6"/>
      <c r="N627" s="2"/>
      <c r="O627" s="2"/>
      <c r="P627" s="8"/>
    </row>
    <row r="628" spans="13:16" x14ac:dyDescent="0.2">
      <c r="M628" s="6"/>
      <c r="N628" s="2"/>
      <c r="O628" s="2"/>
      <c r="P628" s="8"/>
    </row>
    <row r="629" spans="13:16" x14ac:dyDescent="0.2">
      <c r="M629" s="6"/>
      <c r="N629" s="2"/>
      <c r="O629" s="2"/>
      <c r="P629" s="8"/>
    </row>
    <row r="630" spans="13:16" x14ac:dyDescent="0.2">
      <c r="M630" s="6"/>
      <c r="N630" s="2"/>
      <c r="O630" s="2"/>
      <c r="P630" s="8"/>
    </row>
    <row r="631" spans="13:16" x14ac:dyDescent="0.2">
      <c r="M631" s="6"/>
      <c r="N631" s="2"/>
      <c r="O631" s="2"/>
      <c r="P631" s="8"/>
    </row>
    <row r="632" spans="13:16" x14ac:dyDescent="0.2">
      <c r="M632" s="6"/>
      <c r="N632" s="2"/>
      <c r="O632" s="2"/>
      <c r="P632" s="8"/>
    </row>
    <row r="633" spans="13:16" x14ac:dyDescent="0.2">
      <c r="M633" s="6"/>
      <c r="N633" s="2"/>
      <c r="O633" s="2"/>
      <c r="P633" s="8"/>
    </row>
    <row r="634" spans="13:16" x14ac:dyDescent="0.2">
      <c r="M634" s="6"/>
      <c r="N634" s="2"/>
      <c r="O634" s="2"/>
      <c r="P634" s="8"/>
    </row>
    <row r="635" spans="13:16" x14ac:dyDescent="0.2">
      <c r="M635" s="6"/>
      <c r="N635" s="2"/>
      <c r="O635" s="2"/>
      <c r="P635" s="8"/>
    </row>
    <row r="636" spans="13:16" x14ac:dyDescent="0.2">
      <c r="M636" s="6"/>
      <c r="N636" s="2"/>
      <c r="O636" s="2"/>
      <c r="P636" s="8"/>
    </row>
    <row r="637" spans="13:16" x14ac:dyDescent="0.2">
      <c r="M637" s="6"/>
      <c r="N637" s="2"/>
      <c r="O637" s="2"/>
      <c r="P637" s="8"/>
    </row>
    <row r="638" spans="13:16" x14ac:dyDescent="0.2">
      <c r="M638" s="6"/>
      <c r="N638" s="2"/>
      <c r="O638" s="2"/>
      <c r="P638" s="8"/>
    </row>
    <row r="639" spans="13:16" x14ac:dyDescent="0.2">
      <c r="M639" s="6"/>
      <c r="N639" s="2"/>
      <c r="O639" s="2"/>
      <c r="P639" s="8"/>
    </row>
    <row r="640" spans="13:16" x14ac:dyDescent="0.2">
      <c r="M640" s="6"/>
      <c r="N640" s="2"/>
      <c r="O640" s="2"/>
      <c r="P640" s="8"/>
    </row>
    <row r="641" spans="13:16" x14ac:dyDescent="0.2">
      <c r="M641" s="6"/>
      <c r="N641" s="2"/>
      <c r="O641" s="2"/>
      <c r="P641" s="8"/>
    </row>
    <row r="642" spans="13:16" x14ac:dyDescent="0.2">
      <c r="M642" s="6"/>
      <c r="N642" s="2"/>
      <c r="O642" s="2"/>
      <c r="P642" s="8"/>
    </row>
    <row r="643" spans="13:16" x14ac:dyDescent="0.2">
      <c r="M643" s="6"/>
      <c r="N643" s="2"/>
      <c r="O643" s="2"/>
      <c r="P643" s="8"/>
    </row>
    <row r="644" spans="13:16" x14ac:dyDescent="0.2">
      <c r="M644" s="6"/>
      <c r="N644" s="2"/>
      <c r="O644" s="2"/>
      <c r="P644" s="8"/>
    </row>
    <row r="645" spans="13:16" x14ac:dyDescent="0.2">
      <c r="M645" s="6"/>
      <c r="N645" s="2"/>
      <c r="O645" s="2"/>
      <c r="P645" s="8"/>
    </row>
    <row r="646" spans="13:16" x14ac:dyDescent="0.2">
      <c r="M646" s="6"/>
      <c r="N646" s="2"/>
      <c r="O646" s="2"/>
      <c r="P646" s="8"/>
    </row>
    <row r="647" spans="13:16" x14ac:dyDescent="0.2">
      <c r="M647" s="6"/>
      <c r="N647" s="2"/>
      <c r="O647" s="2"/>
      <c r="P647" s="8"/>
    </row>
    <row r="648" spans="13:16" x14ac:dyDescent="0.2">
      <c r="M648" s="6"/>
      <c r="N648" s="2"/>
      <c r="O648" s="2"/>
      <c r="P648" s="8"/>
    </row>
    <row r="649" spans="13:16" x14ac:dyDescent="0.2">
      <c r="M649" s="6"/>
      <c r="N649" s="2"/>
      <c r="O649" s="2"/>
      <c r="P649" s="8"/>
    </row>
    <row r="650" spans="13:16" x14ac:dyDescent="0.2">
      <c r="M650" s="6"/>
      <c r="N650" s="2"/>
      <c r="O650" s="2"/>
      <c r="P650" s="8"/>
    </row>
    <row r="651" spans="13:16" x14ac:dyDescent="0.2">
      <c r="M651" s="6"/>
      <c r="N651" s="2"/>
      <c r="O651" s="2"/>
      <c r="P651" s="8"/>
    </row>
    <row r="652" spans="13:16" x14ac:dyDescent="0.2">
      <c r="M652" s="6"/>
      <c r="N652" s="2"/>
      <c r="O652" s="2"/>
      <c r="P652" s="8"/>
    </row>
    <row r="653" spans="13:16" x14ac:dyDescent="0.2">
      <c r="M653" s="6"/>
      <c r="N653" s="2"/>
      <c r="O653" s="2"/>
      <c r="P653" s="8"/>
    </row>
    <row r="654" spans="13:16" x14ac:dyDescent="0.2">
      <c r="M654" s="6"/>
      <c r="N654" s="2"/>
      <c r="O654" s="2"/>
      <c r="P654" s="8"/>
    </row>
    <row r="655" spans="13:16" x14ac:dyDescent="0.2">
      <c r="M655" s="6"/>
      <c r="N655" s="2"/>
      <c r="O655" s="2"/>
      <c r="P655" s="8"/>
    </row>
    <row r="656" spans="13:16" x14ac:dyDescent="0.2">
      <c r="M656" s="6"/>
      <c r="N656" s="2"/>
      <c r="O656" s="2"/>
      <c r="P656" s="8"/>
    </row>
    <row r="657" spans="13:16" x14ac:dyDescent="0.2">
      <c r="M657" s="6"/>
      <c r="N657" s="2"/>
      <c r="O657" s="2"/>
      <c r="P657" s="8"/>
    </row>
    <row r="658" spans="13:16" x14ac:dyDescent="0.2">
      <c r="M658" s="6"/>
      <c r="N658" s="2"/>
      <c r="O658" s="2"/>
      <c r="P658" s="8"/>
    </row>
    <row r="659" spans="13:16" x14ac:dyDescent="0.2">
      <c r="M659" s="6"/>
      <c r="N659" s="2"/>
      <c r="O659" s="2"/>
      <c r="P659" s="8"/>
    </row>
    <row r="660" spans="13:16" x14ac:dyDescent="0.2">
      <c r="M660" s="6"/>
      <c r="N660" s="2"/>
      <c r="O660" s="2"/>
      <c r="P660" s="8"/>
    </row>
    <row r="661" spans="13:16" x14ac:dyDescent="0.2">
      <c r="M661" s="6"/>
      <c r="N661" s="2"/>
      <c r="O661" s="2"/>
      <c r="P661" s="8"/>
    </row>
    <row r="662" spans="13:16" x14ac:dyDescent="0.2">
      <c r="M662" s="6"/>
      <c r="N662" s="2"/>
      <c r="O662" s="2"/>
      <c r="P662" s="8"/>
    </row>
    <row r="663" spans="13:16" x14ac:dyDescent="0.2">
      <c r="M663" s="6"/>
      <c r="N663" s="2"/>
      <c r="O663" s="2"/>
      <c r="P663" s="8"/>
    </row>
    <row r="664" spans="13:16" x14ac:dyDescent="0.2">
      <c r="M664" s="6"/>
      <c r="N664" s="2"/>
      <c r="O664" s="2"/>
      <c r="P664" s="8"/>
    </row>
    <row r="665" spans="13:16" x14ac:dyDescent="0.2">
      <c r="M665" s="6"/>
      <c r="N665" s="2"/>
      <c r="O665" s="2"/>
      <c r="P665" s="8"/>
    </row>
    <row r="666" spans="13:16" x14ac:dyDescent="0.2">
      <c r="M666" s="6"/>
      <c r="N666" s="2"/>
      <c r="O666" s="2"/>
      <c r="P666" s="8"/>
    </row>
    <row r="667" spans="13:16" x14ac:dyDescent="0.2">
      <c r="M667" s="6"/>
      <c r="N667" s="2"/>
      <c r="O667" s="2"/>
      <c r="P667" s="8"/>
    </row>
    <row r="668" spans="13:16" x14ac:dyDescent="0.2">
      <c r="M668" s="6"/>
      <c r="N668" s="2"/>
      <c r="O668" s="2"/>
      <c r="P668" s="8"/>
    </row>
    <row r="669" spans="13:16" x14ac:dyDescent="0.2">
      <c r="M669" s="6"/>
      <c r="N669" s="2"/>
      <c r="O669" s="2"/>
      <c r="P669" s="8"/>
    </row>
    <row r="670" spans="13:16" x14ac:dyDescent="0.2">
      <c r="M670" s="6"/>
      <c r="N670" s="2"/>
      <c r="O670" s="2"/>
      <c r="P670" s="8"/>
    </row>
    <row r="671" spans="13:16" x14ac:dyDescent="0.2">
      <c r="M671" s="6"/>
      <c r="N671" s="2"/>
      <c r="O671" s="2"/>
      <c r="P671" s="8"/>
    </row>
    <row r="672" spans="13:16" x14ac:dyDescent="0.2">
      <c r="M672" s="6"/>
      <c r="N672" s="2"/>
      <c r="O672" s="2"/>
      <c r="P672" s="8"/>
    </row>
    <row r="673" spans="13:16" x14ac:dyDescent="0.2">
      <c r="M673" s="6"/>
      <c r="N673" s="2"/>
      <c r="O673" s="2"/>
      <c r="P673" s="8"/>
    </row>
    <row r="674" spans="13:16" x14ac:dyDescent="0.2">
      <c r="M674" s="6"/>
      <c r="N674" s="2"/>
      <c r="O674" s="2"/>
      <c r="P674" s="8"/>
    </row>
    <row r="675" spans="13:16" x14ac:dyDescent="0.2">
      <c r="M675" s="6"/>
      <c r="N675" s="2"/>
      <c r="O675" s="2"/>
      <c r="P675" s="8"/>
    </row>
    <row r="676" spans="13:16" x14ac:dyDescent="0.2">
      <c r="M676" s="6"/>
      <c r="N676" s="2"/>
      <c r="O676" s="2"/>
      <c r="P676" s="8"/>
    </row>
    <row r="677" spans="13:16" x14ac:dyDescent="0.2">
      <c r="M677" s="6"/>
      <c r="N677" s="2"/>
      <c r="O677" s="2"/>
      <c r="P677" s="8"/>
    </row>
    <row r="678" spans="13:16" x14ac:dyDescent="0.2">
      <c r="M678" s="6"/>
      <c r="N678" s="2"/>
      <c r="O678" s="2"/>
      <c r="P678" s="8"/>
    </row>
    <row r="679" spans="13:16" x14ac:dyDescent="0.2">
      <c r="M679" s="6"/>
      <c r="N679" s="2"/>
      <c r="O679" s="2"/>
      <c r="P679" s="8"/>
    </row>
    <row r="680" spans="13:16" x14ac:dyDescent="0.2">
      <c r="M680" s="6"/>
      <c r="N680" s="2"/>
      <c r="O680" s="2"/>
      <c r="P680" s="8"/>
    </row>
    <row r="681" spans="13:16" x14ac:dyDescent="0.2">
      <c r="M681" s="6"/>
      <c r="N681" s="2"/>
      <c r="O681" s="2"/>
      <c r="P681" s="8"/>
    </row>
    <row r="682" spans="13:16" x14ac:dyDescent="0.2">
      <c r="M682" s="6"/>
      <c r="N682" s="2"/>
      <c r="O682" s="2"/>
      <c r="P682" s="8"/>
    </row>
    <row r="683" spans="13:16" x14ac:dyDescent="0.2">
      <c r="M683" s="6"/>
      <c r="N683" s="2"/>
      <c r="O683" s="2"/>
      <c r="P683" s="8"/>
    </row>
    <row r="684" spans="13:16" x14ac:dyDescent="0.2">
      <c r="M684" s="6"/>
      <c r="N684" s="2"/>
      <c r="O684" s="2"/>
      <c r="P684" s="8"/>
    </row>
    <row r="685" spans="13:16" x14ac:dyDescent="0.2">
      <c r="M685" s="6"/>
      <c r="N685" s="2"/>
      <c r="O685" s="2"/>
      <c r="P685" s="8"/>
    </row>
    <row r="686" spans="13:16" x14ac:dyDescent="0.2">
      <c r="M686" s="6"/>
      <c r="N686" s="2"/>
      <c r="O686" s="2"/>
      <c r="P686" s="8"/>
    </row>
    <row r="687" spans="13:16" x14ac:dyDescent="0.2">
      <c r="M687" s="6"/>
      <c r="N687" s="2"/>
      <c r="O687" s="2"/>
      <c r="P687" s="8"/>
    </row>
    <row r="688" spans="13:16" x14ac:dyDescent="0.2">
      <c r="M688" s="6"/>
      <c r="N688" s="2"/>
      <c r="O688" s="2"/>
      <c r="P688" s="8"/>
    </row>
    <row r="689" spans="13:16" x14ac:dyDescent="0.2">
      <c r="M689" s="6"/>
      <c r="N689" s="2"/>
      <c r="O689" s="2"/>
      <c r="P689" s="8"/>
    </row>
    <row r="690" spans="13:16" x14ac:dyDescent="0.2">
      <c r="M690" s="6"/>
      <c r="N690" s="2"/>
      <c r="O690" s="2"/>
      <c r="P690" s="8"/>
    </row>
    <row r="691" spans="13:16" x14ac:dyDescent="0.2">
      <c r="M691" s="6"/>
      <c r="N691" s="2"/>
      <c r="O691" s="2"/>
      <c r="P691" s="8"/>
    </row>
    <row r="692" spans="13:16" x14ac:dyDescent="0.2">
      <c r="M692" s="6"/>
      <c r="N692" s="2"/>
      <c r="O692" s="2"/>
      <c r="P692" s="8"/>
    </row>
    <row r="693" spans="13:16" x14ac:dyDescent="0.2">
      <c r="M693" s="6"/>
      <c r="N693" s="2"/>
      <c r="O693" s="2"/>
      <c r="P693" s="8"/>
    </row>
    <row r="694" spans="13:16" x14ac:dyDescent="0.2">
      <c r="M694" s="6"/>
      <c r="N694" s="2"/>
      <c r="O694" s="2"/>
      <c r="P694" s="8"/>
    </row>
    <row r="695" spans="13:16" x14ac:dyDescent="0.2">
      <c r="M695" s="6"/>
      <c r="N695" s="2"/>
      <c r="O695" s="2"/>
      <c r="P695" s="8"/>
    </row>
    <row r="696" spans="13:16" x14ac:dyDescent="0.2">
      <c r="M696" s="6"/>
      <c r="N696" s="2"/>
      <c r="O696" s="2"/>
      <c r="P696" s="8"/>
    </row>
    <row r="697" spans="13:16" x14ac:dyDescent="0.2">
      <c r="M697" s="6"/>
      <c r="N697" s="2"/>
      <c r="O697" s="2"/>
      <c r="P697" s="8"/>
    </row>
    <row r="698" spans="13:16" x14ac:dyDescent="0.2">
      <c r="M698" s="6"/>
      <c r="N698" s="2"/>
      <c r="O698" s="2"/>
      <c r="P698" s="8"/>
    </row>
    <row r="699" spans="13:16" x14ac:dyDescent="0.2">
      <c r="M699" s="6"/>
      <c r="N699" s="2"/>
      <c r="O699" s="2"/>
      <c r="P699" s="8"/>
    </row>
    <row r="700" spans="13:16" x14ac:dyDescent="0.2">
      <c r="M700" s="6"/>
      <c r="N700" s="2"/>
      <c r="O700" s="2"/>
      <c r="P700" s="8"/>
    </row>
    <row r="701" spans="13:16" x14ac:dyDescent="0.2">
      <c r="M701" s="6"/>
      <c r="N701" s="2"/>
      <c r="O701" s="2"/>
      <c r="P701" s="8"/>
    </row>
    <row r="702" spans="13:16" x14ac:dyDescent="0.2">
      <c r="M702" s="6"/>
      <c r="N702" s="2"/>
      <c r="O702" s="2"/>
      <c r="P702" s="8"/>
    </row>
    <row r="703" spans="13:16" x14ac:dyDescent="0.2">
      <c r="M703" s="6"/>
      <c r="N703" s="2"/>
      <c r="O703" s="2"/>
      <c r="P703" s="8"/>
    </row>
    <row r="704" spans="13:16" x14ac:dyDescent="0.2">
      <c r="M704" s="6"/>
      <c r="N704" s="2"/>
      <c r="O704" s="2"/>
      <c r="P704" s="8"/>
    </row>
    <row r="705" spans="13:16" x14ac:dyDescent="0.2">
      <c r="M705" s="6"/>
      <c r="N705" s="2"/>
      <c r="O705" s="2"/>
      <c r="P705" s="8"/>
    </row>
    <row r="706" spans="13:16" x14ac:dyDescent="0.2">
      <c r="M706" s="6"/>
      <c r="N706" s="2"/>
      <c r="O706" s="2"/>
      <c r="P706" s="8"/>
    </row>
    <row r="707" spans="13:16" x14ac:dyDescent="0.2">
      <c r="M707" s="6"/>
      <c r="N707" s="2"/>
      <c r="O707" s="2"/>
      <c r="P707" s="8"/>
    </row>
    <row r="708" spans="13:16" x14ac:dyDescent="0.2">
      <c r="M708" s="6"/>
      <c r="N708" s="2"/>
      <c r="O708" s="2"/>
      <c r="P708" s="8"/>
    </row>
    <row r="709" spans="13:16" x14ac:dyDescent="0.2">
      <c r="M709" s="6"/>
      <c r="N709" s="2"/>
      <c r="O709" s="2"/>
      <c r="P709" s="8"/>
    </row>
    <row r="710" spans="13:16" x14ac:dyDescent="0.2">
      <c r="M710" s="6"/>
      <c r="N710" s="2"/>
      <c r="O710" s="2"/>
      <c r="P710" s="8"/>
    </row>
    <row r="711" spans="13:16" x14ac:dyDescent="0.2">
      <c r="M711" s="6"/>
      <c r="N711" s="2"/>
      <c r="O711" s="2"/>
      <c r="P711" s="8"/>
    </row>
    <row r="712" spans="13:16" x14ac:dyDescent="0.2">
      <c r="M712" s="6"/>
      <c r="N712" s="2"/>
      <c r="O712" s="2"/>
      <c r="P712" s="8"/>
    </row>
    <row r="713" spans="13:16" x14ac:dyDescent="0.2">
      <c r="M713" s="6"/>
      <c r="N713" s="2"/>
      <c r="O713" s="2"/>
      <c r="P713" s="8"/>
    </row>
    <row r="714" spans="13:16" x14ac:dyDescent="0.2">
      <c r="M714" s="6"/>
      <c r="N714" s="2"/>
      <c r="O714" s="2"/>
      <c r="P714" s="8"/>
    </row>
    <row r="715" spans="13:16" x14ac:dyDescent="0.2">
      <c r="M715" s="6"/>
      <c r="N715" s="2"/>
      <c r="O715" s="2"/>
      <c r="P715" s="8"/>
    </row>
    <row r="716" spans="13:16" x14ac:dyDescent="0.2">
      <c r="M716" s="6"/>
      <c r="N716" s="2"/>
      <c r="O716" s="2"/>
      <c r="P716" s="8"/>
    </row>
    <row r="717" spans="13:16" x14ac:dyDescent="0.2">
      <c r="M717" s="6"/>
      <c r="N717" s="2"/>
      <c r="O717" s="2"/>
      <c r="P717" s="8"/>
    </row>
    <row r="718" spans="13:16" x14ac:dyDescent="0.2">
      <c r="M718" s="6"/>
      <c r="N718" s="2"/>
      <c r="O718" s="2"/>
      <c r="P718" s="8"/>
    </row>
    <row r="719" spans="13:16" x14ac:dyDescent="0.2">
      <c r="M719" s="6"/>
      <c r="N719" s="2"/>
      <c r="O719" s="2"/>
      <c r="P719" s="8"/>
    </row>
    <row r="720" spans="13:16" x14ac:dyDescent="0.2">
      <c r="M720" s="6"/>
      <c r="N720" s="2"/>
      <c r="O720" s="2"/>
      <c r="P720" s="8"/>
    </row>
    <row r="721" spans="13:16" x14ac:dyDescent="0.2">
      <c r="M721" s="6"/>
      <c r="N721" s="2"/>
      <c r="O721" s="2"/>
      <c r="P721" s="8"/>
    </row>
    <row r="722" spans="13:16" x14ac:dyDescent="0.2">
      <c r="M722" s="6"/>
      <c r="N722" s="2"/>
      <c r="O722" s="2"/>
      <c r="P722" s="8"/>
    </row>
    <row r="723" spans="13:16" x14ac:dyDescent="0.2">
      <c r="M723" s="6"/>
      <c r="N723" s="2"/>
      <c r="O723" s="2"/>
      <c r="P723" s="8"/>
    </row>
    <row r="724" spans="13:16" x14ac:dyDescent="0.2">
      <c r="M724" s="6"/>
      <c r="N724" s="2"/>
      <c r="O724" s="2"/>
      <c r="P724" s="8"/>
    </row>
    <row r="725" spans="13:16" x14ac:dyDescent="0.2">
      <c r="M725" s="6"/>
      <c r="N725" s="2"/>
      <c r="O725" s="2"/>
      <c r="P725" s="8"/>
    </row>
    <row r="726" spans="13:16" x14ac:dyDescent="0.2">
      <c r="M726" s="6"/>
      <c r="N726" s="2"/>
      <c r="O726" s="2"/>
      <c r="P726" s="8"/>
    </row>
    <row r="727" spans="13:16" x14ac:dyDescent="0.2">
      <c r="M727" s="6"/>
      <c r="N727" s="2"/>
      <c r="O727" s="2"/>
      <c r="P727" s="8"/>
    </row>
    <row r="728" spans="13:16" x14ac:dyDescent="0.2">
      <c r="M728" s="6"/>
      <c r="N728" s="2"/>
      <c r="O728" s="2"/>
      <c r="P728" s="8"/>
    </row>
    <row r="729" spans="13:16" x14ac:dyDescent="0.2">
      <c r="M729" s="6"/>
      <c r="N729" s="2"/>
      <c r="O729" s="2"/>
      <c r="P729" s="8"/>
    </row>
    <row r="730" spans="13:16" x14ac:dyDescent="0.2">
      <c r="M730" s="6"/>
      <c r="N730" s="2"/>
      <c r="O730" s="2"/>
      <c r="P730" s="8"/>
    </row>
    <row r="731" spans="13:16" x14ac:dyDescent="0.2">
      <c r="M731" s="6"/>
      <c r="N731" s="2"/>
      <c r="O731" s="2"/>
      <c r="P731" s="8"/>
    </row>
    <row r="732" spans="13:16" x14ac:dyDescent="0.2">
      <c r="M732" s="6"/>
      <c r="N732" s="2"/>
      <c r="O732" s="2"/>
      <c r="P732" s="8"/>
    </row>
    <row r="733" spans="13:16" x14ac:dyDescent="0.2">
      <c r="M733" s="6"/>
      <c r="N733" s="2"/>
      <c r="O733" s="2"/>
      <c r="P733" s="8"/>
    </row>
    <row r="734" spans="13:16" x14ac:dyDescent="0.2">
      <c r="M734" s="6"/>
      <c r="N734" s="2"/>
      <c r="O734" s="2"/>
      <c r="P734" s="8"/>
    </row>
    <row r="735" spans="13:16" x14ac:dyDescent="0.2">
      <c r="M735" s="6"/>
      <c r="N735" s="2"/>
      <c r="O735" s="2"/>
      <c r="P735" s="8"/>
    </row>
    <row r="736" spans="13:16" x14ac:dyDescent="0.2">
      <c r="M736" s="6"/>
      <c r="N736" s="2"/>
      <c r="O736" s="2"/>
      <c r="P736" s="8"/>
    </row>
    <row r="737" spans="13:16" x14ac:dyDescent="0.2">
      <c r="M737" s="6"/>
      <c r="N737" s="2"/>
      <c r="O737" s="2"/>
      <c r="P737" s="8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EDE9E65-A5A0-4899-8986-97DC019789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Infrastructure Benchmarks</vt:lpstr>
      <vt:lpstr>Sheet1</vt:lpstr>
      <vt:lpstr>Infrastructure Benchmarks-ref</vt:lpstr>
      <vt:lpstr>Infrastructure Benchmarks - ref</vt:lpstr>
      <vt:lpstr>Template</vt:lpstr>
      <vt:lpstr>Utility Building Benchmarks</vt:lpstr>
      <vt:lpstr>Marine Reclamation Benchmarks</vt:lpstr>
      <vt:lpstr>Element</vt:lpstr>
      <vt:lpstr>'Infrastructure Benchmarks-ref'!Print_Area</vt:lpstr>
      <vt:lpstr>Project</vt:lpstr>
      <vt:lpstr>ROW_Rate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David Parry</cp:lastModifiedBy>
  <dcterms:created xsi:type="dcterms:W3CDTF">2014-01-28T02:45:41Z</dcterms:created>
  <dcterms:modified xsi:type="dcterms:W3CDTF">2024-10-15T11:26:00Z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0x0101006F8D0FC75073AF4A91F0B10FED8F7C05</vt:lpwstr>
  </property>
</Properties>
</file>